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개신동" sheetId="6" state="visible" r:id="rId6"/>
    <sheet xmlns:r="http://schemas.openxmlformats.org/officeDocument/2006/relationships" name="남이면" sheetId="7" state="visible" r:id="rId7"/>
    <sheet xmlns:r="http://schemas.openxmlformats.org/officeDocument/2006/relationships" name="모충동" sheetId="8" state="visible" r:id="rId8"/>
    <sheet xmlns:r="http://schemas.openxmlformats.org/officeDocument/2006/relationships" name="분평동" sheetId="9" state="visible" r:id="rId9"/>
    <sheet xmlns:r="http://schemas.openxmlformats.org/officeDocument/2006/relationships" name="사직동" sheetId="10" state="visible" r:id="rId10"/>
    <sheet xmlns:r="http://schemas.openxmlformats.org/officeDocument/2006/relationships" name="사창동" sheetId="11" state="visible" r:id="rId11"/>
    <sheet xmlns:r="http://schemas.openxmlformats.org/officeDocument/2006/relationships" name="산남동" sheetId="12" state="visible" r:id="rId12"/>
    <sheet xmlns:r="http://schemas.openxmlformats.org/officeDocument/2006/relationships" name="성화동" sheetId="13" state="visible" r:id="rId13"/>
    <sheet xmlns:r="http://schemas.openxmlformats.org/officeDocument/2006/relationships" name="수곡동" sheetId="14" state="visible" r:id="rId14"/>
    <sheet xmlns:r="http://schemas.openxmlformats.org/officeDocument/2006/relationships" name="죽림동" sheetId="15" state="visible" r:id="rId15"/>
    <sheet xmlns:r="http://schemas.openxmlformats.org/officeDocument/2006/relationships" name="양식" sheetId="16" state="visible" r:id="rId16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'개신동'!$1:$3</definedName>
    <definedName name="_xlnm.Print_Area" localSheetId="5">'개신동'!$A$1:$U$6</definedName>
    <definedName name="_xlnm.Print_Titles" localSheetId="6">'남이면'!$1:$3</definedName>
    <definedName name="_xlnm.Print_Area" localSheetId="6">'남이면'!$A$1:$U$6</definedName>
    <definedName name="_xlnm.Print_Titles" localSheetId="7">'모충동'!$1:$3</definedName>
    <definedName name="_xlnm.Print_Area" localSheetId="7">'모충동'!$A$1:$U$6</definedName>
    <definedName name="_xlnm.Print_Titles" localSheetId="8">'분평동'!$1:$3</definedName>
    <definedName name="_xlnm.Print_Area" localSheetId="8">'분평동'!$A$1:$U$6</definedName>
    <definedName name="_xlnm.Print_Titles" localSheetId="9">'사직동'!$1:$3</definedName>
    <definedName name="_xlnm.Print_Area" localSheetId="9">'사직동'!$A$1:$U$6</definedName>
    <definedName name="_xlnm.Print_Titles" localSheetId="10">'사창동'!$1:$3</definedName>
    <definedName name="_xlnm.Print_Area" localSheetId="10">'사창동'!$A$1:$U$6</definedName>
    <definedName name="_xlnm.Print_Titles" localSheetId="11">'산남동'!$1:$3</definedName>
    <definedName name="_xlnm.Print_Area" localSheetId="11">'산남동'!$A$1:$U$6</definedName>
    <definedName name="_xlnm.Print_Titles" localSheetId="12">'성화동'!$1:$3</definedName>
    <definedName name="_xlnm.Print_Area" localSheetId="12">'성화동'!$A$1:$U$6</definedName>
    <definedName name="_xlnm.Print_Titles" localSheetId="13">'수곡동'!$1:$3</definedName>
    <definedName name="_xlnm.Print_Area" localSheetId="13">'수곡동'!$A$1:$U$6</definedName>
    <definedName name="_xlnm.Print_Titles" localSheetId="14">'죽림동'!$1:$3</definedName>
    <definedName name="_xlnm.Print_Area" localSheetId="14">'죽림동'!$A$1:$U$6</definedName>
    <definedName name="_xlnm.Print_Titles" localSheetId="15">'양식'!$1:$3</definedName>
    <definedName name="_xlnm.Print_Area" localSheetId="1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444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T9" sqref="T9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청주시 서원구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44734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4446">
      <formula>18.1</formula>
    </cfRule>
    <cfRule type="cellIs" priority="69564" operator="lessThan" dxfId="4445">
      <formula>21.1</formula>
    </cfRule>
    <cfRule type="cellIs" priority="69565" operator="lessThan" dxfId="4444">
      <formula>24.1</formula>
    </cfRule>
    <cfRule type="cellIs" priority="69566" operator="lessThan" dxfId="1">
      <formula>30</formula>
    </cfRule>
    <cfRule type="cellIs" priority="69567" operator="lessThan" dxfId="4442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498"/>
  <sheetViews>
    <sheetView zoomScaleNormal="100" workbookViewId="0">
      <selection activeCell="I8" sqref="I8"/>
    </sheetView>
  </sheetViews>
  <sheetFormatPr baseColWidth="8" defaultRowHeight="16.5"/>
  <sheetData>
    <row r="1">
      <c r="A1" s="0" t="inlineStr">
        <is>
          <t>[개신동]</t>
        </is>
      </c>
      <c r="B1" s="0" t="n">
        <v>107459</v>
      </c>
      <c r="C1" s="0" t="n">
        <v>1</v>
      </c>
      <c r="D1" s="0" t="inlineStr">
        <is>
          <t>라임스토리(도시형)</t>
        </is>
      </c>
      <c r="E1" s="0" t="inlineStr">
        <is>
          <t>2012.09.</t>
        </is>
      </c>
      <c r="F1" s="0" t="n">
        <v>56</v>
      </c>
      <c r="G1" s="0" t="n">
        <v>9.94</v>
      </c>
      <c r="H1" s="0" t="n">
        <v>32.86</v>
      </c>
      <c r="I1" s="0" t="n">
        <v>7.01</v>
      </c>
      <c r="J1" s="0" t="n">
        <v>23.18</v>
      </c>
      <c r="K1" s="0" t="n">
        <v>42</v>
      </c>
      <c r="T1" s="0" t="n">
        <v>1</v>
      </c>
      <c r="U1" s="0" t="n">
        <v>1</v>
      </c>
      <c r="V1" s="0" t="inlineStr">
        <is>
          <t>복도식</t>
        </is>
      </c>
      <c r="W1" s="0" t="inlineStr">
        <is>
          <t>32A</t>
        </is>
      </c>
      <c r="X1" s="0" t="n">
        <v>7</v>
      </c>
      <c r="Y1" s="0" t="n">
        <v>7</v>
      </c>
      <c r="Z1" s="0" t="inlineStr">
        <is>
          <t>https://new.land.naver.com/complexes/107459?tab=detail&amp;rf=Y</t>
        </is>
      </c>
      <c r="AA1" s="0" t="inlineStr">
        <is>
          <t>충청북도 청주시 서원구 개신동 708</t>
        </is>
      </c>
      <c r="AB1" s="0" t="inlineStr">
        <is>
          <t>충청북도</t>
        </is>
      </c>
      <c r="AC1" s="0" t="inlineStr">
        <is>
          <t>청주시</t>
        </is>
      </c>
      <c r="AD1" s="0" t="inlineStr">
        <is>
          <t>서원구</t>
        </is>
      </c>
      <c r="AE1" s="0" t="inlineStr">
        <is>
          <t>개신동</t>
        </is>
      </c>
      <c r="AG1" s="0" t="inlineStr">
        <is>
          <t>충청북도 청주시 서원구 복대로17번길 23</t>
        </is>
      </c>
      <c r="AH1" s="0" t="n">
        <v>0</v>
      </c>
      <c r="AI1" s="0" t="n">
        <v>340</v>
      </c>
      <c r="AJ1" s="0" t="n">
        <v>58</v>
      </c>
      <c r="AK1" s="0" t="n">
        <v>12</v>
      </c>
      <c r="AL1" s="0" t="n">
        <v>0.21</v>
      </c>
    </row>
    <row r="2">
      <c r="A2" s="0" t="inlineStr">
        <is>
          <t>[개신동]</t>
        </is>
      </c>
      <c r="B2" s="0" t="n">
        <v>107459</v>
      </c>
      <c r="C2" s="0" t="n">
        <v>2</v>
      </c>
      <c r="D2" s="0" t="inlineStr">
        <is>
          <t>라임스토리(도시형)</t>
        </is>
      </c>
      <c r="E2" s="0" t="inlineStr">
        <is>
          <t>2012.09.</t>
        </is>
      </c>
      <c r="F2" s="0" t="n">
        <v>56</v>
      </c>
      <c r="G2" s="0" t="n">
        <v>10.2</v>
      </c>
      <c r="H2" s="0" t="n">
        <v>33.74</v>
      </c>
      <c r="I2" s="0" t="n">
        <v>7.19</v>
      </c>
      <c r="J2" s="0" t="n">
        <v>23.8</v>
      </c>
      <c r="K2" s="0" t="n">
        <v>8</v>
      </c>
      <c r="T2" s="0" t="n">
        <v>1</v>
      </c>
      <c r="U2" s="0" t="n">
        <v>1</v>
      </c>
      <c r="V2" s="0" t="inlineStr">
        <is>
          <t>복도식</t>
        </is>
      </c>
      <c r="W2" s="0" t="inlineStr">
        <is>
          <t>33B</t>
        </is>
      </c>
      <c r="X2" s="0" t="n">
        <v>7</v>
      </c>
      <c r="Y2" s="0" t="n">
        <v>7</v>
      </c>
      <c r="Z2" s="0" t="inlineStr">
        <is>
          <t>https://new.land.naver.com/complexes/107459?tab=detail&amp;rf=Y</t>
        </is>
      </c>
      <c r="AA2" s="0" t="inlineStr">
        <is>
          <t>충청북도 청주시 서원구 개신동 708</t>
        </is>
      </c>
      <c r="AB2" s="0" t="inlineStr">
        <is>
          <t>충청북도</t>
        </is>
      </c>
      <c r="AC2" s="0" t="inlineStr">
        <is>
          <t>청주시</t>
        </is>
      </c>
      <c r="AD2" s="0" t="inlineStr">
        <is>
          <t>서원구</t>
        </is>
      </c>
      <c r="AE2" s="0" t="inlineStr">
        <is>
          <t>개신동</t>
        </is>
      </c>
      <c r="AG2" s="0" t="inlineStr">
        <is>
          <t>충청북도 청주시 서원구 복대로17번길 23</t>
        </is>
      </c>
      <c r="AH2" s="0" t="n">
        <v>0</v>
      </c>
      <c r="AI2" s="0" t="n">
        <v>340</v>
      </c>
      <c r="AJ2" s="0" t="n">
        <v>58</v>
      </c>
      <c r="AK2" s="0" t="n">
        <v>12</v>
      </c>
      <c r="AL2" s="0" t="n">
        <v>0.21</v>
      </c>
    </row>
    <row r="3">
      <c r="A3" s="0" t="inlineStr">
        <is>
          <t>[개신동]</t>
        </is>
      </c>
      <c r="B3" s="0" t="n">
        <v>107459</v>
      </c>
      <c r="C3" s="0" t="n">
        <v>3</v>
      </c>
      <c r="D3" s="0" t="inlineStr">
        <is>
          <t>라임스토리(도시형)</t>
        </is>
      </c>
      <c r="E3" s="0" t="inlineStr">
        <is>
          <t>2012.09.</t>
        </is>
      </c>
      <c r="F3" s="0" t="n">
        <v>56</v>
      </c>
      <c r="G3" s="0" t="n">
        <v>10.34</v>
      </c>
      <c r="H3" s="0" t="n">
        <v>34.19</v>
      </c>
      <c r="I3" s="0" t="n">
        <v>7.29</v>
      </c>
      <c r="J3" s="0" t="n">
        <v>24.12</v>
      </c>
      <c r="K3" s="0" t="n">
        <v>6</v>
      </c>
      <c r="T3" s="0" t="n">
        <v>1</v>
      </c>
      <c r="U3" s="0" t="n">
        <v>1</v>
      </c>
      <c r="V3" s="0" t="inlineStr">
        <is>
          <t>복도식</t>
        </is>
      </c>
      <c r="W3" s="0" t="inlineStr">
        <is>
          <t>34C</t>
        </is>
      </c>
      <c r="X3" s="0" t="n">
        <v>7</v>
      </c>
      <c r="Y3" s="0" t="n">
        <v>7</v>
      </c>
      <c r="Z3" s="0" t="inlineStr">
        <is>
          <t>https://new.land.naver.com/complexes/107459?tab=detail&amp;rf=Y</t>
        </is>
      </c>
      <c r="AA3" s="0" t="inlineStr">
        <is>
          <t>충청북도 청주시 서원구 개신동 708</t>
        </is>
      </c>
      <c r="AB3" s="0" t="inlineStr">
        <is>
          <t>충청북도</t>
        </is>
      </c>
      <c r="AC3" s="0" t="inlineStr">
        <is>
          <t>청주시</t>
        </is>
      </c>
      <c r="AD3" s="0" t="inlineStr">
        <is>
          <t>서원구</t>
        </is>
      </c>
      <c r="AE3" s="0" t="inlineStr">
        <is>
          <t>개신동</t>
        </is>
      </c>
      <c r="AG3" s="0" t="inlineStr">
        <is>
          <t>충청북도 청주시 서원구 복대로17번길 23</t>
        </is>
      </c>
      <c r="AH3" s="0" t="n">
        <v>0</v>
      </c>
      <c r="AI3" s="0" t="n">
        <v>340</v>
      </c>
      <c r="AJ3" s="0" t="n">
        <v>58</v>
      </c>
      <c r="AK3" s="0" t="n">
        <v>12</v>
      </c>
      <c r="AL3" s="0" t="n">
        <v>0.21</v>
      </c>
    </row>
    <row r="4">
      <c r="A4" s="0" t="inlineStr">
        <is>
          <t>[개신동]</t>
        </is>
      </c>
      <c r="B4" s="0" t="n">
        <v>17209</v>
      </c>
      <c r="C4" s="0" t="n">
        <v>1</v>
      </c>
      <c r="D4" s="0" t="inlineStr">
        <is>
          <t>청주개신뜨란채2단지</t>
        </is>
      </c>
      <c r="E4" s="0" t="inlineStr">
        <is>
          <t>2000.12.</t>
        </is>
      </c>
      <c r="F4" s="0" t="n">
        <v>980</v>
      </c>
      <c r="G4" s="0" t="n">
        <v>20.85</v>
      </c>
      <c r="H4" s="0" t="n">
        <v>68.95</v>
      </c>
      <c r="I4" s="0" t="n">
        <v>15.12</v>
      </c>
      <c r="J4" s="0" t="n">
        <v>49.99</v>
      </c>
      <c r="K4" s="0" t="n">
        <v>38</v>
      </c>
      <c r="T4" s="0" t="n">
        <v>2</v>
      </c>
      <c r="U4" s="0" t="n">
        <v>1</v>
      </c>
      <c r="V4" s="0" t="inlineStr">
        <is>
          <t>복도식</t>
        </is>
      </c>
      <c r="W4" s="0" t="n">
        <v>68</v>
      </c>
      <c r="X4" s="0" t="n">
        <v>23</v>
      </c>
      <c r="Y4" s="0" t="n">
        <v>15</v>
      </c>
      <c r="Z4" s="0" t="inlineStr">
        <is>
          <t>https://new.land.naver.com/complexes/17209?tab=detail&amp;rf=Y</t>
        </is>
      </c>
      <c r="AA4" s="0" t="inlineStr">
        <is>
          <t>충청북도 청주시 서원구 개신동 635</t>
        </is>
      </c>
      <c r="AB4" s="0" t="inlineStr">
        <is>
          <t>충청북도</t>
        </is>
      </c>
      <c r="AC4" s="0" t="inlineStr">
        <is>
          <t>청주시</t>
        </is>
      </c>
      <c r="AD4" s="0" t="inlineStr">
        <is>
          <t>서원구</t>
        </is>
      </c>
      <c r="AE4" s="0" t="inlineStr">
        <is>
          <t>개신동</t>
        </is>
      </c>
      <c r="AG4" s="0" t="inlineStr">
        <is>
          <t>충청북도 청주시 서원구 경신로 68</t>
        </is>
      </c>
      <c r="AH4" s="0" t="n">
        <v>0</v>
      </c>
      <c r="AI4" s="0" t="n">
        <v>214</v>
      </c>
      <c r="AJ4" s="0" t="n">
        <v>18</v>
      </c>
      <c r="AK4" s="0" t="n">
        <v>992</v>
      </c>
      <c r="AL4" s="0" t="n">
        <v>1.01</v>
      </c>
    </row>
    <row r="5">
      <c r="A5" s="0" t="inlineStr">
        <is>
          <t>[개신동]</t>
        </is>
      </c>
      <c r="B5" s="0" t="n">
        <v>17209</v>
      </c>
      <c r="C5" s="0" t="n">
        <v>2</v>
      </c>
      <c r="D5" s="0" t="inlineStr">
        <is>
          <t>청주개신뜨란채2단지</t>
        </is>
      </c>
      <c r="E5" s="0" t="inlineStr">
        <is>
          <t>2000.12.</t>
        </is>
      </c>
      <c r="F5" s="0" t="n">
        <v>980</v>
      </c>
      <c r="G5" s="0" t="n">
        <v>24.78</v>
      </c>
      <c r="H5" s="0" t="n">
        <v>81.95</v>
      </c>
      <c r="I5" s="0" t="n">
        <v>17.97</v>
      </c>
      <c r="J5" s="0" t="n">
        <v>59.42</v>
      </c>
      <c r="K5" s="0" t="n">
        <v>942</v>
      </c>
      <c r="T5" s="0" t="n">
        <v>3</v>
      </c>
      <c r="U5" s="0" t="n">
        <v>1</v>
      </c>
      <c r="V5" s="0" t="inlineStr">
        <is>
          <t>계단식</t>
        </is>
      </c>
      <c r="W5" s="0" t="n">
        <v>81</v>
      </c>
      <c r="X5" s="0" t="n">
        <v>23</v>
      </c>
      <c r="Y5" s="0" t="n">
        <v>15</v>
      </c>
      <c r="Z5" s="0" t="inlineStr">
        <is>
          <t>https://new.land.naver.com/complexes/17209?tab=detail&amp;rf=Y</t>
        </is>
      </c>
      <c r="AA5" s="0" t="inlineStr">
        <is>
          <t>충청북도 청주시 서원구 개신동 635</t>
        </is>
      </c>
      <c r="AB5" s="0" t="inlineStr">
        <is>
          <t>충청북도</t>
        </is>
      </c>
      <c r="AC5" s="0" t="inlineStr">
        <is>
          <t>청주시</t>
        </is>
      </c>
      <c r="AD5" s="0" t="inlineStr">
        <is>
          <t>서원구</t>
        </is>
      </c>
      <c r="AE5" s="0" t="inlineStr">
        <is>
          <t>개신동</t>
        </is>
      </c>
      <c r="AG5" s="0" t="inlineStr">
        <is>
          <t>충청북도 청주시 서원구 경신로 68</t>
        </is>
      </c>
      <c r="AH5" s="0" t="n">
        <v>0</v>
      </c>
      <c r="AI5" s="0" t="n">
        <v>214</v>
      </c>
      <c r="AJ5" s="0" t="n">
        <v>18</v>
      </c>
      <c r="AK5" s="0" t="n">
        <v>992</v>
      </c>
      <c r="AL5" s="0" t="n">
        <v>1.01</v>
      </c>
    </row>
    <row r="6">
      <c r="A6" s="0" t="inlineStr">
        <is>
          <t>[개신동]</t>
        </is>
      </c>
      <c r="B6" s="0" t="n">
        <v>7274</v>
      </c>
      <c r="C6" s="0" t="n">
        <v>1</v>
      </c>
      <c r="D6" s="0" t="inlineStr">
        <is>
          <t>개신두진백로2차</t>
        </is>
      </c>
      <c r="E6" s="0" t="inlineStr">
        <is>
          <t>1993.12.</t>
        </is>
      </c>
      <c r="F6" s="0" t="n">
        <v>110</v>
      </c>
      <c r="G6" s="0" t="n">
        <v>27.74</v>
      </c>
      <c r="H6" s="0" t="n">
        <v>91.70999999999999</v>
      </c>
      <c r="I6" s="0" t="n">
        <v>17.96</v>
      </c>
      <c r="J6" s="0" t="n">
        <v>59.4</v>
      </c>
      <c r="K6" s="0" t="n">
        <v>45</v>
      </c>
      <c r="T6" s="0" t="n">
        <v>3</v>
      </c>
      <c r="U6" s="0" t="n">
        <v>1</v>
      </c>
      <c r="V6" s="0" t="inlineStr">
        <is>
          <t>계단식</t>
        </is>
      </c>
      <c r="W6" s="0" t="n">
        <v>91</v>
      </c>
      <c r="X6" s="0" t="n">
        <v>10</v>
      </c>
      <c r="Y6" s="0" t="n">
        <v>6</v>
      </c>
      <c r="Z6" s="0" t="inlineStr">
        <is>
          <t>https://new.land.naver.com/complexes/7274?tab=detail&amp;rf=Y</t>
        </is>
      </c>
      <c r="AA6" s="0" t="inlineStr">
        <is>
          <t>충청북도 청주시 서원구 개신동 445</t>
        </is>
      </c>
      <c r="AB6" s="0" t="inlineStr">
        <is>
          <t>충청북도</t>
        </is>
      </c>
      <c r="AC6" s="0" t="inlineStr">
        <is>
          <t>청주시</t>
        </is>
      </c>
      <c r="AD6" s="0" t="inlineStr">
        <is>
          <t>서원구</t>
        </is>
      </c>
      <c r="AE6" s="0" t="inlineStr">
        <is>
          <t>개신동</t>
        </is>
      </c>
      <c r="AG6" s="0" t="inlineStr">
        <is>
          <t>충청북도 청주시 서원구 모충로 38</t>
        </is>
      </c>
      <c r="AH6" s="0" t="n">
        <v>0</v>
      </c>
      <c r="AI6" s="0" t="n">
        <v>0</v>
      </c>
      <c r="AJ6" s="0" t="n">
        <v>0</v>
      </c>
      <c r="AK6" s="0" t="n">
        <v>120</v>
      </c>
      <c r="AL6" s="0" t="n">
        <v>1.09</v>
      </c>
    </row>
    <row r="7">
      <c r="A7" s="0" t="inlineStr">
        <is>
          <t>[개신동]</t>
        </is>
      </c>
      <c r="B7" s="0" t="n">
        <v>7274</v>
      </c>
      <c r="C7" s="0" t="n">
        <v>2</v>
      </c>
      <c r="D7" s="0" t="inlineStr">
        <is>
          <t>개신두진백로2차</t>
        </is>
      </c>
      <c r="E7" s="0" t="inlineStr">
        <is>
          <t>1993.12.</t>
        </is>
      </c>
      <c r="F7" s="0" t="n">
        <v>110</v>
      </c>
      <c r="G7" s="0" t="n">
        <v>32.36</v>
      </c>
      <c r="H7" s="0" t="n">
        <v>106.99</v>
      </c>
      <c r="I7" s="0" t="n">
        <v>20.96</v>
      </c>
      <c r="J7" s="0" t="n">
        <v>69.3</v>
      </c>
      <c r="K7" s="0" t="n">
        <v>7</v>
      </c>
      <c r="T7" s="0" t="n">
        <v>3</v>
      </c>
      <c r="U7" s="0" t="n">
        <v>1</v>
      </c>
      <c r="V7" s="0" t="inlineStr">
        <is>
          <t>계단식</t>
        </is>
      </c>
      <c r="W7" s="0" t="n">
        <v>106</v>
      </c>
      <c r="X7" s="0" t="n">
        <v>10</v>
      </c>
      <c r="Y7" s="0" t="n">
        <v>6</v>
      </c>
      <c r="Z7" s="0" t="inlineStr">
        <is>
          <t>https://new.land.naver.com/complexes/7274?tab=detail&amp;rf=Y</t>
        </is>
      </c>
      <c r="AA7" s="0" t="inlineStr">
        <is>
          <t>충청북도 청주시 서원구 개신동 445</t>
        </is>
      </c>
      <c r="AB7" s="0" t="inlineStr">
        <is>
          <t>충청북도</t>
        </is>
      </c>
      <c r="AC7" s="0" t="inlineStr">
        <is>
          <t>청주시</t>
        </is>
      </c>
      <c r="AD7" s="0" t="inlineStr">
        <is>
          <t>서원구</t>
        </is>
      </c>
      <c r="AE7" s="0" t="inlineStr">
        <is>
          <t>개신동</t>
        </is>
      </c>
      <c r="AG7" s="0" t="inlineStr">
        <is>
          <t>충청북도 청주시 서원구 모충로 38</t>
        </is>
      </c>
      <c r="AH7" s="0" t="n">
        <v>0</v>
      </c>
      <c r="AI7" s="0" t="n">
        <v>0</v>
      </c>
      <c r="AJ7" s="0" t="n">
        <v>0</v>
      </c>
      <c r="AK7" s="0" t="n">
        <v>120</v>
      </c>
      <c r="AL7" s="0" t="n">
        <v>1.09</v>
      </c>
    </row>
    <row r="8">
      <c r="A8" s="0" t="inlineStr">
        <is>
          <t>[개신동]</t>
        </is>
      </c>
      <c r="B8" s="0" t="n">
        <v>7274</v>
      </c>
      <c r="C8" s="0" t="n">
        <v>3</v>
      </c>
      <c r="D8" s="0" t="inlineStr">
        <is>
          <t>개신두진백로2차</t>
        </is>
      </c>
      <c r="E8" s="0" t="inlineStr">
        <is>
          <t>1993.12.</t>
        </is>
      </c>
      <c r="F8" s="0" t="n">
        <v>110</v>
      </c>
      <c r="G8" s="0" t="n">
        <v>35.9</v>
      </c>
      <c r="H8" s="0" t="n">
        <v>118.7</v>
      </c>
      <c r="I8" s="0" t="n">
        <v>25.69</v>
      </c>
      <c r="J8" s="0" t="n">
        <v>84.95</v>
      </c>
      <c r="K8" s="0" t="n">
        <v>58</v>
      </c>
      <c r="T8" s="0" t="n">
        <v>3</v>
      </c>
      <c r="U8" s="0" t="n">
        <v>2</v>
      </c>
      <c r="V8" s="0" t="inlineStr">
        <is>
          <t>계단식</t>
        </is>
      </c>
      <c r="W8" s="0" t="n">
        <v>118</v>
      </c>
      <c r="X8" s="0" t="n">
        <v>10</v>
      </c>
      <c r="Y8" s="0" t="n">
        <v>6</v>
      </c>
      <c r="Z8" s="0" t="inlineStr">
        <is>
          <t>https://new.land.naver.com/complexes/7274?tab=detail&amp;rf=Y</t>
        </is>
      </c>
      <c r="AA8" s="0" t="inlineStr">
        <is>
          <t>충청북도 청주시 서원구 개신동 445</t>
        </is>
      </c>
      <c r="AB8" s="0" t="inlineStr">
        <is>
          <t>충청북도</t>
        </is>
      </c>
      <c r="AC8" s="0" t="inlineStr">
        <is>
          <t>청주시</t>
        </is>
      </c>
      <c r="AD8" s="0" t="inlineStr">
        <is>
          <t>서원구</t>
        </is>
      </c>
      <c r="AE8" s="0" t="inlineStr">
        <is>
          <t>개신동</t>
        </is>
      </c>
      <c r="AG8" s="0" t="inlineStr">
        <is>
          <t>충청북도 청주시 서원구 모충로 38</t>
        </is>
      </c>
      <c r="AH8" s="0" t="n">
        <v>0</v>
      </c>
      <c r="AI8" s="0" t="n">
        <v>0</v>
      </c>
      <c r="AJ8" s="0" t="n">
        <v>0</v>
      </c>
      <c r="AK8" s="0" t="n">
        <v>120</v>
      </c>
      <c r="AL8" s="0" t="n">
        <v>1.09</v>
      </c>
    </row>
    <row r="9">
      <c r="A9" s="0" t="inlineStr">
        <is>
          <t>[개신동]</t>
        </is>
      </c>
      <c r="B9" s="0" t="n">
        <v>115036</v>
      </c>
      <c r="C9" s="0" t="n">
        <v>1</v>
      </c>
      <c r="D9" s="0" t="inlineStr">
        <is>
          <t>개신광영</t>
        </is>
      </c>
      <c r="E9" s="0" t="inlineStr">
        <is>
          <t>1997.12.</t>
        </is>
      </c>
      <c r="F9" s="0" t="n">
        <v>110</v>
      </c>
      <c r="G9" s="0" t="n">
        <v>15.46</v>
      </c>
      <c r="H9" s="0" t="n">
        <v>51.12</v>
      </c>
      <c r="I9" s="0" t="n">
        <v>11.69</v>
      </c>
      <c r="J9" s="0" t="n">
        <v>38.65</v>
      </c>
      <c r="K9" s="0" t="n">
        <v>110</v>
      </c>
      <c r="T9" s="0" t="n">
        <v>2</v>
      </c>
      <c r="U9" s="0" t="n">
        <v>1</v>
      </c>
      <c r="V9" s="0" t="inlineStr">
        <is>
          <t>복도식</t>
        </is>
      </c>
      <c r="W9" s="0" t="n">
        <v>51</v>
      </c>
      <c r="X9" s="0" t="n">
        <v>11</v>
      </c>
      <c r="Y9" s="0" t="n">
        <v>9</v>
      </c>
      <c r="Z9" s="0" t="inlineStr">
        <is>
          <t>https://new.land.naver.com/complexes/115036?tab=detail&amp;rf=Y</t>
        </is>
      </c>
      <c r="AA9" s="0" t="inlineStr">
        <is>
          <t>충청북도 청주시 서원구 개신동 1-19</t>
        </is>
      </c>
      <c r="AB9" s="0" t="inlineStr">
        <is>
          <t>충청북도</t>
        </is>
      </c>
      <c r="AC9" s="0" t="inlineStr">
        <is>
          <t>청주시</t>
        </is>
      </c>
      <c r="AD9" s="0" t="inlineStr">
        <is>
          <t>서원구</t>
        </is>
      </c>
      <c r="AE9" s="0" t="inlineStr">
        <is>
          <t>개신동</t>
        </is>
      </c>
      <c r="AG9" s="0" t="inlineStr">
        <is>
          <t>충청북도 청주시 서원구 예체로7번길 33</t>
        </is>
      </c>
      <c r="AH9" s="0" t="n">
        <v>110</v>
      </c>
      <c r="AI9" s="0" t="n">
        <v>201</v>
      </c>
      <c r="AJ9" s="0" t="n">
        <v>25</v>
      </c>
      <c r="AK9" s="0" t="n">
        <v>97</v>
      </c>
      <c r="AL9" s="0" t="n">
        <v>0.88</v>
      </c>
    </row>
    <row r="10">
      <c r="A10" s="0" t="inlineStr">
        <is>
          <t>[개신동]</t>
        </is>
      </c>
      <c r="B10" s="0" t="n">
        <v>15431</v>
      </c>
      <c r="C10" s="0" t="n">
        <v>1</v>
      </c>
      <c r="D10" s="0" t="inlineStr">
        <is>
          <t>시영(청주)</t>
        </is>
      </c>
      <c r="E10" s="0" t="inlineStr">
        <is>
          <t>1990.12.</t>
        </is>
      </c>
      <c r="F10" s="0" t="n">
        <v>141</v>
      </c>
      <c r="G10" s="0" t="n">
        <v>14.45</v>
      </c>
      <c r="H10" s="0" t="n">
        <v>47.77</v>
      </c>
      <c r="I10" s="0" t="n">
        <v>11.65</v>
      </c>
      <c r="J10" s="0" t="n">
        <v>38.52</v>
      </c>
      <c r="K10" s="0" t="n">
        <v>141</v>
      </c>
      <c r="T10" s="0" t="n">
        <v>2</v>
      </c>
      <c r="U10" s="0" t="n">
        <v>1</v>
      </c>
      <c r="V10" s="0" t="inlineStr">
        <is>
          <t>계단식</t>
        </is>
      </c>
      <c r="W10" s="0" t="n">
        <v>47</v>
      </c>
      <c r="X10" s="0" t="n">
        <v>6</v>
      </c>
      <c r="Y10" s="0" t="n">
        <v>4</v>
      </c>
      <c r="Z10" s="0" t="inlineStr">
        <is>
          <t>https://new.land.naver.com/complexes/15431?tab=detail&amp;rf=Y</t>
        </is>
      </c>
      <c r="AA10" s="0" t="inlineStr">
        <is>
          <t>충청북도 청주시 서원구 개신동 506</t>
        </is>
      </c>
      <c r="AB10" s="0" t="inlineStr">
        <is>
          <t>충청북도</t>
        </is>
      </c>
      <c r="AC10" s="0" t="inlineStr">
        <is>
          <t>청주시</t>
        </is>
      </c>
      <c r="AD10" s="0" t="inlineStr">
        <is>
          <t>서원구</t>
        </is>
      </c>
      <c r="AE10" s="0" t="inlineStr">
        <is>
          <t>개신동</t>
        </is>
      </c>
      <c r="AG10" s="0" t="inlineStr">
        <is>
          <t>충청북도 청주시 서원구 신율로 71</t>
        </is>
      </c>
      <c r="AH10" s="0" t="n">
        <v>0</v>
      </c>
      <c r="AI10" s="0" t="n">
        <v>116</v>
      </c>
      <c r="AJ10" s="0" t="n">
        <v>55</v>
      </c>
      <c r="AK10" s="0" t="n">
        <v>0</v>
      </c>
      <c r="AL10" s="0" t="n">
        <v>0</v>
      </c>
    </row>
    <row r="11">
      <c r="A11" s="0" t="inlineStr">
        <is>
          <t>[개신동]</t>
        </is>
      </c>
      <c r="B11" s="0" t="n">
        <v>116848</v>
      </c>
      <c r="C11" s="0" t="n">
        <v>1</v>
      </c>
      <c r="D11" s="0" t="inlineStr">
        <is>
          <t>수펠리스(도시형)</t>
        </is>
      </c>
      <c r="E11" s="0" t="inlineStr">
        <is>
          <t>2016.06.</t>
        </is>
      </c>
      <c r="F11" s="0" t="n">
        <v>60</v>
      </c>
      <c r="G11" s="0" t="n">
        <v>11.35</v>
      </c>
      <c r="H11" s="0" t="n">
        <v>37.53</v>
      </c>
      <c r="I11" s="0" t="n">
        <v>8.130000000000001</v>
      </c>
      <c r="J11" s="0" t="n">
        <v>26.88</v>
      </c>
      <c r="K11" s="0" t="n">
        <v>12</v>
      </c>
      <c r="T11" s="0" t="n">
        <v>1</v>
      </c>
      <c r="U11" s="0" t="n">
        <v>1</v>
      </c>
      <c r="V11" s="0" t="inlineStr">
        <is>
          <t>복도식</t>
        </is>
      </c>
      <c r="W11" s="0" t="n">
        <v>37</v>
      </c>
      <c r="X11" s="0" t="n">
        <v>7</v>
      </c>
      <c r="Y11" s="0" t="n">
        <v>7</v>
      </c>
      <c r="Z11" s="0" t="inlineStr">
        <is>
          <t>https://new.land.naver.com/complexes/116848?tab=detail&amp;rf=Y</t>
        </is>
      </c>
      <c r="AA11" s="0" t="inlineStr">
        <is>
          <t>충청북도 청주시 서원구 개신동 707</t>
        </is>
      </c>
      <c r="AB11" s="0" t="inlineStr">
        <is>
          <t>충청북도</t>
        </is>
      </c>
      <c r="AC11" s="0" t="inlineStr">
        <is>
          <t>청주시</t>
        </is>
      </c>
      <c r="AD11" s="0" t="inlineStr">
        <is>
          <t>서원구</t>
        </is>
      </c>
      <c r="AE11" s="0" t="inlineStr">
        <is>
          <t>개신동</t>
        </is>
      </c>
      <c r="AG11" s="0" t="inlineStr">
        <is>
          <t>충청북도 청주시 서원구 복대로17번길 11</t>
        </is>
      </c>
      <c r="AH11" s="0" t="n">
        <v>0</v>
      </c>
      <c r="AI11" s="0" t="n">
        <v>446</v>
      </c>
      <c r="AJ11" s="0" t="n">
        <v>69</v>
      </c>
      <c r="AK11" s="0" t="n">
        <v>26</v>
      </c>
      <c r="AL11" s="0" t="n">
        <v>0.43</v>
      </c>
    </row>
    <row r="12">
      <c r="A12" s="0" t="inlineStr">
        <is>
          <t>[개신동]</t>
        </is>
      </c>
      <c r="B12" s="0" t="n">
        <v>116848</v>
      </c>
      <c r="C12" s="0" t="n">
        <v>2</v>
      </c>
      <c r="D12" s="0" t="inlineStr">
        <is>
          <t>수펠리스(도시형)</t>
        </is>
      </c>
      <c r="E12" s="0" t="inlineStr">
        <is>
          <t>2016.06.</t>
        </is>
      </c>
      <c r="F12" s="0" t="n">
        <v>60</v>
      </c>
      <c r="G12" s="0" t="n">
        <v>11.75</v>
      </c>
      <c r="H12" s="0" t="n">
        <v>38.86</v>
      </c>
      <c r="I12" s="0" t="n">
        <v>8.470000000000001</v>
      </c>
      <c r="J12" s="0" t="n">
        <v>28</v>
      </c>
      <c r="K12" s="0" t="n">
        <v>6</v>
      </c>
      <c r="T12" s="0" t="n">
        <v>1</v>
      </c>
      <c r="U12" s="0" t="n">
        <v>1</v>
      </c>
      <c r="V12" s="0" t="inlineStr">
        <is>
          <t>복도식</t>
        </is>
      </c>
      <c r="W12" s="0" t="n">
        <v>38</v>
      </c>
      <c r="X12" s="0" t="n">
        <v>7</v>
      </c>
      <c r="Y12" s="0" t="n">
        <v>7</v>
      </c>
      <c r="Z12" s="0" t="inlineStr">
        <is>
          <t>https://new.land.naver.com/complexes/116848?tab=detail&amp;rf=Y</t>
        </is>
      </c>
      <c r="AA12" s="0" t="inlineStr">
        <is>
          <t>충청북도 청주시 서원구 개신동 707</t>
        </is>
      </c>
      <c r="AB12" s="0" t="inlineStr">
        <is>
          <t>충청북도</t>
        </is>
      </c>
      <c r="AC12" s="0" t="inlineStr">
        <is>
          <t>청주시</t>
        </is>
      </c>
      <c r="AD12" s="0" t="inlineStr">
        <is>
          <t>서원구</t>
        </is>
      </c>
      <c r="AE12" s="0" t="inlineStr">
        <is>
          <t>개신동</t>
        </is>
      </c>
      <c r="AG12" s="0" t="inlineStr">
        <is>
          <t>충청북도 청주시 서원구 복대로17번길 11</t>
        </is>
      </c>
      <c r="AH12" s="0" t="n">
        <v>0</v>
      </c>
      <c r="AI12" s="0" t="n">
        <v>446</v>
      </c>
      <c r="AJ12" s="0" t="n">
        <v>69</v>
      </c>
      <c r="AK12" s="0" t="n">
        <v>26</v>
      </c>
      <c r="AL12" s="0" t="n">
        <v>0.43</v>
      </c>
    </row>
    <row r="13">
      <c r="A13" s="0" t="inlineStr">
        <is>
          <t>[개신동]</t>
        </is>
      </c>
      <c r="B13" s="0" t="n">
        <v>116848</v>
      </c>
      <c r="C13" s="0" t="n">
        <v>3</v>
      </c>
      <c r="D13" s="0" t="inlineStr">
        <is>
          <t>수펠리스(도시형)</t>
        </is>
      </c>
      <c r="E13" s="0" t="inlineStr">
        <is>
          <t>2016.06.</t>
        </is>
      </c>
      <c r="F13" s="0" t="n">
        <v>60</v>
      </c>
      <c r="G13" s="0" t="n">
        <v>18.17</v>
      </c>
      <c r="H13" s="0" t="n">
        <v>60.08</v>
      </c>
      <c r="I13" s="0" t="n">
        <v>13.28</v>
      </c>
      <c r="J13" s="0" t="n">
        <v>43.92</v>
      </c>
      <c r="K13" s="0" t="n">
        <v>6</v>
      </c>
      <c r="T13" s="0" t="n">
        <v>2</v>
      </c>
      <c r="U13" s="0" t="n">
        <v>1</v>
      </c>
      <c r="V13" s="0" t="inlineStr">
        <is>
          <t>복도식</t>
        </is>
      </c>
      <c r="W13" s="0" t="n">
        <v>60</v>
      </c>
      <c r="X13" s="0" t="n">
        <v>7</v>
      </c>
      <c r="Y13" s="0" t="n">
        <v>7</v>
      </c>
      <c r="Z13" s="0" t="inlineStr">
        <is>
          <t>https://new.land.naver.com/complexes/116848?tab=detail&amp;rf=Y</t>
        </is>
      </c>
      <c r="AA13" s="0" t="inlineStr">
        <is>
          <t>충청북도 청주시 서원구 개신동 707</t>
        </is>
      </c>
      <c r="AB13" s="0" t="inlineStr">
        <is>
          <t>충청북도</t>
        </is>
      </c>
      <c r="AC13" s="0" t="inlineStr">
        <is>
          <t>청주시</t>
        </is>
      </c>
      <c r="AD13" s="0" t="inlineStr">
        <is>
          <t>서원구</t>
        </is>
      </c>
      <c r="AE13" s="0" t="inlineStr">
        <is>
          <t>개신동</t>
        </is>
      </c>
      <c r="AG13" s="0" t="inlineStr">
        <is>
          <t>충청북도 청주시 서원구 복대로17번길 11</t>
        </is>
      </c>
      <c r="AH13" s="0" t="n">
        <v>0</v>
      </c>
      <c r="AI13" s="0" t="n">
        <v>446</v>
      </c>
      <c r="AJ13" s="0" t="n">
        <v>69</v>
      </c>
      <c r="AK13" s="0" t="n">
        <v>26</v>
      </c>
      <c r="AL13" s="0" t="n">
        <v>0.43</v>
      </c>
    </row>
    <row r="14">
      <c r="A14" s="0" t="inlineStr">
        <is>
          <t>[개신동]</t>
        </is>
      </c>
      <c r="B14" s="0" t="n">
        <v>116848</v>
      </c>
      <c r="C14" s="0" t="n">
        <v>4</v>
      </c>
      <c r="D14" s="0" t="inlineStr">
        <is>
          <t>수펠리스(도시형)</t>
        </is>
      </c>
      <c r="E14" s="0" t="inlineStr">
        <is>
          <t>2016.06.</t>
        </is>
      </c>
      <c r="F14" s="0" t="n">
        <v>60</v>
      </c>
      <c r="G14" s="0" t="n">
        <v>18.62</v>
      </c>
      <c r="H14" s="0" t="n">
        <v>61.57</v>
      </c>
      <c r="I14" s="0" t="n">
        <v>13.58</v>
      </c>
      <c r="J14" s="0" t="n">
        <v>44.91</v>
      </c>
      <c r="K14" s="0" t="n">
        <v>6</v>
      </c>
      <c r="T14" s="0" t="n">
        <v>2</v>
      </c>
      <c r="U14" s="0" t="n">
        <v>1</v>
      </c>
      <c r="V14" s="0" t="inlineStr">
        <is>
          <t>복도식</t>
        </is>
      </c>
      <c r="W14" s="0" t="inlineStr">
        <is>
          <t>61A</t>
        </is>
      </c>
      <c r="X14" s="0" t="n">
        <v>7</v>
      </c>
      <c r="Y14" s="0" t="n">
        <v>7</v>
      </c>
      <c r="Z14" s="0" t="inlineStr">
        <is>
          <t>https://new.land.naver.com/complexes/116848?tab=detail&amp;rf=Y</t>
        </is>
      </c>
      <c r="AA14" s="0" t="inlineStr">
        <is>
          <t>충청북도 청주시 서원구 개신동 707</t>
        </is>
      </c>
      <c r="AB14" s="0" t="inlineStr">
        <is>
          <t>충청북도</t>
        </is>
      </c>
      <c r="AC14" s="0" t="inlineStr">
        <is>
          <t>청주시</t>
        </is>
      </c>
      <c r="AD14" s="0" t="inlineStr">
        <is>
          <t>서원구</t>
        </is>
      </c>
      <c r="AE14" s="0" t="inlineStr">
        <is>
          <t>개신동</t>
        </is>
      </c>
      <c r="AG14" s="0" t="inlineStr">
        <is>
          <t>충청북도 청주시 서원구 복대로17번길 11</t>
        </is>
      </c>
      <c r="AH14" s="0" t="n">
        <v>0</v>
      </c>
      <c r="AI14" s="0" t="n">
        <v>446</v>
      </c>
      <c r="AJ14" s="0" t="n">
        <v>69</v>
      </c>
      <c r="AK14" s="0" t="n">
        <v>26</v>
      </c>
      <c r="AL14" s="0" t="n">
        <v>0.43</v>
      </c>
    </row>
    <row r="15">
      <c r="A15" s="0" t="inlineStr">
        <is>
          <t>[개신동]</t>
        </is>
      </c>
      <c r="B15" s="0" t="n">
        <v>116848</v>
      </c>
      <c r="C15" s="0" t="n">
        <v>5</v>
      </c>
      <c r="D15" s="0" t="inlineStr">
        <is>
          <t>수펠리스(도시형)</t>
        </is>
      </c>
      <c r="E15" s="0" t="inlineStr">
        <is>
          <t>2016.06.</t>
        </is>
      </c>
      <c r="F15" s="0" t="n">
        <v>60</v>
      </c>
      <c r="G15" s="0" t="n">
        <v>18.8</v>
      </c>
      <c r="H15" s="0" t="n">
        <v>62.18</v>
      </c>
      <c r="I15" s="0" t="n">
        <v>13.68</v>
      </c>
      <c r="J15" s="0" t="n">
        <v>45.24</v>
      </c>
      <c r="K15" s="0" t="n">
        <v>6</v>
      </c>
      <c r="T15" s="0" t="n">
        <v>2</v>
      </c>
      <c r="U15" s="0" t="n">
        <v>1</v>
      </c>
      <c r="V15" s="0" t="inlineStr">
        <is>
          <t>복도식</t>
        </is>
      </c>
      <c r="W15" s="0" t="inlineStr">
        <is>
          <t>62B</t>
        </is>
      </c>
      <c r="X15" s="0" t="n">
        <v>7</v>
      </c>
      <c r="Y15" s="0" t="n">
        <v>7</v>
      </c>
      <c r="Z15" s="0" t="inlineStr">
        <is>
          <t>https://new.land.naver.com/complexes/116848?tab=detail&amp;rf=Y</t>
        </is>
      </c>
      <c r="AA15" s="0" t="inlineStr">
        <is>
          <t>충청북도 청주시 서원구 개신동 707</t>
        </is>
      </c>
      <c r="AB15" s="0" t="inlineStr">
        <is>
          <t>충청북도</t>
        </is>
      </c>
      <c r="AC15" s="0" t="inlineStr">
        <is>
          <t>청주시</t>
        </is>
      </c>
      <c r="AD15" s="0" t="inlineStr">
        <is>
          <t>서원구</t>
        </is>
      </c>
      <c r="AE15" s="0" t="inlineStr">
        <is>
          <t>개신동</t>
        </is>
      </c>
      <c r="AG15" s="0" t="inlineStr">
        <is>
          <t>충청북도 청주시 서원구 복대로17번길 11</t>
        </is>
      </c>
      <c r="AH15" s="0" t="n">
        <v>0</v>
      </c>
      <c r="AI15" s="0" t="n">
        <v>446</v>
      </c>
      <c r="AJ15" s="0" t="n">
        <v>69</v>
      </c>
      <c r="AK15" s="0" t="n">
        <v>26</v>
      </c>
      <c r="AL15" s="0" t="n">
        <v>0.43</v>
      </c>
    </row>
    <row r="16">
      <c r="A16" s="0" t="inlineStr">
        <is>
          <t>[개신동]</t>
        </is>
      </c>
      <c r="B16" s="0" t="n">
        <v>116848</v>
      </c>
      <c r="C16" s="0" t="n">
        <v>6</v>
      </c>
      <c r="D16" s="0" t="inlineStr">
        <is>
          <t>수펠리스(도시형)</t>
        </is>
      </c>
      <c r="E16" s="0" t="inlineStr">
        <is>
          <t>2016.06.</t>
        </is>
      </c>
      <c r="F16" s="0" t="n">
        <v>60</v>
      </c>
      <c r="G16" s="0" t="n">
        <v>19.73</v>
      </c>
      <c r="H16" s="0" t="n">
        <v>65.25</v>
      </c>
      <c r="I16" s="0" t="n">
        <v>14.27</v>
      </c>
      <c r="J16" s="0" t="n">
        <v>47.2</v>
      </c>
      <c r="K16" s="0" t="n">
        <v>6</v>
      </c>
      <c r="T16" s="0" t="n">
        <v>3</v>
      </c>
      <c r="U16" s="0" t="n">
        <v>1</v>
      </c>
      <c r="V16" s="0" t="inlineStr">
        <is>
          <t>복도식</t>
        </is>
      </c>
      <c r="W16" s="0" t="inlineStr">
        <is>
          <t>65A</t>
        </is>
      </c>
      <c r="X16" s="0" t="n">
        <v>7</v>
      </c>
      <c r="Y16" s="0" t="n">
        <v>7</v>
      </c>
      <c r="Z16" s="0" t="inlineStr">
        <is>
          <t>https://new.land.naver.com/complexes/116848?tab=detail&amp;rf=Y</t>
        </is>
      </c>
      <c r="AA16" s="0" t="inlineStr">
        <is>
          <t>충청북도 청주시 서원구 개신동 707</t>
        </is>
      </c>
      <c r="AB16" s="0" t="inlineStr">
        <is>
          <t>충청북도</t>
        </is>
      </c>
      <c r="AC16" s="0" t="inlineStr">
        <is>
          <t>청주시</t>
        </is>
      </c>
      <c r="AD16" s="0" t="inlineStr">
        <is>
          <t>서원구</t>
        </is>
      </c>
      <c r="AE16" s="0" t="inlineStr">
        <is>
          <t>개신동</t>
        </is>
      </c>
      <c r="AG16" s="0" t="inlineStr">
        <is>
          <t>충청북도 청주시 서원구 복대로17번길 11</t>
        </is>
      </c>
      <c r="AH16" s="0" t="n">
        <v>0</v>
      </c>
      <c r="AI16" s="0" t="n">
        <v>446</v>
      </c>
      <c r="AJ16" s="0" t="n">
        <v>69</v>
      </c>
      <c r="AK16" s="0" t="n">
        <v>26</v>
      </c>
      <c r="AL16" s="0" t="n">
        <v>0.43</v>
      </c>
    </row>
    <row r="17">
      <c r="A17" s="0" t="inlineStr">
        <is>
          <t>[개신동]</t>
        </is>
      </c>
      <c r="B17" s="0" t="n">
        <v>116848</v>
      </c>
      <c r="C17" s="0" t="n">
        <v>7</v>
      </c>
      <c r="D17" s="0" t="inlineStr">
        <is>
          <t>수펠리스(도시형)</t>
        </is>
      </c>
      <c r="E17" s="0" t="inlineStr">
        <is>
          <t>2016.06.</t>
        </is>
      </c>
      <c r="F17" s="0" t="n">
        <v>60</v>
      </c>
      <c r="G17" s="0" t="n">
        <v>20.55</v>
      </c>
      <c r="H17" s="0" t="n">
        <v>67.94</v>
      </c>
      <c r="I17" s="0" t="n">
        <v>15.05</v>
      </c>
      <c r="J17" s="0" t="n">
        <v>49.77</v>
      </c>
      <c r="K17" s="0" t="n">
        <v>6</v>
      </c>
      <c r="T17" s="0" t="n">
        <v>3</v>
      </c>
      <c r="U17" s="0" t="n">
        <v>1</v>
      </c>
      <c r="V17" s="0" t="inlineStr">
        <is>
          <t>복도식</t>
        </is>
      </c>
      <c r="W17" s="0" t="n">
        <v>67</v>
      </c>
      <c r="X17" s="0" t="n">
        <v>7</v>
      </c>
      <c r="Y17" s="0" t="n">
        <v>7</v>
      </c>
      <c r="Z17" s="0" t="inlineStr">
        <is>
          <t>https://new.land.naver.com/complexes/116848?tab=detail&amp;rf=Y</t>
        </is>
      </c>
      <c r="AA17" s="0" t="inlineStr">
        <is>
          <t>충청북도 청주시 서원구 개신동 707</t>
        </is>
      </c>
      <c r="AB17" s="0" t="inlineStr">
        <is>
          <t>충청북도</t>
        </is>
      </c>
      <c r="AC17" s="0" t="inlineStr">
        <is>
          <t>청주시</t>
        </is>
      </c>
      <c r="AD17" s="0" t="inlineStr">
        <is>
          <t>서원구</t>
        </is>
      </c>
      <c r="AE17" s="0" t="inlineStr">
        <is>
          <t>개신동</t>
        </is>
      </c>
      <c r="AG17" s="0" t="inlineStr">
        <is>
          <t>충청북도 청주시 서원구 복대로17번길 11</t>
        </is>
      </c>
      <c r="AH17" s="0" t="n">
        <v>0</v>
      </c>
      <c r="AI17" s="0" t="n">
        <v>446</v>
      </c>
      <c r="AJ17" s="0" t="n">
        <v>69</v>
      </c>
      <c r="AK17" s="0" t="n">
        <v>26</v>
      </c>
      <c r="AL17" s="0" t="n">
        <v>0.43</v>
      </c>
    </row>
    <row r="18">
      <c r="A18" s="0" t="inlineStr">
        <is>
          <t>[개신동]</t>
        </is>
      </c>
      <c r="B18" s="0" t="n">
        <v>116848</v>
      </c>
      <c r="C18" s="0" t="n">
        <v>8</v>
      </c>
      <c r="D18" s="0" t="inlineStr">
        <is>
          <t>수펠리스(도시형)</t>
        </is>
      </c>
      <c r="E18" s="0" t="inlineStr">
        <is>
          <t>2016.06.</t>
        </is>
      </c>
      <c r="F18" s="0" t="n">
        <v>60</v>
      </c>
      <c r="G18" s="0" t="n">
        <v>20.26</v>
      </c>
      <c r="H18" s="0" t="n">
        <v>67</v>
      </c>
      <c r="I18" s="0" t="n">
        <v>14.78</v>
      </c>
      <c r="J18" s="0" t="n">
        <v>48.88</v>
      </c>
      <c r="K18" s="0" t="n">
        <v>6</v>
      </c>
      <c r="T18" s="0" t="n">
        <v>3</v>
      </c>
      <c r="U18" s="0" t="n">
        <v>1</v>
      </c>
      <c r="V18" s="0" t="inlineStr">
        <is>
          <t>복도식</t>
        </is>
      </c>
      <c r="W18" s="0" t="inlineStr">
        <is>
          <t>67B</t>
        </is>
      </c>
      <c r="X18" s="0" t="n">
        <v>7</v>
      </c>
      <c r="Y18" s="0" t="n">
        <v>7</v>
      </c>
      <c r="Z18" s="0" t="inlineStr">
        <is>
          <t>https://new.land.naver.com/complexes/116848?tab=detail&amp;rf=Y</t>
        </is>
      </c>
      <c r="AA18" s="0" t="inlineStr">
        <is>
          <t>충청북도 청주시 서원구 개신동 707</t>
        </is>
      </c>
      <c r="AB18" s="0" t="inlineStr">
        <is>
          <t>충청북도</t>
        </is>
      </c>
      <c r="AC18" s="0" t="inlineStr">
        <is>
          <t>청주시</t>
        </is>
      </c>
      <c r="AD18" s="0" t="inlineStr">
        <is>
          <t>서원구</t>
        </is>
      </c>
      <c r="AE18" s="0" t="inlineStr">
        <is>
          <t>개신동</t>
        </is>
      </c>
      <c r="AG18" s="0" t="inlineStr">
        <is>
          <t>충청북도 청주시 서원구 복대로17번길 11</t>
        </is>
      </c>
      <c r="AH18" s="0" t="n">
        <v>0</v>
      </c>
      <c r="AI18" s="0" t="n">
        <v>446</v>
      </c>
      <c r="AJ18" s="0" t="n">
        <v>69</v>
      </c>
      <c r="AK18" s="0" t="n">
        <v>26</v>
      </c>
      <c r="AL18" s="0" t="n">
        <v>0.43</v>
      </c>
    </row>
    <row r="19">
      <c r="A19" s="0" t="inlineStr">
        <is>
          <t>[개신동]</t>
        </is>
      </c>
      <c r="B19" s="0" t="n">
        <v>116848</v>
      </c>
      <c r="C19" s="0" t="n">
        <v>9</v>
      </c>
      <c r="D19" s="0" t="inlineStr">
        <is>
          <t>수펠리스(도시형)</t>
        </is>
      </c>
      <c r="E19" s="0" t="inlineStr">
        <is>
          <t>2016.06.</t>
        </is>
      </c>
      <c r="F19" s="0" t="n">
        <v>60</v>
      </c>
      <c r="G19" s="0" t="n">
        <v>20.46</v>
      </c>
      <c r="H19" s="0" t="n">
        <v>67.64</v>
      </c>
      <c r="I19" s="0" t="n">
        <v>14.83</v>
      </c>
      <c r="J19" s="0" t="n">
        <v>49.04</v>
      </c>
      <c r="K19" s="0" t="n">
        <v>6</v>
      </c>
      <c r="T19" s="0" t="n">
        <v>3</v>
      </c>
      <c r="U19" s="0" t="n">
        <v>1</v>
      </c>
      <c r="V19" s="0" t="inlineStr">
        <is>
          <t>복도식</t>
        </is>
      </c>
      <c r="W19" s="0" t="inlineStr">
        <is>
          <t>67C</t>
        </is>
      </c>
      <c r="X19" s="0" t="n">
        <v>7</v>
      </c>
      <c r="Y19" s="0" t="n">
        <v>7</v>
      </c>
      <c r="Z19" s="0" t="inlineStr">
        <is>
          <t>https://new.land.naver.com/complexes/116848?tab=detail&amp;rf=Y</t>
        </is>
      </c>
      <c r="AA19" s="0" t="inlineStr">
        <is>
          <t>충청북도 청주시 서원구 개신동 707</t>
        </is>
      </c>
      <c r="AB19" s="0" t="inlineStr">
        <is>
          <t>충청북도</t>
        </is>
      </c>
      <c r="AC19" s="0" t="inlineStr">
        <is>
          <t>청주시</t>
        </is>
      </c>
      <c r="AD19" s="0" t="inlineStr">
        <is>
          <t>서원구</t>
        </is>
      </c>
      <c r="AE19" s="0" t="inlineStr">
        <is>
          <t>개신동</t>
        </is>
      </c>
      <c r="AG19" s="0" t="inlineStr">
        <is>
          <t>충청북도 청주시 서원구 복대로17번길 11</t>
        </is>
      </c>
      <c r="AH19" s="0" t="n">
        <v>0</v>
      </c>
      <c r="AI19" s="0" t="n">
        <v>446</v>
      </c>
      <c r="AJ19" s="0" t="n">
        <v>69</v>
      </c>
      <c r="AK19" s="0" t="n">
        <v>26</v>
      </c>
      <c r="AL19" s="0" t="n">
        <v>0.43</v>
      </c>
    </row>
    <row r="20">
      <c r="A20" s="0" t="inlineStr">
        <is>
          <t>[개신동]</t>
        </is>
      </c>
      <c r="B20" s="0" t="n">
        <v>7270</v>
      </c>
      <c r="C20" s="0" t="n">
        <v>1</v>
      </c>
      <c r="D20" s="0" t="inlineStr">
        <is>
          <t>두진백로1단지</t>
        </is>
      </c>
      <c r="E20" s="0" t="inlineStr">
        <is>
          <t>1993.04.</t>
        </is>
      </c>
      <c r="F20" s="0" t="n">
        <v>227</v>
      </c>
      <c r="G20" s="0" t="n">
        <v>31.28</v>
      </c>
      <c r="H20" s="0" t="n">
        <v>103.41</v>
      </c>
      <c r="I20" s="0" t="n">
        <v>24.83</v>
      </c>
      <c r="J20" s="0" t="n">
        <v>82.11</v>
      </c>
      <c r="K20" s="0" t="n">
        <v>30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103A</t>
        </is>
      </c>
      <c r="X20" s="0" t="n">
        <v>15</v>
      </c>
      <c r="Y20" s="0" t="n">
        <v>10</v>
      </c>
      <c r="Z20" s="0" t="inlineStr">
        <is>
          <t>https://new.land.naver.com/complexes/7270?tab=detail&amp;rf=Y</t>
        </is>
      </c>
      <c r="AA20" s="0" t="inlineStr">
        <is>
          <t>충청북도 청주시 서원구 개신동 443</t>
        </is>
      </c>
      <c r="AB20" s="0" t="inlineStr">
        <is>
          <t>충청북도</t>
        </is>
      </c>
      <c r="AC20" s="0" t="inlineStr">
        <is>
          <t>청주시</t>
        </is>
      </c>
      <c r="AD20" s="0" t="inlineStr">
        <is>
          <t>서원구</t>
        </is>
      </c>
      <c r="AE20" s="0" t="inlineStr">
        <is>
          <t>개신동</t>
        </is>
      </c>
      <c r="AG20" s="0" t="inlineStr">
        <is>
          <t>충청북도 청주시 서원구 모충로 38</t>
        </is>
      </c>
      <c r="AH20" s="0" t="n">
        <v>0</v>
      </c>
      <c r="AI20" s="0" t="n">
        <v>385</v>
      </c>
      <c r="AJ20" s="0" t="n">
        <v>23</v>
      </c>
      <c r="AK20" s="0" t="n">
        <v>164</v>
      </c>
      <c r="AL20" s="0" t="n">
        <v>0.72</v>
      </c>
    </row>
    <row r="21">
      <c r="A21" s="0" t="inlineStr">
        <is>
          <t>[개신동]</t>
        </is>
      </c>
      <c r="B21" s="0" t="n">
        <v>7270</v>
      </c>
      <c r="C21" s="0" t="n">
        <v>2</v>
      </c>
      <c r="D21" s="0" t="inlineStr">
        <is>
          <t>두진백로1단지</t>
        </is>
      </c>
      <c r="E21" s="0" t="inlineStr">
        <is>
          <t>1993.04.</t>
        </is>
      </c>
      <c r="F21" s="0" t="n">
        <v>227</v>
      </c>
      <c r="G21" s="0" t="n">
        <v>32.03</v>
      </c>
      <c r="H21" s="0" t="n">
        <v>105.9</v>
      </c>
      <c r="I21" s="0" t="n">
        <v>25.43</v>
      </c>
      <c r="J21" s="0" t="n">
        <v>84.09</v>
      </c>
      <c r="K21" s="0" t="n">
        <v>15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105B</t>
        </is>
      </c>
      <c r="X21" s="0" t="n">
        <v>15</v>
      </c>
      <c r="Y21" s="0" t="n">
        <v>10</v>
      </c>
      <c r="Z21" s="0" t="inlineStr">
        <is>
          <t>https://new.land.naver.com/complexes/7270?tab=detail&amp;rf=Y</t>
        </is>
      </c>
      <c r="AA21" s="0" t="inlineStr">
        <is>
          <t>충청북도 청주시 서원구 개신동 443</t>
        </is>
      </c>
      <c r="AB21" s="0" t="inlineStr">
        <is>
          <t>충청북도</t>
        </is>
      </c>
      <c r="AC21" s="0" t="inlineStr">
        <is>
          <t>청주시</t>
        </is>
      </c>
      <c r="AD21" s="0" t="inlineStr">
        <is>
          <t>서원구</t>
        </is>
      </c>
      <c r="AE21" s="0" t="inlineStr">
        <is>
          <t>개신동</t>
        </is>
      </c>
      <c r="AG21" s="0" t="inlineStr">
        <is>
          <t>충청북도 청주시 서원구 모충로 38</t>
        </is>
      </c>
      <c r="AH21" s="0" t="n">
        <v>0</v>
      </c>
      <c r="AI21" s="0" t="n">
        <v>385</v>
      </c>
      <c r="AJ21" s="0" t="n">
        <v>23</v>
      </c>
      <c r="AK21" s="0" t="n">
        <v>164</v>
      </c>
      <c r="AL21" s="0" t="n">
        <v>0.72</v>
      </c>
    </row>
    <row r="22">
      <c r="A22" s="0" t="inlineStr">
        <is>
          <t>[개신동]</t>
        </is>
      </c>
      <c r="B22" s="0" t="n">
        <v>7270</v>
      </c>
      <c r="C22" s="0" t="n">
        <v>3</v>
      </c>
      <c r="D22" s="0" t="inlineStr">
        <is>
          <t>두진백로1단지</t>
        </is>
      </c>
      <c r="E22" s="0" t="inlineStr">
        <is>
          <t>1993.04.</t>
        </is>
      </c>
      <c r="F22" s="0" t="n">
        <v>227</v>
      </c>
      <c r="G22" s="0" t="n">
        <v>32.1</v>
      </c>
      <c r="H22" s="0" t="n">
        <v>106.12</v>
      </c>
      <c r="I22" s="0" t="n">
        <v>25.49</v>
      </c>
      <c r="J22" s="0" t="n">
        <v>84.27</v>
      </c>
      <c r="K22" s="0" t="n">
        <v>107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106C</t>
        </is>
      </c>
      <c r="X22" s="0" t="n">
        <v>15</v>
      </c>
      <c r="Y22" s="0" t="n">
        <v>10</v>
      </c>
      <c r="Z22" s="0" t="inlineStr">
        <is>
          <t>https://new.land.naver.com/complexes/7270?tab=detail&amp;rf=Y</t>
        </is>
      </c>
      <c r="AA22" s="0" t="inlineStr">
        <is>
          <t>충청북도 청주시 서원구 개신동 443</t>
        </is>
      </c>
      <c r="AB22" s="0" t="inlineStr">
        <is>
          <t>충청북도</t>
        </is>
      </c>
      <c r="AC22" s="0" t="inlineStr">
        <is>
          <t>청주시</t>
        </is>
      </c>
      <c r="AD22" s="0" t="inlineStr">
        <is>
          <t>서원구</t>
        </is>
      </c>
      <c r="AE22" s="0" t="inlineStr">
        <is>
          <t>개신동</t>
        </is>
      </c>
      <c r="AG22" s="0" t="inlineStr">
        <is>
          <t>충청북도 청주시 서원구 모충로 38</t>
        </is>
      </c>
      <c r="AH22" s="0" t="n">
        <v>0</v>
      </c>
      <c r="AI22" s="0" t="n">
        <v>385</v>
      </c>
      <c r="AJ22" s="0" t="n">
        <v>23</v>
      </c>
      <c r="AK22" s="0" t="n">
        <v>164</v>
      </c>
      <c r="AL22" s="0" t="n">
        <v>0.72</v>
      </c>
    </row>
    <row r="23">
      <c r="A23" s="0" t="inlineStr">
        <is>
          <t>[개신동]</t>
        </is>
      </c>
      <c r="B23" s="0" t="n">
        <v>7270</v>
      </c>
      <c r="C23" s="0" t="n">
        <v>4</v>
      </c>
      <c r="D23" s="0" t="inlineStr">
        <is>
          <t>두진백로1단지</t>
        </is>
      </c>
      <c r="E23" s="0" t="inlineStr">
        <is>
          <t>1993.04.</t>
        </is>
      </c>
      <c r="F23" s="0" t="n">
        <v>227</v>
      </c>
      <c r="G23" s="0" t="n">
        <v>32.35</v>
      </c>
      <c r="H23" s="0" t="n">
        <v>106.96</v>
      </c>
      <c r="I23" s="0" t="n">
        <v>25.69</v>
      </c>
      <c r="J23" s="0" t="n">
        <v>84.93000000000001</v>
      </c>
      <c r="K23" s="0" t="n">
        <v>30</v>
      </c>
      <c r="T23" s="0" t="n">
        <v>3</v>
      </c>
      <c r="U23" s="0" t="n">
        <v>2</v>
      </c>
      <c r="V23" s="0" t="inlineStr">
        <is>
          <t>계단식</t>
        </is>
      </c>
      <c r="W23" s="0" t="n">
        <v>106</v>
      </c>
      <c r="X23" s="0" t="n">
        <v>15</v>
      </c>
      <c r="Y23" s="0" t="n">
        <v>10</v>
      </c>
      <c r="Z23" s="0" t="inlineStr">
        <is>
          <t>https://new.land.naver.com/complexes/7270?tab=detail&amp;rf=Y</t>
        </is>
      </c>
      <c r="AA23" s="0" t="inlineStr">
        <is>
          <t>충청북도 청주시 서원구 개신동 443</t>
        </is>
      </c>
      <c r="AB23" s="0" t="inlineStr">
        <is>
          <t>충청북도</t>
        </is>
      </c>
      <c r="AC23" s="0" t="inlineStr">
        <is>
          <t>청주시</t>
        </is>
      </c>
      <c r="AD23" s="0" t="inlineStr">
        <is>
          <t>서원구</t>
        </is>
      </c>
      <c r="AE23" s="0" t="inlineStr">
        <is>
          <t>개신동</t>
        </is>
      </c>
      <c r="AG23" s="0" t="inlineStr">
        <is>
          <t>충청북도 청주시 서원구 모충로 38</t>
        </is>
      </c>
      <c r="AH23" s="0" t="n">
        <v>0</v>
      </c>
      <c r="AI23" s="0" t="n">
        <v>385</v>
      </c>
      <c r="AJ23" s="0" t="n">
        <v>23</v>
      </c>
      <c r="AK23" s="0" t="n">
        <v>164</v>
      </c>
      <c r="AL23" s="0" t="n">
        <v>0.72</v>
      </c>
    </row>
    <row r="24">
      <c r="A24" s="0" t="inlineStr">
        <is>
          <t>[개신동]</t>
        </is>
      </c>
      <c r="B24" s="0" t="n">
        <v>7270</v>
      </c>
      <c r="C24" s="0" t="n">
        <v>5</v>
      </c>
      <c r="D24" s="0" t="inlineStr">
        <is>
          <t>두진백로1단지</t>
        </is>
      </c>
      <c r="E24" s="0" t="inlineStr">
        <is>
          <t>1993.04.</t>
        </is>
      </c>
      <c r="F24" s="0" t="n">
        <v>227</v>
      </c>
      <c r="G24" s="0" t="n">
        <v>33.73</v>
      </c>
      <c r="H24" s="0" t="n">
        <v>111.53</v>
      </c>
      <c r="I24" s="0" t="n">
        <v>26.78</v>
      </c>
      <c r="J24" s="0" t="n">
        <v>88.56</v>
      </c>
      <c r="K24" s="0" t="n">
        <v>15</v>
      </c>
      <c r="T24" s="0" t="n">
        <v>3</v>
      </c>
      <c r="U24" s="0" t="n">
        <v>2</v>
      </c>
      <c r="V24" s="0" t="inlineStr">
        <is>
          <t>계단식</t>
        </is>
      </c>
      <c r="W24" s="0" t="n">
        <v>111</v>
      </c>
      <c r="X24" s="0" t="n">
        <v>15</v>
      </c>
      <c r="Y24" s="0" t="n">
        <v>10</v>
      </c>
      <c r="Z24" s="0" t="inlineStr">
        <is>
          <t>https://new.land.naver.com/complexes/7270?tab=detail&amp;rf=Y</t>
        </is>
      </c>
      <c r="AA24" s="0" t="inlineStr">
        <is>
          <t>충청북도 청주시 서원구 개신동 443</t>
        </is>
      </c>
      <c r="AB24" s="0" t="inlineStr">
        <is>
          <t>충청북도</t>
        </is>
      </c>
      <c r="AC24" s="0" t="inlineStr">
        <is>
          <t>청주시</t>
        </is>
      </c>
      <c r="AD24" s="0" t="inlineStr">
        <is>
          <t>서원구</t>
        </is>
      </c>
      <c r="AE24" s="0" t="inlineStr">
        <is>
          <t>개신동</t>
        </is>
      </c>
      <c r="AG24" s="0" t="inlineStr">
        <is>
          <t>충청북도 청주시 서원구 모충로 38</t>
        </is>
      </c>
      <c r="AH24" s="0" t="n">
        <v>0</v>
      </c>
      <c r="AI24" s="0" t="n">
        <v>385</v>
      </c>
      <c r="AJ24" s="0" t="n">
        <v>23</v>
      </c>
      <c r="AK24" s="0" t="n">
        <v>164</v>
      </c>
      <c r="AL24" s="0" t="n">
        <v>0.72</v>
      </c>
    </row>
    <row r="25">
      <c r="A25" s="0" t="inlineStr">
        <is>
          <t>[개신동]</t>
        </is>
      </c>
      <c r="B25" s="0" t="n">
        <v>7270</v>
      </c>
      <c r="C25" s="0" t="n">
        <v>6</v>
      </c>
      <c r="D25" s="0" t="inlineStr">
        <is>
          <t>두진백로1단지</t>
        </is>
      </c>
      <c r="E25" s="0" t="inlineStr">
        <is>
          <t>1993.04.</t>
        </is>
      </c>
      <c r="F25" s="0" t="n">
        <v>227</v>
      </c>
      <c r="G25" s="0" t="n">
        <v>45.52</v>
      </c>
      <c r="H25" s="0" t="n">
        <v>150.49</v>
      </c>
      <c r="I25" s="0" t="n">
        <v>36.14</v>
      </c>
      <c r="J25" s="0" t="n">
        <v>119.49</v>
      </c>
      <c r="K25" s="0" t="n">
        <v>15</v>
      </c>
      <c r="T25" s="0" t="n">
        <v>4</v>
      </c>
      <c r="U25" s="0" t="n">
        <v>2</v>
      </c>
      <c r="V25" s="0" t="inlineStr">
        <is>
          <t>계단식</t>
        </is>
      </c>
      <c r="W25" s="0" t="inlineStr">
        <is>
          <t>150A</t>
        </is>
      </c>
      <c r="X25" s="0" t="n">
        <v>15</v>
      </c>
      <c r="Y25" s="0" t="n">
        <v>10</v>
      </c>
      <c r="Z25" s="0" t="inlineStr">
        <is>
          <t>https://new.land.naver.com/complexes/7270?tab=detail&amp;rf=Y</t>
        </is>
      </c>
      <c r="AA25" s="0" t="inlineStr">
        <is>
          <t>충청북도 청주시 서원구 개신동 443</t>
        </is>
      </c>
      <c r="AB25" s="0" t="inlineStr">
        <is>
          <t>충청북도</t>
        </is>
      </c>
      <c r="AC25" s="0" t="inlineStr">
        <is>
          <t>청주시</t>
        </is>
      </c>
      <c r="AD25" s="0" t="inlineStr">
        <is>
          <t>서원구</t>
        </is>
      </c>
      <c r="AE25" s="0" t="inlineStr">
        <is>
          <t>개신동</t>
        </is>
      </c>
      <c r="AG25" s="0" t="inlineStr">
        <is>
          <t>충청북도 청주시 서원구 모충로 38</t>
        </is>
      </c>
      <c r="AH25" s="0" t="n">
        <v>0</v>
      </c>
      <c r="AI25" s="0" t="n">
        <v>385</v>
      </c>
      <c r="AJ25" s="0" t="n">
        <v>23</v>
      </c>
      <c r="AK25" s="0" t="n">
        <v>164</v>
      </c>
      <c r="AL25" s="0" t="n">
        <v>0.72</v>
      </c>
    </row>
    <row r="26">
      <c r="A26" s="0" t="inlineStr">
        <is>
          <t>[개신동]</t>
        </is>
      </c>
      <c r="B26" s="0" t="n">
        <v>7270</v>
      </c>
      <c r="C26" s="0" t="n">
        <v>7</v>
      </c>
      <c r="D26" s="0" t="inlineStr">
        <is>
          <t>두진백로1단지</t>
        </is>
      </c>
      <c r="E26" s="0" t="inlineStr">
        <is>
          <t>1993.04.</t>
        </is>
      </c>
      <c r="F26" s="0" t="n">
        <v>227</v>
      </c>
      <c r="G26" s="0" t="n">
        <v>45.53</v>
      </c>
      <c r="H26" s="0" t="n">
        <v>150.52</v>
      </c>
      <c r="I26" s="0" t="n">
        <v>36.15</v>
      </c>
      <c r="J26" s="0" t="n">
        <v>119.52</v>
      </c>
      <c r="K26" s="0" t="n">
        <v>15</v>
      </c>
      <c r="T26" s="0" t="n">
        <v>4</v>
      </c>
      <c r="U26" s="0" t="n">
        <v>2</v>
      </c>
      <c r="V26" s="0" t="inlineStr">
        <is>
          <t>계단식</t>
        </is>
      </c>
      <c r="W26" s="0" t="inlineStr">
        <is>
          <t>150B</t>
        </is>
      </c>
      <c r="X26" s="0" t="n">
        <v>15</v>
      </c>
      <c r="Y26" s="0" t="n">
        <v>10</v>
      </c>
      <c r="Z26" s="0" t="inlineStr">
        <is>
          <t>https://new.land.naver.com/complexes/7270?tab=detail&amp;rf=Y</t>
        </is>
      </c>
      <c r="AA26" s="0" t="inlineStr">
        <is>
          <t>충청북도 청주시 서원구 개신동 443</t>
        </is>
      </c>
      <c r="AB26" s="0" t="inlineStr">
        <is>
          <t>충청북도</t>
        </is>
      </c>
      <c r="AC26" s="0" t="inlineStr">
        <is>
          <t>청주시</t>
        </is>
      </c>
      <c r="AD26" s="0" t="inlineStr">
        <is>
          <t>서원구</t>
        </is>
      </c>
      <c r="AE26" s="0" t="inlineStr">
        <is>
          <t>개신동</t>
        </is>
      </c>
      <c r="AG26" s="0" t="inlineStr">
        <is>
          <t>충청북도 청주시 서원구 모충로 38</t>
        </is>
      </c>
      <c r="AH26" s="0" t="n">
        <v>0</v>
      </c>
      <c r="AI26" s="0" t="n">
        <v>385</v>
      </c>
      <c r="AJ26" s="0" t="n">
        <v>23</v>
      </c>
      <c r="AK26" s="0" t="n">
        <v>164</v>
      </c>
      <c r="AL26" s="0" t="n">
        <v>0.72</v>
      </c>
    </row>
    <row r="27">
      <c r="A27" s="0" t="inlineStr">
        <is>
          <t>[개신동]</t>
        </is>
      </c>
      <c r="B27" s="0" t="n">
        <v>109733</v>
      </c>
      <c r="C27" s="0" t="n">
        <v>1</v>
      </c>
      <c r="D27" s="0" t="inlineStr">
        <is>
          <t>어웰빌리지</t>
        </is>
      </c>
      <c r="E27" s="0" t="inlineStr">
        <is>
          <t>2013.12.</t>
        </is>
      </c>
      <c r="F27" s="0" t="n">
        <v>42</v>
      </c>
      <c r="G27" s="0" t="n">
        <v>10.45</v>
      </c>
      <c r="H27" s="0" t="n">
        <v>34.57</v>
      </c>
      <c r="I27" s="0" t="n">
        <v>8.199999999999999</v>
      </c>
      <c r="J27" s="0" t="n">
        <v>27.12</v>
      </c>
      <c r="K27" s="0" t="n">
        <v>22</v>
      </c>
      <c r="T27" s="0" t="n">
        <v>1</v>
      </c>
      <c r="U27" s="0" t="n">
        <v>1</v>
      </c>
      <c r="V27" s="0" t="inlineStr">
        <is>
          <t>복도식</t>
        </is>
      </c>
      <c r="W27" s="0" t="inlineStr">
        <is>
          <t>34B</t>
        </is>
      </c>
      <c r="X27" s="0" t="n">
        <v>7</v>
      </c>
      <c r="Y27" s="0" t="n">
        <v>5</v>
      </c>
      <c r="Z27" s="0" t="inlineStr">
        <is>
          <t>https://new.land.naver.com/complexes/109733?tab=detail&amp;rf=Y</t>
        </is>
      </c>
      <c r="AA27" s="0" t="inlineStr">
        <is>
          <t>충청북도 청주시 서원구 개신동 709</t>
        </is>
      </c>
      <c r="AB27" s="0" t="inlineStr">
        <is>
          <t>충청북도</t>
        </is>
      </c>
      <c r="AC27" s="0" t="inlineStr">
        <is>
          <t>청주시</t>
        </is>
      </c>
      <c r="AD27" s="0" t="inlineStr">
        <is>
          <t>서원구</t>
        </is>
      </c>
      <c r="AE27" s="0" t="inlineStr">
        <is>
          <t>개신동</t>
        </is>
      </c>
      <c r="AG27" s="0" t="inlineStr">
        <is>
          <t>충청북도 청주시 서원구 복대로17번길 27</t>
        </is>
      </c>
      <c r="AH27" s="0" t="n">
        <v>0</v>
      </c>
      <c r="AI27" s="0" t="n">
        <v>323</v>
      </c>
      <c r="AJ27" s="0" t="n">
        <v>55</v>
      </c>
      <c r="AK27" s="0" t="n">
        <v>19</v>
      </c>
      <c r="AL27" s="0" t="n">
        <v>0.45</v>
      </c>
    </row>
    <row r="28">
      <c r="A28" s="0" t="inlineStr">
        <is>
          <t>[개신동]</t>
        </is>
      </c>
      <c r="B28" s="0" t="n">
        <v>109733</v>
      </c>
      <c r="C28" s="0" t="n">
        <v>2</v>
      </c>
      <c r="D28" s="0" t="inlineStr">
        <is>
          <t>어웰빌리지</t>
        </is>
      </c>
      <c r="E28" s="0" t="inlineStr">
        <is>
          <t>2013.12.</t>
        </is>
      </c>
      <c r="F28" s="0" t="n">
        <v>42</v>
      </c>
      <c r="G28" s="0" t="n">
        <v>10.42</v>
      </c>
      <c r="H28" s="0" t="n">
        <v>34.46</v>
      </c>
      <c r="I28" s="0" t="n">
        <v>8.17</v>
      </c>
      <c r="J28" s="0" t="n">
        <v>27.03</v>
      </c>
      <c r="K28" s="0" t="n">
        <v>2</v>
      </c>
      <c r="T28" s="0" t="n">
        <v>1</v>
      </c>
      <c r="U28" s="0" t="n">
        <v>1</v>
      </c>
      <c r="V28" s="0" t="inlineStr">
        <is>
          <t>복도식</t>
        </is>
      </c>
      <c r="W28" s="0" t="inlineStr">
        <is>
          <t>34A</t>
        </is>
      </c>
      <c r="X28" s="0" t="n">
        <v>7</v>
      </c>
      <c r="Y28" s="0" t="n">
        <v>5</v>
      </c>
      <c r="Z28" s="0" t="inlineStr">
        <is>
          <t>https://new.land.naver.com/complexes/109733?tab=detail&amp;rf=Y</t>
        </is>
      </c>
      <c r="AA28" s="0" t="inlineStr">
        <is>
          <t>충청북도 청주시 서원구 개신동 709</t>
        </is>
      </c>
      <c r="AB28" s="0" t="inlineStr">
        <is>
          <t>충청북도</t>
        </is>
      </c>
      <c r="AC28" s="0" t="inlineStr">
        <is>
          <t>청주시</t>
        </is>
      </c>
      <c r="AD28" s="0" t="inlineStr">
        <is>
          <t>서원구</t>
        </is>
      </c>
      <c r="AE28" s="0" t="inlineStr">
        <is>
          <t>개신동</t>
        </is>
      </c>
      <c r="AG28" s="0" t="inlineStr">
        <is>
          <t>충청북도 청주시 서원구 복대로17번길 27</t>
        </is>
      </c>
      <c r="AH28" s="0" t="n">
        <v>0</v>
      </c>
      <c r="AI28" s="0" t="n">
        <v>323</v>
      </c>
      <c r="AJ28" s="0" t="n">
        <v>55</v>
      </c>
      <c r="AK28" s="0" t="n">
        <v>19</v>
      </c>
      <c r="AL28" s="0" t="n">
        <v>0.45</v>
      </c>
    </row>
    <row r="29">
      <c r="A29" s="0" t="inlineStr">
        <is>
          <t>[개신동]</t>
        </is>
      </c>
      <c r="B29" s="0" t="n">
        <v>109733</v>
      </c>
      <c r="C29" s="0" t="n">
        <v>3</v>
      </c>
      <c r="D29" s="0" t="inlineStr">
        <is>
          <t>어웰빌리지</t>
        </is>
      </c>
      <c r="E29" s="0" t="inlineStr">
        <is>
          <t>2013.12.</t>
        </is>
      </c>
      <c r="F29" s="0" t="n">
        <v>42</v>
      </c>
      <c r="G29" s="0" t="n">
        <v>11.67</v>
      </c>
      <c r="H29" s="0" t="n">
        <v>38.61</v>
      </c>
      <c r="I29" s="0" t="n">
        <v>9.15</v>
      </c>
      <c r="J29" s="0" t="n">
        <v>30.28</v>
      </c>
      <c r="K29" s="0" t="n">
        <v>6</v>
      </c>
      <c r="T29" s="0" t="n">
        <v>1</v>
      </c>
      <c r="U29" s="0" t="n">
        <v>1</v>
      </c>
      <c r="V29" s="0" t="inlineStr">
        <is>
          <t>복도식</t>
        </is>
      </c>
      <c r="W29" s="0" t="n">
        <v>38</v>
      </c>
      <c r="X29" s="0" t="n">
        <v>7</v>
      </c>
      <c r="Y29" s="0" t="n">
        <v>5</v>
      </c>
      <c r="Z29" s="0" t="inlineStr">
        <is>
          <t>https://new.land.naver.com/complexes/109733?tab=detail&amp;rf=Y</t>
        </is>
      </c>
      <c r="AA29" s="0" t="inlineStr">
        <is>
          <t>충청북도 청주시 서원구 개신동 709</t>
        </is>
      </c>
      <c r="AB29" s="0" t="inlineStr">
        <is>
          <t>충청북도</t>
        </is>
      </c>
      <c r="AC29" s="0" t="inlineStr">
        <is>
          <t>청주시</t>
        </is>
      </c>
      <c r="AD29" s="0" t="inlineStr">
        <is>
          <t>서원구</t>
        </is>
      </c>
      <c r="AE29" s="0" t="inlineStr">
        <is>
          <t>개신동</t>
        </is>
      </c>
      <c r="AG29" s="0" t="inlineStr">
        <is>
          <t>충청북도 청주시 서원구 복대로17번길 27</t>
        </is>
      </c>
      <c r="AH29" s="0" t="n">
        <v>0</v>
      </c>
      <c r="AI29" s="0" t="n">
        <v>323</v>
      </c>
      <c r="AJ29" s="0" t="n">
        <v>55</v>
      </c>
      <c r="AK29" s="0" t="n">
        <v>19</v>
      </c>
      <c r="AL29" s="0" t="n">
        <v>0.45</v>
      </c>
    </row>
    <row r="30">
      <c r="A30" s="0" t="inlineStr">
        <is>
          <t>[개신동]</t>
        </is>
      </c>
      <c r="B30" s="0" t="n">
        <v>109733</v>
      </c>
      <c r="C30" s="0" t="n">
        <v>4</v>
      </c>
      <c r="D30" s="0" t="inlineStr">
        <is>
          <t>어웰빌리지</t>
        </is>
      </c>
      <c r="E30" s="0" t="inlineStr">
        <is>
          <t>2013.12.</t>
        </is>
      </c>
      <c r="F30" s="0" t="n">
        <v>42</v>
      </c>
      <c r="G30" s="0" t="n">
        <v>12.83</v>
      </c>
      <c r="H30" s="0" t="n">
        <v>42.43</v>
      </c>
      <c r="I30" s="0" t="n">
        <v>10.06</v>
      </c>
      <c r="J30" s="0" t="n">
        <v>33.28</v>
      </c>
      <c r="K30" s="0" t="n">
        <v>8</v>
      </c>
      <c r="T30" s="0" t="n">
        <v>1</v>
      </c>
      <c r="U30" s="0" t="n">
        <v>1</v>
      </c>
      <c r="V30" s="0" t="inlineStr">
        <is>
          <t>복도식</t>
        </is>
      </c>
      <c r="W30" s="0" t="inlineStr">
        <is>
          <t>42A</t>
        </is>
      </c>
      <c r="X30" s="0" t="n">
        <v>7</v>
      </c>
      <c r="Y30" s="0" t="n">
        <v>5</v>
      </c>
      <c r="Z30" s="0" t="inlineStr">
        <is>
          <t>https://new.land.naver.com/complexes/109733?tab=detail&amp;rf=Y</t>
        </is>
      </c>
      <c r="AA30" s="0" t="inlineStr">
        <is>
          <t>충청북도 청주시 서원구 개신동 709</t>
        </is>
      </c>
      <c r="AB30" s="0" t="inlineStr">
        <is>
          <t>충청북도</t>
        </is>
      </c>
      <c r="AC30" s="0" t="inlineStr">
        <is>
          <t>청주시</t>
        </is>
      </c>
      <c r="AD30" s="0" t="inlineStr">
        <is>
          <t>서원구</t>
        </is>
      </c>
      <c r="AE30" s="0" t="inlineStr">
        <is>
          <t>개신동</t>
        </is>
      </c>
      <c r="AG30" s="0" t="inlineStr">
        <is>
          <t>충청북도 청주시 서원구 복대로17번길 27</t>
        </is>
      </c>
      <c r="AH30" s="0" t="n">
        <v>0</v>
      </c>
      <c r="AI30" s="0" t="n">
        <v>323</v>
      </c>
      <c r="AJ30" s="0" t="n">
        <v>55</v>
      </c>
      <c r="AK30" s="0" t="n">
        <v>19</v>
      </c>
      <c r="AL30" s="0" t="n">
        <v>0.45</v>
      </c>
    </row>
    <row r="31">
      <c r="A31" s="0" t="inlineStr">
        <is>
          <t>[개신동]</t>
        </is>
      </c>
      <c r="B31" s="0" t="n">
        <v>109733</v>
      </c>
      <c r="C31" s="0" t="n">
        <v>5</v>
      </c>
      <c r="D31" s="0" t="inlineStr">
        <is>
          <t>어웰빌리지</t>
        </is>
      </c>
      <c r="E31" s="0" t="inlineStr">
        <is>
          <t>2013.12.</t>
        </is>
      </c>
      <c r="F31" s="0" t="n">
        <v>42</v>
      </c>
      <c r="G31" s="0" t="n">
        <v>12.88</v>
      </c>
      <c r="H31" s="0" t="n">
        <v>42.58</v>
      </c>
      <c r="I31" s="0" t="n">
        <v>10.1</v>
      </c>
      <c r="J31" s="0" t="n">
        <v>33.4</v>
      </c>
      <c r="K31" s="0" t="n">
        <v>2</v>
      </c>
      <c r="T31" s="0" t="n">
        <v>1</v>
      </c>
      <c r="U31" s="0" t="n">
        <v>1</v>
      </c>
      <c r="V31" s="0" t="inlineStr">
        <is>
          <t>복도식</t>
        </is>
      </c>
      <c r="W31" s="0" t="inlineStr">
        <is>
          <t>42B</t>
        </is>
      </c>
      <c r="X31" s="0" t="n">
        <v>7</v>
      </c>
      <c r="Y31" s="0" t="n">
        <v>5</v>
      </c>
      <c r="Z31" s="0" t="inlineStr">
        <is>
          <t>https://new.land.naver.com/complexes/109733?tab=detail&amp;rf=Y</t>
        </is>
      </c>
      <c r="AA31" s="0" t="inlineStr">
        <is>
          <t>충청북도 청주시 서원구 개신동 709</t>
        </is>
      </c>
      <c r="AB31" s="0" t="inlineStr">
        <is>
          <t>충청북도</t>
        </is>
      </c>
      <c r="AC31" s="0" t="inlineStr">
        <is>
          <t>청주시</t>
        </is>
      </c>
      <c r="AD31" s="0" t="inlineStr">
        <is>
          <t>서원구</t>
        </is>
      </c>
      <c r="AE31" s="0" t="inlineStr">
        <is>
          <t>개신동</t>
        </is>
      </c>
      <c r="AG31" s="0" t="inlineStr">
        <is>
          <t>충청북도 청주시 서원구 복대로17번길 27</t>
        </is>
      </c>
      <c r="AH31" s="0" t="n">
        <v>0</v>
      </c>
      <c r="AI31" s="0" t="n">
        <v>323</v>
      </c>
      <c r="AJ31" s="0" t="n">
        <v>55</v>
      </c>
      <c r="AK31" s="0" t="n">
        <v>19</v>
      </c>
      <c r="AL31" s="0" t="n">
        <v>0.45</v>
      </c>
    </row>
    <row r="32">
      <c r="A32" s="0" t="inlineStr">
        <is>
          <t>[개신동]</t>
        </is>
      </c>
      <c r="B32" s="0" t="n">
        <v>109733</v>
      </c>
      <c r="C32" s="0" t="n">
        <v>6</v>
      </c>
      <c r="D32" s="0" t="inlineStr">
        <is>
          <t>어웰빌리지</t>
        </is>
      </c>
      <c r="E32" s="0" t="inlineStr">
        <is>
          <t>2013.12.</t>
        </is>
      </c>
      <c r="F32" s="0" t="n">
        <v>42</v>
      </c>
      <c r="G32" s="0" t="n">
        <v>22.36</v>
      </c>
      <c r="H32" s="0" t="n">
        <v>73.94</v>
      </c>
      <c r="I32" s="0" t="n">
        <v>17.54</v>
      </c>
      <c r="J32" s="0" t="n">
        <v>57.99</v>
      </c>
      <c r="K32" s="0" t="n">
        <v>2</v>
      </c>
      <c r="T32" s="0" t="n">
        <v>1</v>
      </c>
      <c r="U32" s="0" t="n">
        <v>1</v>
      </c>
      <c r="V32" s="0" t="inlineStr">
        <is>
          <t>복도식</t>
        </is>
      </c>
      <c r="W32" s="0" t="n">
        <v>73</v>
      </c>
      <c r="X32" s="0" t="n">
        <v>7</v>
      </c>
      <c r="Y32" s="0" t="n">
        <v>5</v>
      </c>
      <c r="Z32" s="0" t="inlineStr">
        <is>
          <t>https://new.land.naver.com/complexes/109733?tab=detail&amp;rf=Y</t>
        </is>
      </c>
      <c r="AA32" s="0" t="inlineStr">
        <is>
          <t>충청북도 청주시 서원구 개신동 709</t>
        </is>
      </c>
      <c r="AB32" s="0" t="inlineStr">
        <is>
          <t>충청북도</t>
        </is>
      </c>
      <c r="AC32" s="0" t="inlineStr">
        <is>
          <t>청주시</t>
        </is>
      </c>
      <c r="AD32" s="0" t="inlineStr">
        <is>
          <t>서원구</t>
        </is>
      </c>
      <c r="AE32" s="0" t="inlineStr">
        <is>
          <t>개신동</t>
        </is>
      </c>
      <c r="AG32" s="0" t="inlineStr">
        <is>
          <t>충청북도 청주시 서원구 복대로17번길 27</t>
        </is>
      </c>
      <c r="AH32" s="0" t="n">
        <v>0</v>
      </c>
      <c r="AI32" s="0" t="n">
        <v>323</v>
      </c>
      <c r="AJ32" s="0" t="n">
        <v>55</v>
      </c>
      <c r="AK32" s="0" t="n">
        <v>19</v>
      </c>
      <c r="AL32" s="0" t="n">
        <v>0.45</v>
      </c>
    </row>
    <row r="33">
      <c r="A33" s="0" t="inlineStr">
        <is>
          <t>[개신동]</t>
        </is>
      </c>
      <c r="B33" s="0" t="n">
        <v>7265</v>
      </c>
      <c r="C33" s="0" t="n">
        <v>1</v>
      </c>
      <c r="D33" s="0" t="inlineStr">
        <is>
          <t>두산한솔1차</t>
        </is>
      </c>
      <c r="E33" s="0" t="inlineStr">
        <is>
          <t>1993.05.</t>
        </is>
      </c>
      <c r="F33" s="0" t="n">
        <v>206</v>
      </c>
      <c r="G33" s="0" t="n">
        <v>25.11</v>
      </c>
      <c r="H33" s="0" t="n">
        <v>83.02</v>
      </c>
      <c r="I33" s="0" t="n">
        <v>18.03</v>
      </c>
      <c r="J33" s="0" t="n">
        <v>59.62</v>
      </c>
      <c r="K33" s="0" t="n">
        <v>86</v>
      </c>
      <c r="T33" s="0" t="n">
        <v>3</v>
      </c>
      <c r="U33" s="0" t="n">
        <v>1</v>
      </c>
      <c r="V33" s="0" t="inlineStr">
        <is>
          <t>계단식</t>
        </is>
      </c>
      <c r="W33" s="0" t="n">
        <v>83</v>
      </c>
      <c r="X33" s="0" t="n">
        <v>15</v>
      </c>
      <c r="Y33" s="0" t="n">
        <v>14</v>
      </c>
      <c r="Z33" s="0" t="inlineStr">
        <is>
          <t>https://new.land.naver.com/complexes/7265?tab=detail&amp;rf=Y</t>
        </is>
      </c>
      <c r="AA33" s="0" t="inlineStr">
        <is>
          <t>충청북도 청주시 서원구 개신동 447-15</t>
        </is>
      </c>
      <c r="AB33" s="0" t="inlineStr">
        <is>
          <t>충청북도</t>
        </is>
      </c>
      <c r="AC33" s="0" t="inlineStr">
        <is>
          <t>청주시</t>
        </is>
      </c>
      <c r="AD33" s="0" t="inlineStr">
        <is>
          <t>서원구</t>
        </is>
      </c>
      <c r="AE33" s="0" t="inlineStr">
        <is>
          <t>개신동</t>
        </is>
      </c>
      <c r="AG33" s="0" t="inlineStr">
        <is>
          <t>충청북도 청주시 서원구 모충로26번길 22</t>
        </is>
      </c>
      <c r="AH33" s="0" t="n">
        <v>0</v>
      </c>
      <c r="AI33" s="0" t="n">
        <v>0</v>
      </c>
      <c r="AJ33" s="0" t="n">
        <v>0</v>
      </c>
      <c r="AK33" s="0" t="n">
        <v>146</v>
      </c>
      <c r="AL33" s="0" t="n">
        <v>0.71</v>
      </c>
    </row>
    <row r="34">
      <c r="A34" s="0" t="inlineStr">
        <is>
          <t>[개신동]</t>
        </is>
      </c>
      <c r="B34" s="0" t="n">
        <v>7265</v>
      </c>
      <c r="C34" s="0" t="n">
        <v>2</v>
      </c>
      <c r="D34" s="0" t="inlineStr">
        <is>
          <t>두산한솔1차</t>
        </is>
      </c>
      <c r="E34" s="0" t="inlineStr">
        <is>
          <t>1993.05.</t>
        </is>
      </c>
      <c r="F34" s="0" t="n">
        <v>206</v>
      </c>
      <c r="G34" s="0" t="n">
        <v>34.21</v>
      </c>
      <c r="H34" s="0" t="n">
        <v>113.12</v>
      </c>
      <c r="I34" s="0" t="n">
        <v>25.7</v>
      </c>
      <c r="J34" s="0" t="n">
        <v>84.98</v>
      </c>
      <c r="K34" s="0" t="n">
        <v>60</v>
      </c>
      <c r="T34" s="0" t="n">
        <v>3</v>
      </c>
      <c r="U34" s="0" t="n">
        <v>2</v>
      </c>
      <c r="V34" s="0" t="inlineStr">
        <is>
          <t>계단식</t>
        </is>
      </c>
      <c r="W34" s="0" t="n">
        <v>113</v>
      </c>
      <c r="X34" s="0" t="n">
        <v>15</v>
      </c>
      <c r="Y34" s="0" t="n">
        <v>14</v>
      </c>
      <c r="Z34" s="0" t="inlineStr">
        <is>
          <t>https://new.land.naver.com/complexes/7265?tab=detail&amp;rf=Y</t>
        </is>
      </c>
      <c r="AA34" s="0" t="inlineStr">
        <is>
          <t>충청북도 청주시 서원구 개신동 447-15</t>
        </is>
      </c>
      <c r="AB34" s="0" t="inlineStr">
        <is>
          <t>충청북도</t>
        </is>
      </c>
      <c r="AC34" s="0" t="inlineStr">
        <is>
          <t>청주시</t>
        </is>
      </c>
      <c r="AD34" s="0" t="inlineStr">
        <is>
          <t>서원구</t>
        </is>
      </c>
      <c r="AE34" s="0" t="inlineStr">
        <is>
          <t>개신동</t>
        </is>
      </c>
      <c r="AG34" s="0" t="inlineStr">
        <is>
          <t>충청북도 청주시 서원구 모충로26번길 22</t>
        </is>
      </c>
      <c r="AH34" s="0" t="n">
        <v>0</v>
      </c>
      <c r="AI34" s="0" t="n">
        <v>0</v>
      </c>
      <c r="AJ34" s="0" t="n">
        <v>0</v>
      </c>
      <c r="AK34" s="0" t="n">
        <v>146</v>
      </c>
      <c r="AL34" s="0" t="n">
        <v>0.71</v>
      </c>
    </row>
    <row r="35">
      <c r="A35" s="0" t="inlineStr">
        <is>
          <t>[개신동]</t>
        </is>
      </c>
      <c r="B35" s="0" t="n">
        <v>7265</v>
      </c>
      <c r="C35" s="0" t="n">
        <v>3</v>
      </c>
      <c r="D35" s="0" t="inlineStr">
        <is>
          <t>두산한솔1차</t>
        </is>
      </c>
      <c r="E35" s="0" t="inlineStr">
        <is>
          <t>1993.05.</t>
        </is>
      </c>
      <c r="F35" s="0" t="n">
        <v>206</v>
      </c>
      <c r="G35" s="0" t="n">
        <v>43.71</v>
      </c>
      <c r="H35" s="0" t="n">
        <v>144.5</v>
      </c>
      <c r="I35" s="0" t="n">
        <v>33.65</v>
      </c>
      <c r="J35" s="0" t="n">
        <v>111.25</v>
      </c>
      <c r="K35" s="0" t="n">
        <v>60</v>
      </c>
      <c r="T35" s="0" t="n">
        <v>4</v>
      </c>
      <c r="U35" s="0" t="n">
        <v>2</v>
      </c>
      <c r="V35" s="0" t="inlineStr">
        <is>
          <t>계단식</t>
        </is>
      </c>
      <c r="W35" s="0" t="n">
        <v>144</v>
      </c>
      <c r="X35" s="0" t="n">
        <v>15</v>
      </c>
      <c r="Y35" s="0" t="n">
        <v>14</v>
      </c>
      <c r="Z35" s="0" t="inlineStr">
        <is>
          <t>https://new.land.naver.com/complexes/7265?tab=detail&amp;rf=Y</t>
        </is>
      </c>
      <c r="AA35" s="0" t="inlineStr">
        <is>
          <t>충청북도 청주시 서원구 개신동 447-15</t>
        </is>
      </c>
      <c r="AB35" s="0" t="inlineStr">
        <is>
          <t>충청북도</t>
        </is>
      </c>
      <c r="AC35" s="0" t="inlineStr">
        <is>
          <t>청주시</t>
        </is>
      </c>
      <c r="AD35" s="0" t="inlineStr">
        <is>
          <t>서원구</t>
        </is>
      </c>
      <c r="AE35" s="0" t="inlineStr">
        <is>
          <t>개신동</t>
        </is>
      </c>
      <c r="AG35" s="0" t="inlineStr">
        <is>
          <t>충청북도 청주시 서원구 모충로26번길 22</t>
        </is>
      </c>
      <c r="AH35" s="0" t="n">
        <v>0</v>
      </c>
      <c r="AI35" s="0" t="n">
        <v>0</v>
      </c>
      <c r="AJ35" s="0" t="n">
        <v>0</v>
      </c>
      <c r="AK35" s="0" t="n">
        <v>146</v>
      </c>
      <c r="AL35" s="0" t="n">
        <v>0.71</v>
      </c>
    </row>
    <row r="36">
      <c r="A36" s="0" t="inlineStr">
        <is>
          <t>[개신동]</t>
        </is>
      </c>
      <c r="B36" s="0" t="n">
        <v>12983</v>
      </c>
      <c r="C36" s="0" t="n">
        <v>1</v>
      </c>
      <c r="D36" s="0" t="inlineStr">
        <is>
          <t>청주개신푸르지오</t>
        </is>
      </c>
      <c r="E36" s="0" t="inlineStr">
        <is>
          <t>2004.11.</t>
        </is>
      </c>
      <c r="F36" s="0" t="n">
        <v>920</v>
      </c>
      <c r="G36" s="0" t="n">
        <v>32.56</v>
      </c>
      <c r="H36" s="0" t="n">
        <v>107.65</v>
      </c>
      <c r="I36" s="0" t="n">
        <v>25.64</v>
      </c>
      <c r="J36" s="0" t="n">
        <v>84.78</v>
      </c>
      <c r="K36" s="0" t="n">
        <v>74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107B</t>
        </is>
      </c>
      <c r="X36" s="0" t="n">
        <v>25</v>
      </c>
      <c r="Y36" s="0" t="n">
        <v>18</v>
      </c>
      <c r="Z36" s="0" t="inlineStr">
        <is>
          <t>https://new.land.naver.com/complexes/12983?tab=detail&amp;rf=Y</t>
        </is>
      </c>
      <c r="AA36" s="0" t="inlineStr">
        <is>
          <t>충청북도 청주시 서원구 개신동 634</t>
        </is>
      </c>
      <c r="AB36" s="0" t="inlineStr">
        <is>
          <t>충청북도</t>
        </is>
      </c>
      <c r="AC36" s="0" t="inlineStr">
        <is>
          <t>청주시</t>
        </is>
      </c>
      <c r="AD36" s="0" t="inlineStr">
        <is>
          <t>서원구</t>
        </is>
      </c>
      <c r="AE36" s="0" t="inlineStr">
        <is>
          <t>개신동</t>
        </is>
      </c>
      <c r="AG36" s="0" t="inlineStr">
        <is>
          <t>충청북도 청주시 서원구 신율로 13</t>
        </is>
      </c>
      <c r="AH36" s="0" t="n">
        <v>0</v>
      </c>
      <c r="AI36" s="0" t="n">
        <v>242</v>
      </c>
      <c r="AJ36" s="0" t="n">
        <v>14</v>
      </c>
      <c r="AK36" s="0" t="n">
        <v>968</v>
      </c>
      <c r="AL36" s="0" t="n">
        <v>1.05</v>
      </c>
    </row>
    <row r="37">
      <c r="A37" s="0" t="inlineStr">
        <is>
          <t>[개신동]</t>
        </is>
      </c>
      <c r="B37" s="0" t="n">
        <v>12983</v>
      </c>
      <c r="C37" s="0" t="n">
        <v>2</v>
      </c>
      <c r="D37" s="0" t="inlineStr">
        <is>
          <t>청주개신푸르지오</t>
        </is>
      </c>
      <c r="E37" s="0" t="inlineStr">
        <is>
          <t>2004.11.</t>
        </is>
      </c>
      <c r="F37" s="0" t="n">
        <v>920</v>
      </c>
      <c r="G37" s="0" t="n">
        <v>32.86</v>
      </c>
      <c r="H37" s="0" t="n">
        <v>108.64</v>
      </c>
      <c r="I37" s="0" t="n">
        <v>25.64</v>
      </c>
      <c r="J37" s="0" t="n">
        <v>84.77</v>
      </c>
      <c r="K37" s="0" t="n">
        <v>662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108A</t>
        </is>
      </c>
      <c r="X37" s="0" t="n">
        <v>25</v>
      </c>
      <c r="Y37" s="0" t="n">
        <v>18</v>
      </c>
      <c r="Z37" s="0" t="inlineStr">
        <is>
          <t>https://new.land.naver.com/complexes/12983?tab=detail&amp;rf=Y</t>
        </is>
      </c>
      <c r="AA37" s="0" t="inlineStr">
        <is>
          <t>충청북도 청주시 서원구 개신동 634</t>
        </is>
      </c>
      <c r="AB37" s="0" t="inlineStr">
        <is>
          <t>충청북도</t>
        </is>
      </c>
      <c r="AC37" s="0" t="inlineStr">
        <is>
          <t>청주시</t>
        </is>
      </c>
      <c r="AD37" s="0" t="inlineStr">
        <is>
          <t>서원구</t>
        </is>
      </c>
      <c r="AE37" s="0" t="inlineStr">
        <is>
          <t>개신동</t>
        </is>
      </c>
      <c r="AG37" s="0" t="inlineStr">
        <is>
          <t>충청북도 청주시 서원구 신율로 13</t>
        </is>
      </c>
      <c r="AH37" s="0" t="n">
        <v>0</v>
      </c>
      <c r="AI37" s="0" t="n">
        <v>242</v>
      </c>
      <c r="AJ37" s="0" t="n">
        <v>14</v>
      </c>
      <c r="AK37" s="0" t="n">
        <v>968</v>
      </c>
      <c r="AL37" s="0" t="n">
        <v>1.05</v>
      </c>
    </row>
    <row r="38">
      <c r="A38" s="0" t="inlineStr">
        <is>
          <t>[개신동]</t>
        </is>
      </c>
      <c r="B38" s="0" t="n">
        <v>12983</v>
      </c>
      <c r="C38" s="0" t="n">
        <v>3</v>
      </c>
      <c r="D38" s="0" t="inlineStr">
        <is>
          <t>청주개신푸르지오</t>
        </is>
      </c>
      <c r="E38" s="0" t="inlineStr">
        <is>
          <t>2004.11.</t>
        </is>
      </c>
      <c r="F38" s="0" t="n">
        <v>920</v>
      </c>
      <c r="G38" s="0" t="n">
        <v>38.85</v>
      </c>
      <c r="H38" s="0" t="n">
        <v>128.46</v>
      </c>
      <c r="I38" s="0" t="n">
        <v>30.38</v>
      </c>
      <c r="J38" s="0" t="n">
        <v>100.44</v>
      </c>
      <c r="K38" s="0" t="n">
        <v>90</v>
      </c>
      <c r="T38" s="0" t="n">
        <v>3</v>
      </c>
      <c r="U38" s="0" t="n">
        <v>2</v>
      </c>
      <c r="V38" s="0" t="inlineStr">
        <is>
          <t>계단식</t>
        </is>
      </c>
      <c r="W38" s="0" t="n">
        <v>128</v>
      </c>
      <c r="X38" s="0" t="n">
        <v>25</v>
      </c>
      <c r="Y38" s="0" t="n">
        <v>18</v>
      </c>
      <c r="Z38" s="0" t="inlineStr">
        <is>
          <t>https://new.land.naver.com/complexes/12983?tab=detail&amp;rf=Y</t>
        </is>
      </c>
      <c r="AA38" s="0" t="inlineStr">
        <is>
          <t>충청북도 청주시 서원구 개신동 634</t>
        </is>
      </c>
      <c r="AB38" s="0" t="inlineStr">
        <is>
          <t>충청북도</t>
        </is>
      </c>
      <c r="AC38" s="0" t="inlineStr">
        <is>
          <t>청주시</t>
        </is>
      </c>
      <c r="AD38" s="0" t="inlineStr">
        <is>
          <t>서원구</t>
        </is>
      </c>
      <c r="AE38" s="0" t="inlineStr">
        <is>
          <t>개신동</t>
        </is>
      </c>
      <c r="AG38" s="0" t="inlineStr">
        <is>
          <t>충청북도 청주시 서원구 신율로 13</t>
        </is>
      </c>
      <c r="AH38" s="0" t="n">
        <v>0</v>
      </c>
      <c r="AI38" s="0" t="n">
        <v>242</v>
      </c>
      <c r="AJ38" s="0" t="n">
        <v>14</v>
      </c>
      <c r="AK38" s="0" t="n">
        <v>968</v>
      </c>
      <c r="AL38" s="0" t="n">
        <v>1.05</v>
      </c>
    </row>
    <row r="39">
      <c r="A39" s="0" t="inlineStr">
        <is>
          <t>[개신동]</t>
        </is>
      </c>
      <c r="B39" s="0" t="n">
        <v>12983</v>
      </c>
      <c r="C39" s="0" t="n">
        <v>4</v>
      </c>
      <c r="D39" s="0" t="inlineStr">
        <is>
          <t>청주개신푸르지오</t>
        </is>
      </c>
      <c r="E39" s="0" t="inlineStr">
        <is>
          <t>2004.11.</t>
        </is>
      </c>
      <c r="F39" s="0" t="n">
        <v>920</v>
      </c>
      <c r="G39" s="0" t="n">
        <v>45.84</v>
      </c>
      <c r="H39" s="0" t="n">
        <v>151.55</v>
      </c>
      <c r="I39" s="0" t="n">
        <v>36.36</v>
      </c>
      <c r="J39" s="0" t="n">
        <v>120.2</v>
      </c>
      <c r="K39" s="0" t="n">
        <v>94</v>
      </c>
      <c r="T39" s="0" t="n">
        <v>4</v>
      </c>
      <c r="U39" s="0" t="n">
        <v>2</v>
      </c>
      <c r="V39" s="0" t="inlineStr">
        <is>
          <t>계단식</t>
        </is>
      </c>
      <c r="W39" s="0" t="n">
        <v>151</v>
      </c>
      <c r="X39" s="0" t="n">
        <v>25</v>
      </c>
      <c r="Y39" s="0" t="n">
        <v>18</v>
      </c>
      <c r="Z39" s="0" t="inlineStr">
        <is>
          <t>https://new.land.naver.com/complexes/12983?tab=detail&amp;rf=Y</t>
        </is>
      </c>
      <c r="AA39" s="0" t="inlineStr">
        <is>
          <t>충청북도 청주시 서원구 개신동 634</t>
        </is>
      </c>
      <c r="AB39" s="0" t="inlineStr">
        <is>
          <t>충청북도</t>
        </is>
      </c>
      <c r="AC39" s="0" t="inlineStr">
        <is>
          <t>청주시</t>
        </is>
      </c>
      <c r="AD39" s="0" t="inlineStr">
        <is>
          <t>서원구</t>
        </is>
      </c>
      <c r="AE39" s="0" t="inlineStr">
        <is>
          <t>개신동</t>
        </is>
      </c>
      <c r="AG39" s="0" t="inlineStr">
        <is>
          <t>충청북도 청주시 서원구 신율로 13</t>
        </is>
      </c>
      <c r="AH39" s="0" t="n">
        <v>0</v>
      </c>
      <c r="AI39" s="0" t="n">
        <v>242</v>
      </c>
      <c r="AJ39" s="0" t="n">
        <v>14</v>
      </c>
      <c r="AK39" s="0" t="n">
        <v>968</v>
      </c>
      <c r="AL39" s="0" t="n">
        <v>1.05</v>
      </c>
    </row>
    <row r="40">
      <c r="A40" s="0" t="inlineStr">
        <is>
          <t>[개신동]</t>
        </is>
      </c>
      <c r="B40" s="0" t="n">
        <v>7288</v>
      </c>
      <c r="C40" s="0" t="n">
        <v>1</v>
      </c>
      <c r="D40" s="0" t="inlineStr">
        <is>
          <t>현대</t>
        </is>
      </c>
      <c r="E40" s="0" t="inlineStr">
        <is>
          <t>1990.12.</t>
        </is>
      </c>
      <c r="F40" s="0" t="n">
        <v>511</v>
      </c>
      <c r="G40" s="0" t="n">
        <v>26.58</v>
      </c>
      <c r="H40" s="0" t="n">
        <v>87.87</v>
      </c>
      <c r="I40" s="0" t="n">
        <v>21.52</v>
      </c>
      <c r="J40" s="0" t="n">
        <v>71.17</v>
      </c>
      <c r="K40" s="0" t="n">
        <v>112</v>
      </c>
      <c r="T40" s="0" t="n">
        <v>3</v>
      </c>
      <c r="U40" s="0" t="n">
        <v>2</v>
      </c>
      <c r="V40" s="0" t="inlineStr">
        <is>
          <t>계단식</t>
        </is>
      </c>
      <c r="W40" s="0" t="n">
        <v>87</v>
      </c>
      <c r="X40" s="0" t="n">
        <v>15</v>
      </c>
      <c r="Y40" s="0" t="n">
        <v>9</v>
      </c>
      <c r="Z40" s="0" t="inlineStr">
        <is>
          <t>https://new.land.naver.com/complexes/7288?tab=detail&amp;rf=Y</t>
        </is>
      </c>
      <c r="AA40" s="0" t="inlineStr">
        <is>
          <t>충청북도 청주시 서원구 개신동 278-10</t>
        </is>
      </c>
      <c r="AB40" s="0" t="inlineStr">
        <is>
          <t>충청북도</t>
        </is>
      </c>
      <c r="AC40" s="0" t="inlineStr">
        <is>
          <t>청주시</t>
        </is>
      </c>
      <c r="AD40" s="0" t="inlineStr">
        <is>
          <t>서원구</t>
        </is>
      </c>
      <c r="AE40" s="0" t="inlineStr">
        <is>
          <t>개신동</t>
        </is>
      </c>
      <c r="AG40" s="0" t="inlineStr">
        <is>
          <t>충청북도 청주시 서원구 성봉로220번길 23</t>
        </is>
      </c>
      <c r="AH40" s="0" t="n">
        <v>0</v>
      </c>
      <c r="AI40" s="0" t="n">
        <v>0</v>
      </c>
      <c r="AJ40" s="0" t="n">
        <v>0</v>
      </c>
      <c r="AK40" s="0" t="n">
        <v>408</v>
      </c>
      <c r="AL40" s="0" t="n">
        <v>0.8</v>
      </c>
    </row>
    <row r="41">
      <c r="A41" s="0" t="inlineStr">
        <is>
          <t>[개신동]</t>
        </is>
      </c>
      <c r="B41" s="0" t="n">
        <v>7288</v>
      </c>
      <c r="C41" s="0" t="n">
        <v>2</v>
      </c>
      <c r="D41" s="0" t="inlineStr">
        <is>
          <t>현대</t>
        </is>
      </c>
      <c r="E41" s="0" t="inlineStr">
        <is>
          <t>1990.12.</t>
        </is>
      </c>
      <c r="F41" s="0" t="n">
        <v>511</v>
      </c>
      <c r="G41" s="0" t="n">
        <v>31.72</v>
      </c>
      <c r="H41" s="0" t="n">
        <v>104.87</v>
      </c>
      <c r="I41" s="0" t="n">
        <v>25.69</v>
      </c>
      <c r="J41" s="0" t="n">
        <v>84.94</v>
      </c>
      <c r="K41" s="0" t="n">
        <v>297</v>
      </c>
      <c r="T41" s="0" t="n">
        <v>3</v>
      </c>
      <c r="U41" s="0" t="n">
        <v>2</v>
      </c>
      <c r="V41" s="0" t="inlineStr">
        <is>
          <t>계단식</t>
        </is>
      </c>
      <c r="W41" s="0" t="n">
        <v>104</v>
      </c>
      <c r="X41" s="0" t="n">
        <v>15</v>
      </c>
      <c r="Y41" s="0" t="n">
        <v>9</v>
      </c>
      <c r="Z41" s="0" t="inlineStr">
        <is>
          <t>https://new.land.naver.com/complexes/7288?tab=detail&amp;rf=Y</t>
        </is>
      </c>
      <c r="AA41" s="0" t="inlineStr">
        <is>
          <t>충청북도 청주시 서원구 개신동 278-10</t>
        </is>
      </c>
      <c r="AB41" s="0" t="inlineStr">
        <is>
          <t>충청북도</t>
        </is>
      </c>
      <c r="AC41" s="0" t="inlineStr">
        <is>
          <t>청주시</t>
        </is>
      </c>
      <c r="AD41" s="0" t="inlineStr">
        <is>
          <t>서원구</t>
        </is>
      </c>
      <c r="AE41" s="0" t="inlineStr">
        <is>
          <t>개신동</t>
        </is>
      </c>
      <c r="AG41" s="0" t="inlineStr">
        <is>
          <t>충청북도 청주시 서원구 성봉로220번길 23</t>
        </is>
      </c>
      <c r="AH41" s="0" t="n">
        <v>0</v>
      </c>
      <c r="AI41" s="0" t="n">
        <v>0</v>
      </c>
      <c r="AJ41" s="0" t="n">
        <v>0</v>
      </c>
      <c r="AK41" s="0" t="n">
        <v>408</v>
      </c>
      <c r="AL41" s="0" t="n">
        <v>0.8</v>
      </c>
    </row>
    <row r="42">
      <c r="A42" s="0" t="inlineStr">
        <is>
          <t>[개신동]</t>
        </is>
      </c>
      <c r="B42" s="0" t="n">
        <v>7288</v>
      </c>
      <c r="C42" s="0" t="n">
        <v>3</v>
      </c>
      <c r="D42" s="0" t="inlineStr">
        <is>
          <t>현대</t>
        </is>
      </c>
      <c r="E42" s="0" t="inlineStr">
        <is>
          <t>1990.12.</t>
        </is>
      </c>
      <c r="F42" s="0" t="n">
        <v>511</v>
      </c>
      <c r="G42" s="0" t="n">
        <v>31.46</v>
      </c>
      <c r="H42" s="0" t="n">
        <v>104.01</v>
      </c>
      <c r="I42" s="0" t="n">
        <v>25.48</v>
      </c>
      <c r="J42" s="0" t="n">
        <v>84.25</v>
      </c>
      <c r="K42" s="0" t="n">
        <v>15</v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104B</t>
        </is>
      </c>
      <c r="X42" s="0" t="n">
        <v>15</v>
      </c>
      <c r="Y42" s="0" t="n">
        <v>9</v>
      </c>
      <c r="Z42" s="0" t="inlineStr">
        <is>
          <t>https://new.land.naver.com/complexes/7288?tab=detail&amp;rf=Y</t>
        </is>
      </c>
      <c r="AA42" s="0" t="inlineStr">
        <is>
          <t>충청북도 청주시 서원구 개신동 278-10</t>
        </is>
      </c>
      <c r="AB42" s="0" t="inlineStr">
        <is>
          <t>충청북도</t>
        </is>
      </c>
      <c r="AC42" s="0" t="inlineStr">
        <is>
          <t>청주시</t>
        </is>
      </c>
      <c r="AD42" s="0" t="inlineStr">
        <is>
          <t>서원구</t>
        </is>
      </c>
      <c r="AE42" s="0" t="inlineStr">
        <is>
          <t>개신동</t>
        </is>
      </c>
      <c r="AG42" s="0" t="inlineStr">
        <is>
          <t>충청북도 청주시 서원구 성봉로220번길 23</t>
        </is>
      </c>
      <c r="AH42" s="0" t="n">
        <v>0</v>
      </c>
      <c r="AI42" s="0" t="n">
        <v>0</v>
      </c>
      <c r="AJ42" s="0" t="n">
        <v>0</v>
      </c>
      <c r="AK42" s="0" t="n">
        <v>408</v>
      </c>
      <c r="AL42" s="0" t="n">
        <v>0.8</v>
      </c>
    </row>
    <row r="43">
      <c r="A43" s="0" t="inlineStr">
        <is>
          <t>[개신동]</t>
        </is>
      </c>
      <c r="B43" s="0" t="n">
        <v>7288</v>
      </c>
      <c r="C43" s="0" t="n">
        <v>4</v>
      </c>
      <c r="D43" s="0" t="inlineStr">
        <is>
          <t>현대</t>
        </is>
      </c>
      <c r="E43" s="0" t="inlineStr">
        <is>
          <t>1990.12.</t>
        </is>
      </c>
      <c r="F43" s="0" t="n">
        <v>511</v>
      </c>
      <c r="G43" s="0" t="n">
        <v>46.8</v>
      </c>
      <c r="H43" s="0" t="n">
        <v>154.74</v>
      </c>
      <c r="I43" s="0" t="n">
        <v>37.91</v>
      </c>
      <c r="J43" s="0" t="n">
        <v>125.34</v>
      </c>
      <c r="K43" s="0" t="n">
        <v>87</v>
      </c>
      <c r="T43" s="0" t="n">
        <v>4</v>
      </c>
      <c r="U43" s="0" t="n">
        <v>2</v>
      </c>
      <c r="V43" s="0" t="inlineStr">
        <is>
          <t>계단식</t>
        </is>
      </c>
      <c r="W43" s="0" t="n">
        <v>154</v>
      </c>
      <c r="X43" s="0" t="n">
        <v>15</v>
      </c>
      <c r="Y43" s="0" t="n">
        <v>9</v>
      </c>
      <c r="Z43" s="0" t="inlineStr">
        <is>
          <t>https://new.land.naver.com/complexes/7288?tab=detail&amp;rf=Y</t>
        </is>
      </c>
      <c r="AA43" s="0" t="inlineStr">
        <is>
          <t>충청북도 청주시 서원구 개신동 278-10</t>
        </is>
      </c>
      <c r="AB43" s="0" t="inlineStr">
        <is>
          <t>충청북도</t>
        </is>
      </c>
      <c r="AC43" s="0" t="inlineStr">
        <is>
          <t>청주시</t>
        </is>
      </c>
      <c r="AD43" s="0" t="inlineStr">
        <is>
          <t>서원구</t>
        </is>
      </c>
      <c r="AE43" s="0" t="inlineStr">
        <is>
          <t>개신동</t>
        </is>
      </c>
      <c r="AG43" s="0" t="inlineStr">
        <is>
          <t>충청북도 청주시 서원구 성봉로220번길 23</t>
        </is>
      </c>
      <c r="AH43" s="0" t="n">
        <v>0</v>
      </c>
      <c r="AI43" s="0" t="n">
        <v>0</v>
      </c>
      <c r="AJ43" s="0" t="n">
        <v>0</v>
      </c>
      <c r="AK43" s="0" t="n">
        <v>408</v>
      </c>
      <c r="AL43" s="0" t="n">
        <v>0.8</v>
      </c>
    </row>
    <row r="44">
      <c r="A44" s="0" t="inlineStr">
        <is>
          <t>[개신동]</t>
        </is>
      </c>
      <c r="B44" s="0" t="n">
        <v>15428</v>
      </c>
      <c r="C44" s="0" t="n">
        <v>1</v>
      </c>
      <c r="D44" s="0" t="inlineStr">
        <is>
          <t>삼익2차</t>
        </is>
      </c>
      <c r="E44" s="0" t="inlineStr">
        <is>
          <t>1993.02.</t>
        </is>
      </c>
      <c r="F44" s="0" t="n">
        <v>390</v>
      </c>
      <c r="G44" s="0" t="n">
        <v>31.27</v>
      </c>
      <c r="H44" s="0" t="n">
        <v>103.38</v>
      </c>
      <c r="I44" s="0" t="n">
        <v>25.7</v>
      </c>
      <c r="J44" s="0" t="n">
        <v>84.95999999999999</v>
      </c>
      <c r="K44" s="0" t="n">
        <v>294</v>
      </c>
      <c r="T44" s="0" t="n">
        <v>3</v>
      </c>
      <c r="U44" s="0" t="n">
        <v>2</v>
      </c>
      <c r="V44" s="0" t="inlineStr">
        <is>
          <t>계단식</t>
        </is>
      </c>
      <c r="W44" s="0" t="n">
        <v>103</v>
      </c>
      <c r="X44" s="0" t="n">
        <v>13</v>
      </c>
      <c r="Y44" s="0" t="n">
        <v>9</v>
      </c>
      <c r="Z44" s="0" t="inlineStr">
        <is>
          <t>https://new.land.naver.com/complexes/15428?tab=detail&amp;rf=Y</t>
        </is>
      </c>
      <c r="AA44" s="0" t="inlineStr">
        <is>
          <t>충청북도 청주시 서원구 개신동 11</t>
        </is>
      </c>
      <c r="AB44" s="0" t="inlineStr">
        <is>
          <t>충청북도</t>
        </is>
      </c>
      <c r="AC44" s="0" t="inlineStr">
        <is>
          <t>청주시</t>
        </is>
      </c>
      <c r="AD44" s="0" t="inlineStr">
        <is>
          <t>서원구</t>
        </is>
      </c>
      <c r="AE44" s="0" t="inlineStr">
        <is>
          <t>개신동</t>
        </is>
      </c>
      <c r="AG44" s="0" t="inlineStr">
        <is>
          <t>충청북도 청주시 서원구 창직로12번길 65</t>
        </is>
      </c>
      <c r="AH44" s="0" t="n">
        <v>0</v>
      </c>
      <c r="AI44" s="0" t="n">
        <v>193</v>
      </c>
      <c r="AJ44" s="0" t="n">
        <v>18</v>
      </c>
      <c r="AK44" s="0" t="n">
        <v>0</v>
      </c>
      <c r="AL44" s="0" t="n">
        <v>0</v>
      </c>
    </row>
    <row r="45">
      <c r="A45" s="0" t="inlineStr">
        <is>
          <t>[개신동]</t>
        </is>
      </c>
      <c r="B45" s="0" t="n">
        <v>15428</v>
      </c>
      <c r="C45" s="0" t="n">
        <v>2</v>
      </c>
      <c r="D45" s="0" t="inlineStr">
        <is>
          <t>삼익2차</t>
        </is>
      </c>
      <c r="E45" s="0" t="inlineStr">
        <is>
          <t>1993.02.</t>
        </is>
      </c>
      <c r="F45" s="0" t="n">
        <v>390</v>
      </c>
      <c r="G45" s="0" t="n">
        <v>44.05</v>
      </c>
      <c r="H45" s="0" t="n">
        <v>145.64</v>
      </c>
      <c r="I45" s="0" t="n">
        <v>37.47</v>
      </c>
      <c r="J45" s="0" t="n">
        <v>123.9</v>
      </c>
      <c r="K45" s="0" t="n">
        <v>48</v>
      </c>
      <c r="T45" s="0" t="n">
        <v>4</v>
      </c>
      <c r="U45" s="0" t="n">
        <v>2</v>
      </c>
      <c r="V45" s="0" t="inlineStr">
        <is>
          <t>계단식</t>
        </is>
      </c>
      <c r="W45" s="0" t="n">
        <v>145</v>
      </c>
      <c r="X45" s="0" t="n">
        <v>13</v>
      </c>
      <c r="Y45" s="0" t="n">
        <v>9</v>
      </c>
      <c r="Z45" s="0" t="inlineStr">
        <is>
          <t>https://new.land.naver.com/complexes/15428?tab=detail&amp;rf=Y</t>
        </is>
      </c>
      <c r="AA45" s="0" t="inlineStr">
        <is>
          <t>충청북도 청주시 서원구 개신동 11</t>
        </is>
      </c>
      <c r="AB45" s="0" t="inlineStr">
        <is>
          <t>충청북도</t>
        </is>
      </c>
      <c r="AC45" s="0" t="inlineStr">
        <is>
          <t>청주시</t>
        </is>
      </c>
      <c r="AD45" s="0" t="inlineStr">
        <is>
          <t>서원구</t>
        </is>
      </c>
      <c r="AE45" s="0" t="inlineStr">
        <is>
          <t>개신동</t>
        </is>
      </c>
      <c r="AG45" s="0" t="inlineStr">
        <is>
          <t>충청북도 청주시 서원구 창직로12번길 65</t>
        </is>
      </c>
      <c r="AH45" s="0" t="n">
        <v>0</v>
      </c>
      <c r="AI45" s="0" t="n">
        <v>193</v>
      </c>
      <c r="AJ45" s="0" t="n">
        <v>18</v>
      </c>
      <c r="AK45" s="0" t="n">
        <v>0</v>
      </c>
      <c r="AL45" s="0" t="n">
        <v>0</v>
      </c>
    </row>
    <row r="46">
      <c r="A46" s="0" t="inlineStr">
        <is>
          <t>[개신동]</t>
        </is>
      </c>
      <c r="B46" s="0" t="n">
        <v>15428</v>
      </c>
      <c r="C46" s="0" t="n">
        <v>3</v>
      </c>
      <c r="D46" s="0" t="inlineStr">
        <is>
          <t>삼익2차</t>
        </is>
      </c>
      <c r="E46" s="0" t="inlineStr">
        <is>
          <t>1993.02.</t>
        </is>
      </c>
      <c r="F46" s="0" t="n">
        <v>390</v>
      </c>
      <c r="G46" s="0" t="n">
        <v>51.62</v>
      </c>
      <c r="H46" s="0" t="n">
        <v>170.67</v>
      </c>
      <c r="I46" s="0" t="n">
        <v>44.42</v>
      </c>
      <c r="J46" s="0" t="n">
        <v>146.85</v>
      </c>
      <c r="K46" s="0" t="n">
        <v>48</v>
      </c>
      <c r="T46" s="0" t="n">
        <v>4</v>
      </c>
      <c r="U46" s="0" t="n">
        <v>2</v>
      </c>
      <c r="V46" s="0" t="inlineStr">
        <is>
          <t>계단식</t>
        </is>
      </c>
      <c r="W46" s="0" t="n">
        <v>170</v>
      </c>
      <c r="X46" s="0" t="n">
        <v>13</v>
      </c>
      <c r="Y46" s="0" t="n">
        <v>9</v>
      </c>
      <c r="Z46" s="0" t="inlineStr">
        <is>
          <t>https://new.land.naver.com/complexes/15428?tab=detail&amp;rf=Y</t>
        </is>
      </c>
      <c r="AA46" s="0" t="inlineStr">
        <is>
          <t>충청북도 청주시 서원구 개신동 11</t>
        </is>
      </c>
      <c r="AB46" s="0" t="inlineStr">
        <is>
          <t>충청북도</t>
        </is>
      </c>
      <c r="AC46" s="0" t="inlineStr">
        <is>
          <t>청주시</t>
        </is>
      </c>
      <c r="AD46" s="0" t="inlineStr">
        <is>
          <t>서원구</t>
        </is>
      </c>
      <c r="AE46" s="0" t="inlineStr">
        <is>
          <t>개신동</t>
        </is>
      </c>
      <c r="AG46" s="0" t="inlineStr">
        <is>
          <t>충청북도 청주시 서원구 창직로12번길 65</t>
        </is>
      </c>
      <c r="AH46" s="0" t="n">
        <v>0</v>
      </c>
      <c r="AI46" s="0" t="n">
        <v>193</v>
      </c>
      <c r="AJ46" s="0" t="n">
        <v>18</v>
      </c>
      <c r="AK46" s="0" t="n">
        <v>0</v>
      </c>
      <c r="AL46" s="0" t="n">
        <v>0</v>
      </c>
    </row>
    <row r="47">
      <c r="A47" s="0" t="inlineStr">
        <is>
          <t>[개신동]</t>
        </is>
      </c>
      <c r="B47" s="0" t="n">
        <v>10630</v>
      </c>
      <c r="C47" s="0" t="n">
        <v>1</v>
      </c>
      <c r="D47" s="0" t="inlineStr">
        <is>
          <t>청주개신주공3단지</t>
        </is>
      </c>
      <c r="E47" s="0" t="inlineStr">
        <is>
          <t>2003.07.</t>
        </is>
      </c>
      <c r="F47" s="0" t="n">
        <v>634</v>
      </c>
      <c r="G47" s="0" t="n">
        <v>29.43</v>
      </c>
      <c r="H47" s="0" t="n">
        <v>97.29000000000001</v>
      </c>
      <c r="I47" s="0" t="n">
        <v>22.98</v>
      </c>
      <c r="J47" s="0" t="n">
        <v>75.98999999999999</v>
      </c>
      <c r="K47" s="0" t="n">
        <v>116</v>
      </c>
      <c r="T47" s="0" t="n">
        <v>3</v>
      </c>
      <c r="U47" s="0" t="n">
        <v>2</v>
      </c>
      <c r="V47" s="0" t="inlineStr">
        <is>
          <t>계단식</t>
        </is>
      </c>
      <c r="W47" s="0" t="n">
        <v>97</v>
      </c>
      <c r="X47" s="0" t="n">
        <v>20</v>
      </c>
      <c r="Y47" s="0" t="n">
        <v>15</v>
      </c>
      <c r="Z47" s="0" t="inlineStr">
        <is>
          <t>https://new.land.naver.com/complexes/10630?tab=detail&amp;rf=Y</t>
        </is>
      </c>
      <c r="AA47" s="0" t="inlineStr">
        <is>
          <t>충청북도 청주시 서원구 개신동 590</t>
        </is>
      </c>
      <c r="AB47" s="0" t="inlineStr">
        <is>
          <t>충청북도</t>
        </is>
      </c>
      <c r="AC47" s="0" t="inlineStr">
        <is>
          <t>청주시</t>
        </is>
      </c>
      <c r="AD47" s="0" t="inlineStr">
        <is>
          <t>서원구</t>
        </is>
      </c>
      <c r="AE47" s="0" t="inlineStr">
        <is>
          <t>개신동</t>
        </is>
      </c>
      <c r="AG47" s="0" t="inlineStr">
        <is>
          <t>충청북도 청주시 서원구 신율로 43</t>
        </is>
      </c>
      <c r="AH47" s="0" t="n">
        <v>0</v>
      </c>
      <c r="AI47" s="0" t="n">
        <v>166</v>
      </c>
      <c r="AJ47" s="0" t="n">
        <v>11</v>
      </c>
      <c r="AK47" s="0" t="n">
        <v>641</v>
      </c>
      <c r="AL47" s="0" t="n">
        <v>1.01</v>
      </c>
    </row>
    <row r="48">
      <c r="A48" s="0" t="inlineStr">
        <is>
          <t>[개신동]</t>
        </is>
      </c>
      <c r="B48" s="0" t="n">
        <v>10630</v>
      </c>
      <c r="C48" s="0" t="n">
        <v>2</v>
      </c>
      <c r="D48" s="0" t="inlineStr">
        <is>
          <t>청주개신주공3단지</t>
        </is>
      </c>
      <c r="E48" s="0" t="inlineStr">
        <is>
          <t>2003.07.</t>
        </is>
      </c>
      <c r="F48" s="0" t="n">
        <v>634</v>
      </c>
      <c r="G48" s="0" t="n">
        <v>32.84</v>
      </c>
      <c r="H48" s="0" t="n">
        <v>108.58</v>
      </c>
      <c r="I48" s="0" t="n">
        <v>25.65</v>
      </c>
      <c r="J48" s="0" t="n">
        <v>84.8</v>
      </c>
      <c r="K48" s="0" t="n">
        <v>322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108A</t>
        </is>
      </c>
      <c r="X48" s="0" t="n">
        <v>20</v>
      </c>
      <c r="Y48" s="0" t="n">
        <v>15</v>
      </c>
      <c r="Z48" s="0" t="inlineStr">
        <is>
          <t>https://new.land.naver.com/complexes/10630?tab=detail&amp;rf=Y</t>
        </is>
      </c>
      <c r="AA48" s="0" t="inlineStr">
        <is>
          <t>충청북도 청주시 서원구 개신동 590</t>
        </is>
      </c>
      <c r="AB48" s="0" t="inlineStr">
        <is>
          <t>충청북도</t>
        </is>
      </c>
      <c r="AC48" s="0" t="inlineStr">
        <is>
          <t>청주시</t>
        </is>
      </c>
      <c r="AD48" s="0" t="inlineStr">
        <is>
          <t>서원구</t>
        </is>
      </c>
      <c r="AE48" s="0" t="inlineStr">
        <is>
          <t>개신동</t>
        </is>
      </c>
      <c r="AG48" s="0" t="inlineStr">
        <is>
          <t>충청북도 청주시 서원구 신율로 43</t>
        </is>
      </c>
      <c r="AH48" s="0" t="n">
        <v>0</v>
      </c>
      <c r="AI48" s="0" t="n">
        <v>166</v>
      </c>
      <c r="AJ48" s="0" t="n">
        <v>11</v>
      </c>
      <c r="AK48" s="0" t="n">
        <v>641</v>
      </c>
      <c r="AL48" s="0" t="n">
        <v>1.01</v>
      </c>
    </row>
    <row r="49">
      <c r="A49" s="0" t="inlineStr">
        <is>
          <t>[개신동]</t>
        </is>
      </c>
      <c r="B49" s="0" t="n">
        <v>10630</v>
      </c>
      <c r="C49" s="0" t="n">
        <v>3</v>
      </c>
      <c r="D49" s="0" t="inlineStr">
        <is>
          <t>청주개신주공3단지</t>
        </is>
      </c>
      <c r="E49" s="0" t="inlineStr">
        <is>
          <t>2003.07.</t>
        </is>
      </c>
      <c r="F49" s="0" t="n">
        <v>634</v>
      </c>
      <c r="G49" s="0" t="n">
        <v>32.87</v>
      </c>
      <c r="H49" s="0" t="n">
        <v>108.68</v>
      </c>
      <c r="I49" s="0" t="n">
        <v>25.67</v>
      </c>
      <c r="J49" s="0" t="n">
        <v>84.86</v>
      </c>
      <c r="K49" s="0" t="n">
        <v>116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108B</t>
        </is>
      </c>
      <c r="X49" s="0" t="n">
        <v>20</v>
      </c>
      <c r="Y49" s="0" t="n">
        <v>15</v>
      </c>
      <c r="Z49" s="0" t="inlineStr">
        <is>
          <t>https://new.land.naver.com/complexes/10630?tab=detail&amp;rf=Y</t>
        </is>
      </c>
      <c r="AA49" s="0" t="inlineStr">
        <is>
          <t>충청북도 청주시 서원구 개신동 590</t>
        </is>
      </c>
      <c r="AB49" s="0" t="inlineStr">
        <is>
          <t>충청북도</t>
        </is>
      </c>
      <c r="AC49" s="0" t="inlineStr">
        <is>
          <t>청주시</t>
        </is>
      </c>
      <c r="AD49" s="0" t="inlineStr">
        <is>
          <t>서원구</t>
        </is>
      </c>
      <c r="AE49" s="0" t="inlineStr">
        <is>
          <t>개신동</t>
        </is>
      </c>
      <c r="AG49" s="0" t="inlineStr">
        <is>
          <t>충청북도 청주시 서원구 신율로 43</t>
        </is>
      </c>
      <c r="AH49" s="0" t="n">
        <v>0</v>
      </c>
      <c r="AI49" s="0" t="n">
        <v>166</v>
      </c>
      <c r="AJ49" s="0" t="n">
        <v>11</v>
      </c>
      <c r="AK49" s="0" t="n">
        <v>641</v>
      </c>
      <c r="AL49" s="0" t="n">
        <v>1.01</v>
      </c>
    </row>
    <row r="50">
      <c r="A50" s="0" t="inlineStr">
        <is>
          <t>[개신동]</t>
        </is>
      </c>
      <c r="B50" s="0" t="n">
        <v>10630</v>
      </c>
      <c r="C50" s="0" t="n">
        <v>4</v>
      </c>
      <c r="D50" s="0" t="inlineStr">
        <is>
          <t>청주개신주공3단지</t>
        </is>
      </c>
      <c r="E50" s="0" t="inlineStr">
        <is>
          <t>2003.07.</t>
        </is>
      </c>
      <c r="F50" s="0" t="n">
        <v>634</v>
      </c>
      <c r="G50" s="0" t="n">
        <v>32.82</v>
      </c>
      <c r="H50" s="0" t="n">
        <v>108.51</v>
      </c>
      <c r="I50" s="0" t="n">
        <v>25.63</v>
      </c>
      <c r="J50" s="0" t="n">
        <v>84.75</v>
      </c>
      <c r="K50" s="0" t="n">
        <v>80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108C</t>
        </is>
      </c>
      <c r="X50" s="0" t="n">
        <v>20</v>
      </c>
      <c r="Y50" s="0" t="n">
        <v>15</v>
      </c>
      <c r="Z50" s="0" t="inlineStr">
        <is>
          <t>https://new.land.naver.com/complexes/10630?tab=detail&amp;rf=Y</t>
        </is>
      </c>
      <c r="AA50" s="0" t="inlineStr">
        <is>
          <t>충청북도 청주시 서원구 개신동 590</t>
        </is>
      </c>
      <c r="AB50" s="0" t="inlineStr">
        <is>
          <t>충청북도</t>
        </is>
      </c>
      <c r="AC50" s="0" t="inlineStr">
        <is>
          <t>청주시</t>
        </is>
      </c>
      <c r="AD50" s="0" t="inlineStr">
        <is>
          <t>서원구</t>
        </is>
      </c>
      <c r="AE50" s="0" t="inlineStr">
        <is>
          <t>개신동</t>
        </is>
      </c>
      <c r="AG50" s="0" t="inlineStr">
        <is>
          <t>충청북도 청주시 서원구 신율로 43</t>
        </is>
      </c>
      <c r="AH50" s="0" t="n">
        <v>0</v>
      </c>
      <c r="AI50" s="0" t="n">
        <v>166</v>
      </c>
      <c r="AJ50" s="0" t="n">
        <v>11</v>
      </c>
      <c r="AK50" s="0" t="n">
        <v>641</v>
      </c>
      <c r="AL50" s="0" t="n">
        <v>1.01</v>
      </c>
    </row>
    <row r="51">
      <c r="A51" s="0" t="inlineStr">
        <is>
          <t>[개신동]</t>
        </is>
      </c>
      <c r="B51" s="0" t="n">
        <v>111324</v>
      </c>
      <c r="C51" s="0" t="n">
        <v>1</v>
      </c>
      <c r="D51" s="0" t="inlineStr">
        <is>
          <t>라임스토리2(도시형)</t>
        </is>
      </c>
      <c r="E51" s="0" t="inlineStr">
        <is>
          <t>2014.12.</t>
        </is>
      </c>
      <c r="F51" s="0" t="n">
        <v>53</v>
      </c>
      <c r="G51" s="0" t="n">
        <v>9.220000000000001</v>
      </c>
      <c r="H51" s="0" t="n">
        <v>30.5</v>
      </c>
      <c r="I51" s="0" t="n">
        <v>7</v>
      </c>
      <c r="J51" s="0" t="n">
        <v>23.15</v>
      </c>
      <c r="K51" s="0" t="n">
        <v>5</v>
      </c>
      <c r="T51" s="0" t="n">
        <v>1</v>
      </c>
      <c r="U51" s="0" t="n">
        <v>1</v>
      </c>
      <c r="V51" s="0" t="inlineStr">
        <is>
          <t>계단식</t>
        </is>
      </c>
      <c r="W51" s="0" t="n">
        <v>30</v>
      </c>
      <c r="X51" s="0" t="n">
        <v>7</v>
      </c>
      <c r="Y51" s="0" t="n">
        <v>7</v>
      </c>
      <c r="Z51" s="0" t="inlineStr">
        <is>
          <t>https://new.land.naver.com/complexes/111324?tab=detail&amp;rf=Y</t>
        </is>
      </c>
      <c r="AA51" s="0" t="inlineStr">
        <is>
          <t>충청북도 청주시 서원구 개신동 706</t>
        </is>
      </c>
      <c r="AB51" s="0" t="inlineStr">
        <is>
          <t>충청북도</t>
        </is>
      </c>
      <c r="AC51" s="0" t="inlineStr">
        <is>
          <t>청주시</t>
        </is>
      </c>
      <c r="AD51" s="0" t="inlineStr">
        <is>
          <t>서원구</t>
        </is>
      </c>
      <c r="AE51" s="0" t="inlineStr">
        <is>
          <t>개신동</t>
        </is>
      </c>
      <c r="AG51" s="0" t="inlineStr">
        <is>
          <t>충청북도 청주시 서원구 복대로17번길 7-10</t>
        </is>
      </c>
      <c r="AH51" s="0" t="n">
        <v>0</v>
      </c>
      <c r="AI51" s="0" t="n">
        <v>404</v>
      </c>
      <c r="AJ51" s="0" t="n">
        <v>69</v>
      </c>
      <c r="AK51" s="0" t="n">
        <v>23</v>
      </c>
      <c r="AL51" s="0" t="n">
        <v>0.43</v>
      </c>
    </row>
    <row r="52">
      <c r="A52" s="0" t="inlineStr">
        <is>
          <t>[개신동]</t>
        </is>
      </c>
      <c r="B52" s="0" t="n">
        <v>111324</v>
      </c>
      <c r="C52" s="0" t="n">
        <v>2</v>
      </c>
      <c r="D52" s="0" t="inlineStr">
        <is>
          <t>라임스토리2(도시형)</t>
        </is>
      </c>
      <c r="E52" s="0" t="inlineStr">
        <is>
          <t>2014.12.</t>
        </is>
      </c>
      <c r="F52" s="0" t="n">
        <v>53</v>
      </c>
      <c r="G52" s="0" t="n">
        <v>9.84</v>
      </c>
      <c r="H52" s="0" t="n">
        <v>32.54</v>
      </c>
      <c r="I52" s="0" t="n">
        <v>7.47</v>
      </c>
      <c r="J52" s="0" t="n">
        <v>24.7</v>
      </c>
      <c r="K52" s="0" t="n">
        <v>6</v>
      </c>
      <c r="T52" s="0" t="n">
        <v>1</v>
      </c>
      <c r="U52" s="0" t="n">
        <v>1</v>
      </c>
      <c r="V52" s="0" t="inlineStr">
        <is>
          <t>계단식</t>
        </is>
      </c>
      <c r="W52" s="0" t="n">
        <v>32</v>
      </c>
      <c r="X52" s="0" t="n">
        <v>7</v>
      </c>
      <c r="Y52" s="0" t="n">
        <v>7</v>
      </c>
      <c r="Z52" s="0" t="inlineStr">
        <is>
          <t>https://new.land.naver.com/complexes/111324?tab=detail&amp;rf=Y</t>
        </is>
      </c>
      <c r="AA52" s="0" t="inlineStr">
        <is>
          <t>충청북도 청주시 서원구 개신동 706</t>
        </is>
      </c>
      <c r="AB52" s="0" t="inlineStr">
        <is>
          <t>충청북도</t>
        </is>
      </c>
      <c r="AC52" s="0" t="inlineStr">
        <is>
          <t>청주시</t>
        </is>
      </c>
      <c r="AD52" s="0" t="inlineStr">
        <is>
          <t>서원구</t>
        </is>
      </c>
      <c r="AE52" s="0" t="inlineStr">
        <is>
          <t>개신동</t>
        </is>
      </c>
      <c r="AG52" s="0" t="inlineStr">
        <is>
          <t>충청북도 청주시 서원구 복대로17번길 7-10</t>
        </is>
      </c>
      <c r="AH52" s="0" t="n">
        <v>0</v>
      </c>
      <c r="AI52" s="0" t="n">
        <v>404</v>
      </c>
      <c r="AJ52" s="0" t="n">
        <v>69</v>
      </c>
      <c r="AK52" s="0" t="n">
        <v>23</v>
      </c>
      <c r="AL52" s="0" t="n">
        <v>0.43</v>
      </c>
    </row>
    <row r="53">
      <c r="A53" s="0" t="inlineStr">
        <is>
          <t>[개신동]</t>
        </is>
      </c>
      <c r="B53" s="0" t="n">
        <v>111324</v>
      </c>
      <c r="C53" s="0" t="n">
        <v>3</v>
      </c>
      <c r="D53" s="0" t="inlineStr">
        <is>
          <t>라임스토리2(도시형)</t>
        </is>
      </c>
      <c r="E53" s="0" t="inlineStr">
        <is>
          <t>2014.12.</t>
        </is>
      </c>
      <c r="F53" s="0" t="n">
        <v>53</v>
      </c>
      <c r="G53" s="0" t="n">
        <v>13.32</v>
      </c>
      <c r="H53" s="0" t="n">
        <v>44.06</v>
      </c>
      <c r="I53" s="0" t="n">
        <v>10.11</v>
      </c>
      <c r="J53" s="0" t="n">
        <v>33.44</v>
      </c>
      <c r="K53" s="0" t="n">
        <v>24</v>
      </c>
      <c r="T53" s="0" t="n">
        <v>1</v>
      </c>
      <c r="U53" s="0" t="n">
        <v>1</v>
      </c>
      <c r="V53" s="0" t="inlineStr">
        <is>
          <t>계단식</t>
        </is>
      </c>
      <c r="W53" s="0" t="n">
        <v>44</v>
      </c>
      <c r="X53" s="0" t="n">
        <v>7</v>
      </c>
      <c r="Y53" s="0" t="n">
        <v>7</v>
      </c>
      <c r="Z53" s="0" t="inlineStr">
        <is>
          <t>https://new.land.naver.com/complexes/111324?tab=detail&amp;rf=Y</t>
        </is>
      </c>
      <c r="AA53" s="0" t="inlineStr">
        <is>
          <t>충청북도 청주시 서원구 개신동 706</t>
        </is>
      </c>
      <c r="AB53" s="0" t="inlineStr">
        <is>
          <t>충청북도</t>
        </is>
      </c>
      <c r="AC53" s="0" t="inlineStr">
        <is>
          <t>청주시</t>
        </is>
      </c>
      <c r="AD53" s="0" t="inlineStr">
        <is>
          <t>서원구</t>
        </is>
      </c>
      <c r="AE53" s="0" t="inlineStr">
        <is>
          <t>개신동</t>
        </is>
      </c>
      <c r="AG53" s="0" t="inlineStr">
        <is>
          <t>충청북도 청주시 서원구 복대로17번길 7-10</t>
        </is>
      </c>
      <c r="AH53" s="0" t="n">
        <v>0</v>
      </c>
      <c r="AI53" s="0" t="n">
        <v>404</v>
      </c>
      <c r="AJ53" s="0" t="n">
        <v>69</v>
      </c>
      <c r="AK53" s="0" t="n">
        <v>23</v>
      </c>
      <c r="AL53" s="0" t="n">
        <v>0.43</v>
      </c>
    </row>
    <row r="54">
      <c r="A54" s="0" t="inlineStr">
        <is>
          <t>[개신동]</t>
        </is>
      </c>
      <c r="B54" s="0" t="n">
        <v>111324</v>
      </c>
      <c r="C54" s="0" t="n">
        <v>4</v>
      </c>
      <c r="D54" s="0" t="inlineStr">
        <is>
          <t>라임스토리2(도시형)</t>
        </is>
      </c>
      <c r="E54" s="0" t="inlineStr">
        <is>
          <t>2014.12.</t>
        </is>
      </c>
      <c r="F54" s="0" t="n">
        <v>53</v>
      </c>
      <c r="G54" s="0" t="n">
        <v>15.46</v>
      </c>
      <c r="H54" s="0" t="n">
        <v>51.14</v>
      </c>
      <c r="I54" s="0" t="n">
        <v>11.74</v>
      </c>
      <c r="J54" s="0" t="n">
        <v>38.81</v>
      </c>
      <c r="K54" s="0" t="n">
        <v>12</v>
      </c>
      <c r="T54" s="0" t="n">
        <v>1</v>
      </c>
      <c r="U54" s="0" t="n">
        <v>1</v>
      </c>
      <c r="V54" s="0" t="inlineStr">
        <is>
          <t>계단식</t>
        </is>
      </c>
      <c r="W54" s="0" t="n">
        <v>51</v>
      </c>
      <c r="X54" s="0" t="n">
        <v>7</v>
      </c>
      <c r="Y54" s="0" t="n">
        <v>7</v>
      </c>
      <c r="Z54" s="0" t="inlineStr">
        <is>
          <t>https://new.land.naver.com/complexes/111324?tab=detail&amp;rf=Y</t>
        </is>
      </c>
      <c r="AA54" s="0" t="inlineStr">
        <is>
          <t>충청북도 청주시 서원구 개신동 706</t>
        </is>
      </c>
      <c r="AB54" s="0" t="inlineStr">
        <is>
          <t>충청북도</t>
        </is>
      </c>
      <c r="AC54" s="0" t="inlineStr">
        <is>
          <t>청주시</t>
        </is>
      </c>
      <c r="AD54" s="0" t="inlineStr">
        <is>
          <t>서원구</t>
        </is>
      </c>
      <c r="AE54" s="0" t="inlineStr">
        <is>
          <t>개신동</t>
        </is>
      </c>
      <c r="AG54" s="0" t="inlineStr">
        <is>
          <t>충청북도 청주시 서원구 복대로17번길 7-10</t>
        </is>
      </c>
      <c r="AH54" s="0" t="n">
        <v>0</v>
      </c>
      <c r="AI54" s="0" t="n">
        <v>404</v>
      </c>
      <c r="AJ54" s="0" t="n">
        <v>69</v>
      </c>
      <c r="AK54" s="0" t="n">
        <v>23</v>
      </c>
      <c r="AL54" s="0" t="n">
        <v>0.43</v>
      </c>
    </row>
    <row r="55">
      <c r="A55" s="0" t="inlineStr">
        <is>
          <t>[개신동]</t>
        </is>
      </c>
      <c r="B55" s="0" t="n">
        <v>111324</v>
      </c>
      <c r="C55" s="0" t="n">
        <v>5</v>
      </c>
      <c r="D55" s="0" t="inlineStr">
        <is>
          <t>라임스토리2(도시형)</t>
        </is>
      </c>
      <c r="E55" s="0" t="inlineStr">
        <is>
          <t>2014.12.</t>
        </is>
      </c>
      <c r="F55" s="0" t="n">
        <v>53</v>
      </c>
      <c r="G55" s="0" t="n">
        <v>19.83</v>
      </c>
      <c r="H55" s="0" t="n">
        <v>65.56</v>
      </c>
      <c r="I55" s="0" t="n">
        <v>15.04</v>
      </c>
      <c r="J55" s="0" t="n">
        <v>49.75</v>
      </c>
      <c r="K55" s="0" t="n">
        <v>6</v>
      </c>
      <c r="T55" s="0" t="n">
        <v>1</v>
      </c>
      <c r="U55" s="0" t="n">
        <v>1</v>
      </c>
      <c r="V55" s="0" t="inlineStr">
        <is>
          <t>계단식</t>
        </is>
      </c>
      <c r="W55" s="0" t="n">
        <v>65</v>
      </c>
      <c r="X55" s="0" t="n">
        <v>7</v>
      </c>
      <c r="Y55" s="0" t="n">
        <v>7</v>
      </c>
      <c r="Z55" s="0" t="inlineStr">
        <is>
          <t>https://new.land.naver.com/complexes/111324?tab=detail&amp;rf=Y</t>
        </is>
      </c>
      <c r="AA55" s="0" t="inlineStr">
        <is>
          <t>충청북도 청주시 서원구 개신동 706</t>
        </is>
      </c>
      <c r="AB55" s="0" t="inlineStr">
        <is>
          <t>충청북도</t>
        </is>
      </c>
      <c r="AC55" s="0" t="inlineStr">
        <is>
          <t>청주시</t>
        </is>
      </c>
      <c r="AD55" s="0" t="inlineStr">
        <is>
          <t>서원구</t>
        </is>
      </c>
      <c r="AE55" s="0" t="inlineStr">
        <is>
          <t>개신동</t>
        </is>
      </c>
      <c r="AG55" s="0" t="inlineStr">
        <is>
          <t>충청북도 청주시 서원구 복대로17번길 7-10</t>
        </is>
      </c>
      <c r="AH55" s="0" t="n">
        <v>0</v>
      </c>
      <c r="AI55" s="0" t="n">
        <v>404</v>
      </c>
      <c r="AJ55" s="0" t="n">
        <v>69</v>
      </c>
      <c r="AK55" s="0" t="n">
        <v>23</v>
      </c>
      <c r="AL55" s="0" t="n">
        <v>0.43</v>
      </c>
    </row>
    <row r="56">
      <c r="A56" s="0" t="inlineStr">
        <is>
          <t>[개신동]</t>
        </is>
      </c>
      <c r="B56" s="0" t="n">
        <v>7283</v>
      </c>
      <c r="C56" s="0" t="n">
        <v>1</v>
      </c>
      <c r="D56" s="0" t="inlineStr">
        <is>
          <t>송학삼익맨션</t>
        </is>
      </c>
      <c r="E56" s="0" t="inlineStr">
        <is>
          <t>1992.02.</t>
        </is>
      </c>
      <c r="F56" s="0" t="n">
        <v>330</v>
      </c>
      <c r="G56" s="0" t="n">
        <v>28.64</v>
      </c>
      <c r="H56" s="0" t="n">
        <v>94.7</v>
      </c>
      <c r="I56" s="0" t="n">
        <v>25.69</v>
      </c>
      <c r="J56" s="0" t="n">
        <v>84.93000000000001</v>
      </c>
      <c r="K56" s="0" t="n">
        <v>270</v>
      </c>
      <c r="T56" s="0" t="n">
        <v>3</v>
      </c>
      <c r="U56" s="0" t="n">
        <v>2</v>
      </c>
      <c r="V56" s="0" t="inlineStr">
        <is>
          <t>계단식</t>
        </is>
      </c>
      <c r="W56" s="0" t="n">
        <v>94</v>
      </c>
      <c r="X56" s="0" t="n">
        <v>15</v>
      </c>
      <c r="Y56" s="0" t="n">
        <v>15</v>
      </c>
      <c r="Z56" s="0" t="inlineStr">
        <is>
          <t>https://new.land.naver.com/complexes/7283?tab=detail&amp;rf=Y</t>
        </is>
      </c>
      <c r="AA56" s="0" t="inlineStr">
        <is>
          <t>충청북도 청주시 서원구 개신동 446-2</t>
        </is>
      </c>
      <c r="AB56" s="0" t="inlineStr">
        <is>
          <t>충청북도</t>
        </is>
      </c>
      <c r="AC56" s="0" t="inlineStr">
        <is>
          <t>청주시</t>
        </is>
      </c>
      <c r="AD56" s="0" t="inlineStr">
        <is>
          <t>서원구</t>
        </is>
      </c>
      <c r="AE56" s="0" t="inlineStr">
        <is>
          <t>개신동</t>
        </is>
      </c>
      <c r="AG56" s="0" t="inlineStr">
        <is>
          <t>충청북도 청주시 서원구 모충로12번길 4</t>
        </is>
      </c>
      <c r="AH56" s="0" t="n">
        <v>0</v>
      </c>
      <c r="AI56" s="0" t="n">
        <v>0</v>
      </c>
      <c r="AJ56" s="0" t="n">
        <v>0</v>
      </c>
      <c r="AK56" s="0" t="n">
        <v>231</v>
      </c>
      <c r="AL56" s="0" t="n">
        <v>0.7</v>
      </c>
    </row>
    <row r="57">
      <c r="A57" s="0" t="inlineStr">
        <is>
          <t>[개신동]</t>
        </is>
      </c>
      <c r="B57" s="0" t="n">
        <v>7283</v>
      </c>
      <c r="C57" s="0" t="n">
        <v>2</v>
      </c>
      <c r="D57" s="0" t="inlineStr">
        <is>
          <t>송학삼익맨션</t>
        </is>
      </c>
      <c r="E57" s="0" t="inlineStr">
        <is>
          <t>1992.02.</t>
        </is>
      </c>
      <c r="F57" s="0" t="n">
        <v>330</v>
      </c>
      <c r="G57" s="0" t="n">
        <v>41.67</v>
      </c>
      <c r="H57" s="0" t="n">
        <v>137.77</v>
      </c>
      <c r="I57" s="0" t="n">
        <v>37.82</v>
      </c>
      <c r="J57" s="0" t="n">
        <v>125.03</v>
      </c>
      <c r="K57" s="0" t="n">
        <v>60</v>
      </c>
      <c r="T57" s="0" t="n">
        <v>4</v>
      </c>
      <c r="U57" s="0" t="n">
        <v>2</v>
      </c>
      <c r="V57" s="0" t="inlineStr">
        <is>
          <t>계단식</t>
        </is>
      </c>
      <c r="W57" s="0" t="n">
        <v>137</v>
      </c>
      <c r="X57" s="0" t="n">
        <v>15</v>
      </c>
      <c r="Y57" s="0" t="n">
        <v>15</v>
      </c>
      <c r="Z57" s="0" t="inlineStr">
        <is>
          <t>https://new.land.naver.com/complexes/7283?tab=detail&amp;rf=Y</t>
        </is>
      </c>
      <c r="AA57" s="0" t="inlineStr">
        <is>
          <t>충청북도 청주시 서원구 개신동 446-2</t>
        </is>
      </c>
      <c r="AB57" s="0" t="inlineStr">
        <is>
          <t>충청북도</t>
        </is>
      </c>
      <c r="AC57" s="0" t="inlineStr">
        <is>
          <t>청주시</t>
        </is>
      </c>
      <c r="AD57" s="0" t="inlineStr">
        <is>
          <t>서원구</t>
        </is>
      </c>
      <c r="AE57" s="0" t="inlineStr">
        <is>
          <t>개신동</t>
        </is>
      </c>
      <c r="AG57" s="0" t="inlineStr">
        <is>
          <t>충청북도 청주시 서원구 모충로12번길 4</t>
        </is>
      </c>
      <c r="AH57" s="0" t="n">
        <v>0</v>
      </c>
      <c r="AI57" s="0" t="n">
        <v>0</v>
      </c>
      <c r="AJ57" s="0" t="n">
        <v>0</v>
      </c>
      <c r="AK57" s="0" t="n">
        <v>231</v>
      </c>
      <c r="AL57" s="0" t="n">
        <v>0.7</v>
      </c>
    </row>
    <row r="58">
      <c r="A58" s="0" t="inlineStr">
        <is>
          <t>[개신동]</t>
        </is>
      </c>
      <c r="B58" s="0" t="n">
        <v>106606</v>
      </c>
      <c r="C58" s="0" t="n">
        <v>1</v>
      </c>
      <c r="D58" s="0" t="inlineStr">
        <is>
          <t>개신한사랑</t>
        </is>
      </c>
      <c r="E58" s="0" t="inlineStr">
        <is>
          <t>1995.12.</t>
        </is>
      </c>
      <c r="F58" s="0" t="n">
        <v>138</v>
      </c>
      <c r="G58" s="0" t="n">
        <v>9.449999999999999</v>
      </c>
      <c r="H58" s="0" t="n">
        <v>31.24</v>
      </c>
      <c r="I58" s="0" t="n">
        <v>6.44</v>
      </c>
      <c r="J58" s="0" t="n">
        <v>21.32</v>
      </c>
      <c r="K58" s="0" t="n">
        <v>13</v>
      </c>
      <c r="T58" s="0" t="n">
        <v>1</v>
      </c>
      <c r="U58" s="0" t="n">
        <v>1</v>
      </c>
      <c r="V58" s="0" t="inlineStr">
        <is>
          <t>복도식</t>
        </is>
      </c>
      <c r="W58" s="0" t="n">
        <v>31</v>
      </c>
      <c r="X58" s="0" t="n">
        <v>12</v>
      </c>
      <c r="Y58" s="0" t="n">
        <v>12</v>
      </c>
      <c r="Z58" s="0" t="inlineStr">
        <is>
          <t>https://new.land.naver.com/complexes/106606?tab=detail&amp;rf=Y</t>
        </is>
      </c>
      <c r="AA58" s="0" t="inlineStr">
        <is>
          <t>충청북도 청주시 서원구 개신동 447-36</t>
        </is>
      </c>
      <c r="AB58" s="0" t="inlineStr">
        <is>
          <t>충청북도</t>
        </is>
      </c>
      <c r="AC58" s="0" t="inlineStr">
        <is>
          <t>청주시</t>
        </is>
      </c>
      <c r="AD58" s="0" t="inlineStr">
        <is>
          <t>서원구</t>
        </is>
      </c>
      <c r="AE58" s="0" t="inlineStr">
        <is>
          <t>개신동</t>
        </is>
      </c>
      <c r="AG58" s="0" t="inlineStr">
        <is>
          <t>충청북도 청주시 서원구 모충로12번길 9-13</t>
        </is>
      </c>
      <c r="AH58" s="0" t="n">
        <v>0</v>
      </c>
      <c r="AI58" s="0" t="n">
        <v>352</v>
      </c>
      <c r="AJ58" s="0" t="n">
        <v>48</v>
      </c>
      <c r="AK58" s="0" t="n">
        <v>66</v>
      </c>
      <c r="AL58" s="0" t="n">
        <v>0.48</v>
      </c>
    </row>
    <row r="59">
      <c r="A59" s="0" t="inlineStr">
        <is>
          <t>[개신동]</t>
        </is>
      </c>
      <c r="B59" s="0" t="n">
        <v>106606</v>
      </c>
      <c r="C59" s="0" t="n">
        <v>2</v>
      </c>
      <c r="D59" s="0" t="inlineStr">
        <is>
          <t>개신한사랑</t>
        </is>
      </c>
      <c r="E59" s="0" t="inlineStr">
        <is>
          <t>1995.12.</t>
        </is>
      </c>
      <c r="F59" s="0" t="n">
        <v>138</v>
      </c>
      <c r="G59" s="0" t="n">
        <v>11.52</v>
      </c>
      <c r="H59" s="0" t="n">
        <v>38.1</v>
      </c>
      <c r="I59" s="0" t="n">
        <v>7.86</v>
      </c>
      <c r="J59" s="0" t="n">
        <v>26</v>
      </c>
      <c r="K59" s="0" t="n">
        <v>116</v>
      </c>
      <c r="T59" s="0" t="n">
        <v>1</v>
      </c>
      <c r="U59" s="0" t="n">
        <v>1</v>
      </c>
      <c r="V59" s="0" t="inlineStr">
        <is>
          <t>복도식</t>
        </is>
      </c>
      <c r="W59" s="0" t="n">
        <v>38</v>
      </c>
      <c r="X59" s="0" t="n">
        <v>12</v>
      </c>
      <c r="Y59" s="0" t="n">
        <v>12</v>
      </c>
      <c r="Z59" s="0" t="inlineStr">
        <is>
          <t>https://new.land.naver.com/complexes/106606?tab=detail&amp;rf=Y</t>
        </is>
      </c>
      <c r="AA59" s="0" t="inlineStr">
        <is>
          <t>충청북도 청주시 서원구 개신동 447-36</t>
        </is>
      </c>
      <c r="AB59" s="0" t="inlineStr">
        <is>
          <t>충청북도</t>
        </is>
      </c>
      <c r="AC59" s="0" t="inlineStr">
        <is>
          <t>청주시</t>
        </is>
      </c>
      <c r="AD59" s="0" t="inlineStr">
        <is>
          <t>서원구</t>
        </is>
      </c>
      <c r="AE59" s="0" t="inlineStr">
        <is>
          <t>개신동</t>
        </is>
      </c>
      <c r="AG59" s="0" t="inlineStr">
        <is>
          <t>충청북도 청주시 서원구 모충로12번길 9-13</t>
        </is>
      </c>
      <c r="AH59" s="0" t="n">
        <v>0</v>
      </c>
      <c r="AI59" s="0" t="n">
        <v>352</v>
      </c>
      <c r="AJ59" s="0" t="n">
        <v>48</v>
      </c>
      <c r="AK59" s="0" t="n">
        <v>66</v>
      </c>
      <c r="AL59" s="0" t="n">
        <v>0.48</v>
      </c>
    </row>
    <row r="60">
      <c r="A60" s="0" t="inlineStr">
        <is>
          <t>[개신동]</t>
        </is>
      </c>
      <c r="B60" s="0" t="n">
        <v>106606</v>
      </c>
      <c r="C60" s="0" t="n">
        <v>3</v>
      </c>
      <c r="D60" s="0" t="inlineStr">
        <is>
          <t>개신한사랑</t>
        </is>
      </c>
      <c r="E60" s="0" t="inlineStr">
        <is>
          <t>1995.12.</t>
        </is>
      </c>
      <c r="F60" s="0" t="n">
        <v>138</v>
      </c>
      <c r="G60" s="0" t="n">
        <v>14.07</v>
      </c>
      <c r="H60" s="0" t="n">
        <v>46.54</v>
      </c>
      <c r="I60" s="0" t="n">
        <v>9.6</v>
      </c>
      <c r="J60" s="0" t="n">
        <v>31.76</v>
      </c>
      <c r="K60" s="0" t="n">
        <v>9</v>
      </c>
      <c r="T60" s="0" t="n">
        <v>1</v>
      </c>
      <c r="U60" s="0" t="n">
        <v>1</v>
      </c>
      <c r="V60" s="0" t="inlineStr">
        <is>
          <t>복도식</t>
        </is>
      </c>
      <c r="W60" s="0" t="n">
        <v>46</v>
      </c>
      <c r="X60" s="0" t="n">
        <v>12</v>
      </c>
      <c r="Y60" s="0" t="n">
        <v>12</v>
      </c>
      <c r="Z60" s="0" t="inlineStr">
        <is>
          <t>https://new.land.naver.com/complexes/106606?tab=detail&amp;rf=Y</t>
        </is>
      </c>
      <c r="AA60" s="0" t="inlineStr">
        <is>
          <t>충청북도 청주시 서원구 개신동 447-36</t>
        </is>
      </c>
      <c r="AB60" s="0" t="inlineStr">
        <is>
          <t>충청북도</t>
        </is>
      </c>
      <c r="AC60" s="0" t="inlineStr">
        <is>
          <t>청주시</t>
        </is>
      </c>
      <c r="AD60" s="0" t="inlineStr">
        <is>
          <t>서원구</t>
        </is>
      </c>
      <c r="AE60" s="0" t="inlineStr">
        <is>
          <t>개신동</t>
        </is>
      </c>
      <c r="AG60" s="0" t="inlineStr">
        <is>
          <t>충청북도 청주시 서원구 모충로12번길 9-13</t>
        </is>
      </c>
      <c r="AH60" s="0" t="n">
        <v>0</v>
      </c>
      <c r="AI60" s="0" t="n">
        <v>352</v>
      </c>
      <c r="AJ60" s="0" t="n">
        <v>48</v>
      </c>
      <c r="AK60" s="0" t="n">
        <v>66</v>
      </c>
      <c r="AL60" s="0" t="n">
        <v>0.48</v>
      </c>
    </row>
    <row r="61">
      <c r="A61" s="0" t="inlineStr">
        <is>
          <t>[개신동]</t>
        </is>
      </c>
      <c r="B61" s="0" t="n">
        <v>104955</v>
      </c>
      <c r="C61" s="0" t="n">
        <v>1</v>
      </c>
      <c r="D61" s="0" t="inlineStr">
        <is>
          <t>개신우정</t>
        </is>
      </c>
      <c r="E61" s="0" t="inlineStr">
        <is>
          <t>1997.07.</t>
        </is>
      </c>
      <c r="F61" s="0" t="n">
        <v>236</v>
      </c>
      <c r="G61" s="0" t="n">
        <v>10.6</v>
      </c>
      <c r="H61" s="0" t="n">
        <v>35.05</v>
      </c>
      <c r="I61" s="0" t="n">
        <v>7.26</v>
      </c>
      <c r="J61" s="0" t="n">
        <v>24.03</v>
      </c>
      <c r="K61" s="0" t="n">
        <v>186</v>
      </c>
      <c r="T61" s="0" t="n">
        <v>1</v>
      </c>
      <c r="U61" s="0" t="n">
        <v>1</v>
      </c>
      <c r="V61" s="0" t="inlineStr">
        <is>
          <t>복도식</t>
        </is>
      </c>
      <c r="W61" s="0" t="inlineStr">
        <is>
          <t>35A</t>
        </is>
      </c>
      <c r="X61" s="0" t="n">
        <v>14</v>
      </c>
      <c r="Y61" s="0" t="n">
        <v>6</v>
      </c>
      <c r="Z61" s="0" t="inlineStr">
        <is>
          <t>https://new.land.naver.com/complexes/104955?tab=detail&amp;rf=Y</t>
        </is>
      </c>
      <c r="AA61" s="0" t="inlineStr">
        <is>
          <t>충청북도 청주시 서원구 개신동 1-16</t>
        </is>
      </c>
      <c r="AB61" s="0" t="inlineStr">
        <is>
          <t>충청북도</t>
        </is>
      </c>
      <c r="AC61" s="0" t="inlineStr">
        <is>
          <t>청주시</t>
        </is>
      </c>
      <c r="AD61" s="0" t="inlineStr">
        <is>
          <t>서원구</t>
        </is>
      </c>
      <c r="AE61" s="0" t="inlineStr">
        <is>
          <t>개신동</t>
        </is>
      </c>
      <c r="AG61" s="0" t="inlineStr">
        <is>
          <t>충청북도 청주시 서원구 예체로1번길 29</t>
        </is>
      </c>
      <c r="AH61" s="0" t="n">
        <v>0</v>
      </c>
      <c r="AI61" s="0" t="n">
        <v>286</v>
      </c>
      <c r="AJ61" s="0" t="n">
        <v>53</v>
      </c>
      <c r="AK61" s="0" t="n">
        <v>98</v>
      </c>
      <c r="AL61" s="0" t="n">
        <v>0.42</v>
      </c>
    </row>
    <row r="62">
      <c r="A62" s="0" t="inlineStr">
        <is>
          <t>[개신동]</t>
        </is>
      </c>
      <c r="B62" s="0" t="n">
        <v>104955</v>
      </c>
      <c r="C62" s="0" t="n">
        <v>2</v>
      </c>
      <c r="D62" s="0" t="inlineStr">
        <is>
          <t>개신우정</t>
        </is>
      </c>
      <c r="E62" s="0" t="inlineStr">
        <is>
          <t>1997.07.</t>
        </is>
      </c>
      <c r="F62" s="0" t="n">
        <v>236</v>
      </c>
      <c r="G62" s="0" t="n">
        <v>11.15</v>
      </c>
      <c r="H62" s="0" t="n">
        <v>36.88</v>
      </c>
      <c r="I62" s="0" t="n">
        <v>7.65</v>
      </c>
      <c r="J62" s="0" t="n">
        <v>25.29</v>
      </c>
      <c r="K62" s="0" t="n">
        <v>50</v>
      </c>
      <c r="T62" s="0" t="n">
        <v>1</v>
      </c>
      <c r="U62" s="0" t="n">
        <v>1</v>
      </c>
      <c r="V62" s="0" t="inlineStr">
        <is>
          <t>복도식</t>
        </is>
      </c>
      <c r="W62" s="0" t="inlineStr">
        <is>
          <t>36B</t>
        </is>
      </c>
      <c r="X62" s="0" t="n">
        <v>14</v>
      </c>
      <c r="Y62" s="0" t="n">
        <v>6</v>
      </c>
      <c r="Z62" s="0" t="inlineStr">
        <is>
          <t>https://new.land.naver.com/complexes/104955?tab=detail&amp;rf=Y</t>
        </is>
      </c>
      <c r="AA62" s="0" t="inlineStr">
        <is>
          <t>충청북도 청주시 서원구 개신동 1-16</t>
        </is>
      </c>
      <c r="AB62" s="0" t="inlineStr">
        <is>
          <t>충청북도</t>
        </is>
      </c>
      <c r="AC62" s="0" t="inlineStr">
        <is>
          <t>청주시</t>
        </is>
      </c>
      <c r="AD62" s="0" t="inlineStr">
        <is>
          <t>서원구</t>
        </is>
      </c>
      <c r="AE62" s="0" t="inlineStr">
        <is>
          <t>개신동</t>
        </is>
      </c>
      <c r="AG62" s="0" t="inlineStr">
        <is>
          <t>충청북도 청주시 서원구 예체로1번길 29</t>
        </is>
      </c>
      <c r="AH62" s="0" t="n">
        <v>0</v>
      </c>
      <c r="AI62" s="0" t="n">
        <v>286</v>
      </c>
      <c r="AJ62" s="0" t="n">
        <v>53</v>
      </c>
      <c r="AK62" s="0" t="n">
        <v>98</v>
      </c>
      <c r="AL62" s="0" t="n">
        <v>0.42</v>
      </c>
    </row>
    <row r="63">
      <c r="A63" s="0" t="inlineStr">
        <is>
          <t>[개신동]</t>
        </is>
      </c>
      <c r="B63" s="0" t="n">
        <v>7267</v>
      </c>
      <c r="C63" s="0" t="n">
        <v>1</v>
      </c>
      <c r="D63" s="0" t="inlineStr">
        <is>
          <t>두산한솔2차</t>
        </is>
      </c>
      <c r="E63" s="0" t="inlineStr">
        <is>
          <t>1993.11.</t>
        </is>
      </c>
      <c r="F63" s="0" t="n">
        <v>180</v>
      </c>
      <c r="G63" s="0" t="n">
        <v>24.5</v>
      </c>
      <c r="H63" s="0" t="n">
        <v>81.01000000000001</v>
      </c>
      <c r="I63" s="0" t="n">
        <v>18.15</v>
      </c>
      <c r="J63" s="0" t="n">
        <v>60</v>
      </c>
      <c r="K63" s="0" t="n">
        <v>90</v>
      </c>
      <c r="T63" s="0" t="n">
        <v>3</v>
      </c>
      <c r="U63" s="0" t="n">
        <v>1</v>
      </c>
      <c r="V63" s="0" t="inlineStr">
        <is>
          <t>계단식</t>
        </is>
      </c>
      <c r="W63" s="0" t="n">
        <v>81</v>
      </c>
      <c r="X63" s="0" t="n">
        <v>15</v>
      </c>
      <c r="Y63" s="0" t="n">
        <v>15</v>
      </c>
      <c r="Z63" s="0" t="inlineStr">
        <is>
          <t>https://new.land.naver.com/complexes/7267?tab=detail&amp;rf=Y</t>
        </is>
      </c>
      <c r="AA63" s="0" t="inlineStr">
        <is>
          <t>충청북도 청주시 서원구 개신동 444-2</t>
        </is>
      </c>
      <c r="AB63" s="0" t="inlineStr">
        <is>
          <t>충청북도</t>
        </is>
      </c>
      <c r="AC63" s="0" t="inlineStr">
        <is>
          <t>청주시</t>
        </is>
      </c>
      <c r="AD63" s="0" t="inlineStr">
        <is>
          <t>서원구</t>
        </is>
      </c>
      <c r="AE63" s="0" t="inlineStr">
        <is>
          <t>개신동</t>
        </is>
      </c>
      <c r="AG63" s="0" t="inlineStr">
        <is>
          <t>충청북도 청주시 서원구 모충로26번길 60</t>
        </is>
      </c>
      <c r="AH63" s="0" t="n">
        <v>0</v>
      </c>
      <c r="AI63" s="0" t="n">
        <v>0</v>
      </c>
      <c r="AJ63" s="0" t="n">
        <v>0</v>
      </c>
      <c r="AK63" s="0" t="n">
        <v>162</v>
      </c>
      <c r="AL63" s="0" t="n">
        <v>0.9</v>
      </c>
    </row>
    <row r="64">
      <c r="A64" s="0" t="inlineStr">
        <is>
          <t>[개신동]</t>
        </is>
      </c>
      <c r="B64" s="0" t="n">
        <v>7267</v>
      </c>
      <c r="C64" s="0" t="n">
        <v>2</v>
      </c>
      <c r="D64" s="0" t="inlineStr">
        <is>
          <t>두산한솔2차</t>
        </is>
      </c>
      <c r="E64" s="0" t="inlineStr">
        <is>
          <t>1993.11.</t>
        </is>
      </c>
      <c r="F64" s="0" t="n">
        <v>180</v>
      </c>
      <c r="G64" s="0" t="n">
        <v>31.48</v>
      </c>
      <c r="H64" s="0" t="n">
        <v>104.08</v>
      </c>
      <c r="I64" s="0" t="n">
        <v>25.7</v>
      </c>
      <c r="J64" s="0" t="n">
        <v>84.98999999999999</v>
      </c>
      <c r="K64" s="0" t="n">
        <v>90</v>
      </c>
      <c r="T64" s="0" t="n">
        <v>3</v>
      </c>
      <c r="U64" s="0" t="n">
        <v>2</v>
      </c>
      <c r="V64" s="0" t="inlineStr">
        <is>
          <t>계단식</t>
        </is>
      </c>
      <c r="W64" s="0" t="n">
        <v>104</v>
      </c>
      <c r="X64" s="0" t="n">
        <v>15</v>
      </c>
      <c r="Y64" s="0" t="n">
        <v>15</v>
      </c>
      <c r="Z64" s="0" t="inlineStr">
        <is>
          <t>https://new.land.naver.com/complexes/7267?tab=detail&amp;rf=Y</t>
        </is>
      </c>
      <c r="AA64" s="0" t="inlineStr">
        <is>
          <t>충청북도 청주시 서원구 개신동 444-2</t>
        </is>
      </c>
      <c r="AB64" s="0" t="inlineStr">
        <is>
          <t>충청북도</t>
        </is>
      </c>
      <c r="AC64" s="0" t="inlineStr">
        <is>
          <t>청주시</t>
        </is>
      </c>
      <c r="AD64" s="0" t="inlineStr">
        <is>
          <t>서원구</t>
        </is>
      </c>
      <c r="AE64" s="0" t="inlineStr">
        <is>
          <t>개신동</t>
        </is>
      </c>
      <c r="AG64" s="0" t="inlineStr">
        <is>
          <t>충청북도 청주시 서원구 모충로26번길 60</t>
        </is>
      </c>
      <c r="AH64" s="0" t="n">
        <v>0</v>
      </c>
      <c r="AI64" s="0" t="n">
        <v>0</v>
      </c>
      <c r="AJ64" s="0" t="n">
        <v>0</v>
      </c>
      <c r="AK64" s="0" t="n">
        <v>162</v>
      </c>
      <c r="AL64" s="0" t="n">
        <v>0.9</v>
      </c>
    </row>
    <row r="65">
      <c r="A65" s="0" t="inlineStr">
        <is>
          <t>[개신동]</t>
        </is>
      </c>
      <c r="B65" s="0" t="n">
        <v>25720</v>
      </c>
      <c r="C65" s="0" t="n">
        <v>1</v>
      </c>
      <c r="D65" s="0" t="inlineStr">
        <is>
          <t>태암베스트윙</t>
        </is>
      </c>
      <c r="E65" s="0" t="inlineStr">
        <is>
          <t>2005.09.</t>
        </is>
      </c>
      <c r="F65" s="0" t="n">
        <v>118</v>
      </c>
      <c r="G65" s="0" t="n">
        <v>34.02</v>
      </c>
      <c r="H65" s="0" t="n">
        <v>112.48</v>
      </c>
      <c r="I65" s="0" t="n">
        <v>25.68</v>
      </c>
      <c r="J65" s="0" t="n">
        <v>84.90000000000001</v>
      </c>
      <c r="K65" s="0" t="n">
        <v>118</v>
      </c>
      <c r="T65" s="0" t="n">
        <v>3</v>
      </c>
      <c r="U65" s="0" t="n">
        <v>2</v>
      </c>
      <c r="V65" s="0" t="inlineStr">
        <is>
          <t>계단식</t>
        </is>
      </c>
      <c r="W65" s="0" t="n">
        <v>112</v>
      </c>
      <c r="X65" s="0" t="n">
        <v>15</v>
      </c>
      <c r="Y65" s="0" t="n">
        <v>8</v>
      </c>
      <c r="Z65" s="0" t="inlineStr">
        <is>
          <t>https://new.land.naver.com/complexes/25720?tab=detail&amp;rf=Y</t>
        </is>
      </c>
      <c r="AA65" s="0" t="inlineStr">
        <is>
          <t>충청북도 청주시 서원구 개신동 8</t>
        </is>
      </c>
      <c r="AB65" s="0" t="inlineStr">
        <is>
          <t>충청북도</t>
        </is>
      </c>
      <c r="AC65" s="0" t="inlineStr">
        <is>
          <t>청주시</t>
        </is>
      </c>
      <c r="AD65" s="0" t="inlineStr">
        <is>
          <t>서원구</t>
        </is>
      </c>
      <c r="AE65" s="0" t="inlineStr">
        <is>
          <t>개신동</t>
        </is>
      </c>
      <c r="AG65" s="0" t="inlineStr">
        <is>
          <t>충청북도 청주시 서원구 1순환로751번길 29</t>
        </is>
      </c>
      <c r="AH65" s="0" t="n">
        <v>0</v>
      </c>
      <c r="AI65" s="0" t="n">
        <v>175</v>
      </c>
      <c r="AJ65" s="0" t="n">
        <v>21</v>
      </c>
      <c r="AK65" s="0" t="n">
        <v>165</v>
      </c>
      <c r="AL65" s="0" t="n">
        <v>1.4</v>
      </c>
    </row>
    <row r="66">
      <c r="A66" s="0" t="inlineStr">
        <is>
          <t>[개신동]</t>
        </is>
      </c>
      <c r="B66" s="0" t="n">
        <v>115043</v>
      </c>
      <c r="C66" s="0" t="n">
        <v>1</v>
      </c>
      <c r="D66" s="0" t="inlineStr">
        <is>
          <t>서우</t>
        </is>
      </c>
      <c r="E66" s="0" t="inlineStr">
        <is>
          <t>1987.12.</t>
        </is>
      </c>
      <c r="F66" s="0" t="n">
        <v>88</v>
      </c>
      <c r="G66" s="0" t="n">
        <v>10.56</v>
      </c>
      <c r="H66" s="0" t="n">
        <v>34.91</v>
      </c>
      <c r="I66" s="0" t="n">
        <v>8.34</v>
      </c>
      <c r="J66" s="0" t="n">
        <v>27.6</v>
      </c>
      <c r="K66" s="0" t="n">
        <v>24</v>
      </c>
      <c r="T66" s="0" t="n">
        <v>2</v>
      </c>
      <c r="U66" s="0" t="n">
        <v>1</v>
      </c>
      <c r="V66" s="0" t="inlineStr">
        <is>
          <t>계단식</t>
        </is>
      </c>
      <c r="W66" s="0" t="n">
        <v>34</v>
      </c>
      <c r="X66" s="0" t="n">
        <v>4</v>
      </c>
      <c r="Y66" s="0" t="n">
        <v>4</v>
      </c>
      <c r="Z66" s="0" t="inlineStr">
        <is>
          <t>https://new.land.naver.com/complexes/115043?tab=detail&amp;rf=Y</t>
        </is>
      </c>
      <c r="AA66" s="0" t="inlineStr">
        <is>
          <t>충청북도 청주시 서원구 개신동 443-6</t>
        </is>
      </c>
      <c r="AB66" s="0" t="inlineStr">
        <is>
          <t>충청북도</t>
        </is>
      </c>
      <c r="AC66" s="0" t="inlineStr">
        <is>
          <t>청주시</t>
        </is>
      </c>
      <c r="AD66" s="0" t="inlineStr">
        <is>
          <t>서원구</t>
        </is>
      </c>
      <c r="AE66" s="0" t="inlineStr">
        <is>
          <t>개신동</t>
        </is>
      </c>
      <c r="AG66" s="0" t="inlineStr">
        <is>
          <t>충청북도 청주시 서원구 모충로 44-2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[개신동]</t>
        </is>
      </c>
      <c r="B67" s="0" t="n">
        <v>115043</v>
      </c>
      <c r="C67" s="0" t="n">
        <v>2</v>
      </c>
      <c r="D67" s="0" t="inlineStr">
        <is>
          <t>서우</t>
        </is>
      </c>
      <c r="E67" s="0" t="inlineStr">
        <is>
          <t>1987.12.</t>
        </is>
      </c>
      <c r="F67" s="0" t="n">
        <v>88</v>
      </c>
      <c r="G67" s="0" t="n">
        <v>17.54</v>
      </c>
      <c r="H67" s="0" t="n">
        <v>57.99</v>
      </c>
      <c r="I67" s="0" t="n">
        <v>13.83</v>
      </c>
      <c r="J67" s="0" t="n">
        <v>45.73</v>
      </c>
      <c r="K67" s="0" t="n">
        <v>4</v>
      </c>
      <c r="T67" s="0" t="n">
        <v>2</v>
      </c>
      <c r="U67" s="0" t="n">
        <v>1</v>
      </c>
      <c r="V67" s="0" t="inlineStr">
        <is>
          <t>계단식</t>
        </is>
      </c>
      <c r="W67" s="0" t="inlineStr">
        <is>
          <t>57A</t>
        </is>
      </c>
      <c r="X67" s="0" t="n">
        <v>4</v>
      </c>
      <c r="Y67" s="0" t="n">
        <v>4</v>
      </c>
      <c r="Z67" s="0" t="inlineStr">
        <is>
          <t>https://new.land.naver.com/complexes/115043?tab=detail&amp;rf=Y</t>
        </is>
      </c>
      <c r="AA67" s="0" t="inlineStr">
        <is>
          <t>충청북도 청주시 서원구 개신동 443-6</t>
        </is>
      </c>
      <c r="AB67" s="0" t="inlineStr">
        <is>
          <t>충청북도</t>
        </is>
      </c>
      <c r="AC67" s="0" t="inlineStr">
        <is>
          <t>청주시</t>
        </is>
      </c>
      <c r="AD67" s="0" t="inlineStr">
        <is>
          <t>서원구</t>
        </is>
      </c>
      <c r="AE67" s="0" t="inlineStr">
        <is>
          <t>개신동</t>
        </is>
      </c>
      <c r="AG67" s="0" t="inlineStr">
        <is>
          <t>충청북도 청주시 서원구 모충로 44-2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[개신동]</t>
        </is>
      </c>
      <c r="B68" s="0" t="n">
        <v>115043</v>
      </c>
      <c r="C68" s="0" t="n">
        <v>3</v>
      </c>
      <c r="D68" s="0" t="inlineStr">
        <is>
          <t>서우</t>
        </is>
      </c>
      <c r="E68" s="0" t="inlineStr">
        <is>
          <t>1987.12.</t>
        </is>
      </c>
      <c r="F68" s="0" t="n">
        <v>88</v>
      </c>
      <c r="G68" s="0" t="n">
        <v>18.13</v>
      </c>
      <c r="H68" s="0" t="n">
        <v>59.95</v>
      </c>
      <c r="I68" s="0" t="n">
        <v>14.32</v>
      </c>
      <c r="J68" s="0" t="n">
        <v>47.37</v>
      </c>
      <c r="K68" s="0" t="n">
        <v>20</v>
      </c>
      <c r="T68" s="0" t="n">
        <v>2</v>
      </c>
      <c r="U68" s="0" t="n">
        <v>1</v>
      </c>
      <c r="V68" s="0" t="inlineStr">
        <is>
          <t>계단식</t>
        </is>
      </c>
      <c r="W68" s="0" t="inlineStr">
        <is>
          <t>59B</t>
        </is>
      </c>
      <c r="X68" s="0" t="n">
        <v>4</v>
      </c>
      <c r="Y68" s="0" t="n">
        <v>4</v>
      </c>
      <c r="Z68" s="0" t="inlineStr">
        <is>
          <t>https://new.land.naver.com/complexes/115043?tab=detail&amp;rf=Y</t>
        </is>
      </c>
      <c r="AA68" s="0" t="inlineStr">
        <is>
          <t>충청북도 청주시 서원구 개신동 443-6</t>
        </is>
      </c>
      <c r="AB68" s="0" t="inlineStr">
        <is>
          <t>충청북도</t>
        </is>
      </c>
      <c r="AC68" s="0" t="inlineStr">
        <is>
          <t>청주시</t>
        </is>
      </c>
      <c r="AD68" s="0" t="inlineStr">
        <is>
          <t>서원구</t>
        </is>
      </c>
      <c r="AE68" s="0" t="inlineStr">
        <is>
          <t>개신동</t>
        </is>
      </c>
      <c r="AG68" s="0" t="inlineStr">
        <is>
          <t>충청북도 청주시 서원구 모충로 44-2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[개신동]</t>
        </is>
      </c>
      <c r="B69" s="0" t="n">
        <v>115043</v>
      </c>
      <c r="C69" s="0" t="n">
        <v>4</v>
      </c>
      <c r="D69" s="0" t="inlineStr">
        <is>
          <t>서우</t>
        </is>
      </c>
      <c r="E69" s="0" t="inlineStr">
        <is>
          <t>1987.12.</t>
        </is>
      </c>
      <c r="F69" s="0" t="n">
        <v>88</v>
      </c>
      <c r="G69" s="0" t="n">
        <v>22.15</v>
      </c>
      <c r="H69" s="0" t="n">
        <v>73.25</v>
      </c>
      <c r="I69" s="0" t="n">
        <v>17.87</v>
      </c>
      <c r="J69" s="0" t="n">
        <v>59.1</v>
      </c>
      <c r="K69" s="0" t="n">
        <v>40</v>
      </c>
      <c r="T69" s="0" t="n">
        <v>3</v>
      </c>
      <c r="U69" s="0" t="n">
        <v>1</v>
      </c>
      <c r="V69" s="0" t="inlineStr">
        <is>
          <t>계단식</t>
        </is>
      </c>
      <c r="W69" s="0" t="n">
        <v>73</v>
      </c>
      <c r="X69" s="0" t="n">
        <v>4</v>
      </c>
      <c r="Y69" s="0" t="n">
        <v>4</v>
      </c>
      <c r="Z69" s="0" t="inlineStr">
        <is>
          <t>https://new.land.naver.com/complexes/115043?tab=detail&amp;rf=Y</t>
        </is>
      </c>
      <c r="AA69" s="0" t="inlineStr">
        <is>
          <t>충청북도 청주시 서원구 개신동 443-6</t>
        </is>
      </c>
      <c r="AB69" s="0" t="inlineStr">
        <is>
          <t>충청북도</t>
        </is>
      </c>
      <c r="AC69" s="0" t="inlineStr">
        <is>
          <t>청주시</t>
        </is>
      </c>
      <c r="AD69" s="0" t="inlineStr">
        <is>
          <t>서원구</t>
        </is>
      </c>
      <c r="AE69" s="0" t="inlineStr">
        <is>
          <t>개신동</t>
        </is>
      </c>
      <c r="AG69" s="0" t="inlineStr">
        <is>
          <t>충청북도 청주시 서원구 모충로 44-2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[개신동]</t>
        </is>
      </c>
      <c r="B70" s="0" t="n">
        <v>25977</v>
      </c>
      <c r="C70" s="0" t="n">
        <v>1</v>
      </c>
      <c r="D70" s="0" t="inlineStr">
        <is>
          <t>청주개신주공1단지</t>
        </is>
      </c>
      <c r="E70" s="0" t="inlineStr">
        <is>
          <t>2001.12.</t>
        </is>
      </c>
      <c r="F70" s="0" t="n">
        <v>1398</v>
      </c>
      <c r="G70" s="0" t="n">
        <v>21.57</v>
      </c>
      <c r="H70" s="0" t="n">
        <v>71.31999999999999</v>
      </c>
      <c r="I70" s="0" t="n">
        <v>15.1</v>
      </c>
      <c r="J70" s="0" t="n">
        <v>49.93</v>
      </c>
      <c r="K70" s="0" t="n">
        <v>631</v>
      </c>
      <c r="T70" s="0" t="n">
        <v>2</v>
      </c>
      <c r="U70" s="0" t="n">
        <v>1</v>
      </c>
      <c r="V70" s="0" t="inlineStr">
        <is>
          <t>계단식</t>
        </is>
      </c>
      <c r="W70" s="0" t="inlineStr">
        <is>
          <t>71B</t>
        </is>
      </c>
      <c r="X70" s="0" t="n">
        <v>25</v>
      </c>
      <c r="Y70" s="0" t="n">
        <v>8</v>
      </c>
      <c r="Z70" s="0" t="inlineStr">
        <is>
          <t>https://new.land.naver.com/complexes/25977?tab=detail&amp;rf=Y</t>
        </is>
      </c>
      <c r="AA70" s="0" t="inlineStr">
        <is>
          <t>충청북도 청주시 서원구 개신동 613</t>
        </is>
      </c>
      <c r="AB70" s="0" t="inlineStr">
        <is>
          <t>충청북도</t>
        </is>
      </c>
      <c r="AC70" s="0" t="inlineStr">
        <is>
          <t>청주시</t>
        </is>
      </c>
      <c r="AD70" s="0" t="inlineStr">
        <is>
          <t>서원구</t>
        </is>
      </c>
      <c r="AE70" s="0" t="inlineStr">
        <is>
          <t>개신동</t>
        </is>
      </c>
      <c r="AG70" s="0" t="inlineStr">
        <is>
          <t>충청북도 청주시 서원구 경신로 67</t>
        </is>
      </c>
      <c r="AH70" s="0" t="n">
        <v>0</v>
      </c>
      <c r="AI70" s="0" t="n">
        <v>204</v>
      </c>
      <c r="AJ70" s="0" t="n">
        <v>18</v>
      </c>
      <c r="AK70" s="0" t="n">
        <v>1061</v>
      </c>
      <c r="AL70" s="0" t="n">
        <v>0.76</v>
      </c>
    </row>
    <row r="71">
      <c r="A71" s="0" t="inlineStr">
        <is>
          <t>[개신동]</t>
        </is>
      </c>
      <c r="B71" s="0" t="n">
        <v>25977</v>
      </c>
      <c r="C71" s="0" t="n">
        <v>2</v>
      </c>
      <c r="D71" s="0" t="inlineStr">
        <is>
          <t>청주개신주공1단지</t>
        </is>
      </c>
      <c r="E71" s="0" t="inlineStr">
        <is>
          <t>2001.12.</t>
        </is>
      </c>
      <c r="F71" s="0" t="n">
        <v>1398</v>
      </c>
      <c r="G71" s="0" t="n">
        <v>21.53</v>
      </c>
      <c r="H71" s="0" t="n">
        <v>71.18000000000001</v>
      </c>
      <c r="I71" s="0" t="n">
        <v>15.07</v>
      </c>
      <c r="J71" s="0" t="n">
        <v>49.83</v>
      </c>
      <c r="K71" s="0" t="n">
        <v>85</v>
      </c>
      <c r="T71" s="0" t="n">
        <v>2</v>
      </c>
      <c r="U71" s="0" t="n">
        <v>1</v>
      </c>
      <c r="V71" s="0" t="inlineStr">
        <is>
          <t>계단식</t>
        </is>
      </c>
      <c r="W71" s="0" t="inlineStr">
        <is>
          <t>71A</t>
        </is>
      </c>
      <c r="X71" s="0" t="n">
        <v>25</v>
      </c>
      <c r="Y71" s="0" t="n">
        <v>8</v>
      </c>
      <c r="Z71" s="0" t="inlineStr">
        <is>
          <t>https://new.land.naver.com/complexes/25977?tab=detail&amp;rf=Y</t>
        </is>
      </c>
      <c r="AA71" s="0" t="inlineStr">
        <is>
          <t>충청북도 청주시 서원구 개신동 613</t>
        </is>
      </c>
      <c r="AB71" s="0" t="inlineStr">
        <is>
          <t>충청북도</t>
        </is>
      </c>
      <c r="AC71" s="0" t="inlineStr">
        <is>
          <t>청주시</t>
        </is>
      </c>
      <c r="AD71" s="0" t="inlineStr">
        <is>
          <t>서원구</t>
        </is>
      </c>
      <c r="AE71" s="0" t="inlineStr">
        <is>
          <t>개신동</t>
        </is>
      </c>
      <c r="AG71" s="0" t="inlineStr">
        <is>
          <t>충청북도 청주시 서원구 경신로 67</t>
        </is>
      </c>
      <c r="AH71" s="0" t="n">
        <v>0</v>
      </c>
      <c r="AI71" s="0" t="n">
        <v>204</v>
      </c>
      <c r="AJ71" s="0" t="n">
        <v>18</v>
      </c>
      <c r="AK71" s="0" t="n">
        <v>1061</v>
      </c>
      <c r="AL71" s="0" t="n">
        <v>0.76</v>
      </c>
    </row>
    <row r="72">
      <c r="A72" s="0" t="inlineStr">
        <is>
          <t>[개신동]</t>
        </is>
      </c>
      <c r="B72" s="0" t="n">
        <v>25977</v>
      </c>
      <c r="C72" s="0" t="n">
        <v>3</v>
      </c>
      <c r="D72" s="0" t="inlineStr">
        <is>
          <t>청주개신주공1단지</t>
        </is>
      </c>
      <c r="E72" s="0" t="inlineStr">
        <is>
          <t>2001.12.</t>
        </is>
      </c>
      <c r="F72" s="0" t="n">
        <v>1398</v>
      </c>
      <c r="G72" s="0" t="n">
        <v>25.88</v>
      </c>
      <c r="H72" s="0" t="n">
        <v>85.56999999999999</v>
      </c>
      <c r="I72" s="0" t="n">
        <v>18.11</v>
      </c>
      <c r="J72" s="0" t="n">
        <v>59.9</v>
      </c>
      <c r="K72" s="0" t="n">
        <v>511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85A</t>
        </is>
      </c>
      <c r="X72" s="0" t="n">
        <v>25</v>
      </c>
      <c r="Y72" s="0" t="n">
        <v>8</v>
      </c>
      <c r="Z72" s="0" t="inlineStr">
        <is>
          <t>https://new.land.naver.com/complexes/25977?tab=detail&amp;rf=Y</t>
        </is>
      </c>
      <c r="AA72" s="0" t="inlineStr">
        <is>
          <t>충청북도 청주시 서원구 개신동 613</t>
        </is>
      </c>
      <c r="AB72" s="0" t="inlineStr">
        <is>
          <t>충청북도</t>
        </is>
      </c>
      <c r="AC72" s="0" t="inlineStr">
        <is>
          <t>청주시</t>
        </is>
      </c>
      <c r="AD72" s="0" t="inlineStr">
        <is>
          <t>서원구</t>
        </is>
      </c>
      <c r="AE72" s="0" t="inlineStr">
        <is>
          <t>개신동</t>
        </is>
      </c>
      <c r="AG72" s="0" t="inlineStr">
        <is>
          <t>충청북도 청주시 서원구 경신로 67</t>
        </is>
      </c>
      <c r="AH72" s="0" t="n">
        <v>0</v>
      </c>
      <c r="AI72" s="0" t="n">
        <v>204</v>
      </c>
      <c r="AJ72" s="0" t="n">
        <v>18</v>
      </c>
      <c r="AK72" s="0" t="n">
        <v>1061</v>
      </c>
      <c r="AL72" s="0" t="n">
        <v>0.76</v>
      </c>
    </row>
    <row r="73">
      <c r="A73" s="0" t="inlineStr">
        <is>
          <t>[개신동]</t>
        </is>
      </c>
      <c r="B73" s="0" t="n">
        <v>25977</v>
      </c>
      <c r="C73" s="0" t="n">
        <v>4</v>
      </c>
      <c r="D73" s="0" t="inlineStr">
        <is>
          <t>청주개신주공1단지</t>
        </is>
      </c>
      <c r="E73" s="0" t="inlineStr">
        <is>
          <t>2001.12.</t>
        </is>
      </c>
      <c r="F73" s="0" t="n">
        <v>1398</v>
      </c>
      <c r="G73" s="0" t="n">
        <v>25.83</v>
      </c>
      <c r="H73" s="0" t="n">
        <v>85.39</v>
      </c>
      <c r="I73" s="0" t="n">
        <v>18.08</v>
      </c>
      <c r="J73" s="0" t="n">
        <v>59.78</v>
      </c>
      <c r="K73" s="0" t="n">
        <v>72</v>
      </c>
      <c r="T73" s="0" t="n">
        <v>2</v>
      </c>
      <c r="U73" s="0" t="n">
        <v>2</v>
      </c>
      <c r="V73" s="0" t="inlineStr">
        <is>
          <t>계단식</t>
        </is>
      </c>
      <c r="W73" s="0" t="inlineStr">
        <is>
          <t>85C</t>
        </is>
      </c>
      <c r="X73" s="0" t="n">
        <v>25</v>
      </c>
      <c r="Y73" s="0" t="n">
        <v>8</v>
      </c>
      <c r="Z73" s="0" t="inlineStr">
        <is>
          <t>https://new.land.naver.com/complexes/25977?tab=detail&amp;rf=Y</t>
        </is>
      </c>
      <c r="AA73" s="0" t="inlineStr">
        <is>
          <t>충청북도 청주시 서원구 개신동 613</t>
        </is>
      </c>
      <c r="AB73" s="0" t="inlineStr">
        <is>
          <t>충청북도</t>
        </is>
      </c>
      <c r="AC73" s="0" t="inlineStr">
        <is>
          <t>청주시</t>
        </is>
      </c>
      <c r="AD73" s="0" t="inlineStr">
        <is>
          <t>서원구</t>
        </is>
      </c>
      <c r="AE73" s="0" t="inlineStr">
        <is>
          <t>개신동</t>
        </is>
      </c>
      <c r="AG73" s="0" t="inlineStr">
        <is>
          <t>충청북도 청주시 서원구 경신로 67</t>
        </is>
      </c>
      <c r="AH73" s="0" t="n">
        <v>0</v>
      </c>
      <c r="AI73" s="0" t="n">
        <v>204</v>
      </c>
      <c r="AJ73" s="0" t="n">
        <v>18</v>
      </c>
      <c r="AK73" s="0" t="n">
        <v>1061</v>
      </c>
      <c r="AL73" s="0" t="n">
        <v>0.76</v>
      </c>
    </row>
    <row r="74">
      <c r="A74" s="0" t="inlineStr">
        <is>
          <t>[개신동]</t>
        </is>
      </c>
      <c r="B74" s="0" t="n">
        <v>25977</v>
      </c>
      <c r="C74" s="0" t="n">
        <v>5</v>
      </c>
      <c r="D74" s="0" t="inlineStr">
        <is>
          <t>청주개신주공1단지</t>
        </is>
      </c>
      <c r="E74" s="0" t="inlineStr">
        <is>
          <t>2001.12.</t>
        </is>
      </c>
      <c r="F74" s="0" t="n">
        <v>1398</v>
      </c>
      <c r="G74" s="0" t="n">
        <v>25.88</v>
      </c>
      <c r="H74" s="0" t="n">
        <v>85.58</v>
      </c>
      <c r="I74" s="0" t="n">
        <v>18.12</v>
      </c>
      <c r="J74" s="0" t="n">
        <v>59.91</v>
      </c>
      <c r="K74" s="0" t="n">
        <v>60</v>
      </c>
      <c r="T74" s="0" t="n">
        <v>2</v>
      </c>
      <c r="U74" s="0" t="n">
        <v>2</v>
      </c>
      <c r="V74" s="0" t="inlineStr">
        <is>
          <t>계단식</t>
        </is>
      </c>
      <c r="W74" s="0" t="inlineStr">
        <is>
          <t>85B</t>
        </is>
      </c>
      <c r="X74" s="0" t="n">
        <v>25</v>
      </c>
      <c r="Y74" s="0" t="n">
        <v>8</v>
      </c>
      <c r="Z74" s="0" t="inlineStr">
        <is>
          <t>https://new.land.naver.com/complexes/25977?tab=detail&amp;rf=Y</t>
        </is>
      </c>
      <c r="AA74" s="0" t="inlineStr">
        <is>
          <t>충청북도 청주시 서원구 개신동 613</t>
        </is>
      </c>
      <c r="AB74" s="0" t="inlineStr">
        <is>
          <t>충청북도</t>
        </is>
      </c>
      <c r="AC74" s="0" t="inlineStr">
        <is>
          <t>청주시</t>
        </is>
      </c>
      <c r="AD74" s="0" t="inlineStr">
        <is>
          <t>서원구</t>
        </is>
      </c>
      <c r="AE74" s="0" t="inlineStr">
        <is>
          <t>개신동</t>
        </is>
      </c>
      <c r="AG74" s="0" t="inlineStr">
        <is>
          <t>충청북도 청주시 서원구 경신로 67</t>
        </is>
      </c>
      <c r="AH74" s="0" t="n">
        <v>0</v>
      </c>
      <c r="AI74" s="0" t="n">
        <v>204</v>
      </c>
      <c r="AJ74" s="0" t="n">
        <v>18</v>
      </c>
      <c r="AK74" s="0" t="n">
        <v>1061</v>
      </c>
      <c r="AL74" s="0" t="n">
        <v>0.76</v>
      </c>
    </row>
    <row r="75">
      <c r="A75" s="0" t="inlineStr">
        <is>
          <t>[개신동]</t>
        </is>
      </c>
      <c r="B75" s="0" t="n">
        <v>25977</v>
      </c>
      <c r="C75" s="0" t="n">
        <v>6</v>
      </c>
      <c r="D75" s="0" t="inlineStr">
        <is>
          <t>청주개신주공1단지</t>
        </is>
      </c>
      <c r="E75" s="0" t="inlineStr">
        <is>
          <t>2001.12.</t>
        </is>
      </c>
      <c r="F75" s="0" t="n">
        <v>1398</v>
      </c>
      <c r="G75" s="0" t="n">
        <v>25.9</v>
      </c>
      <c r="H75" s="0" t="n">
        <v>85.62</v>
      </c>
      <c r="I75" s="0" t="n">
        <v>18.13</v>
      </c>
      <c r="J75" s="0" t="n">
        <v>59.94</v>
      </c>
      <c r="K75" s="0" t="n">
        <v>39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85D</t>
        </is>
      </c>
      <c r="X75" s="0" t="n">
        <v>25</v>
      </c>
      <c r="Y75" s="0" t="n">
        <v>8</v>
      </c>
      <c r="Z75" s="0" t="inlineStr">
        <is>
          <t>https://new.land.naver.com/complexes/25977?tab=detail&amp;rf=Y</t>
        </is>
      </c>
      <c r="AA75" s="0" t="inlineStr">
        <is>
          <t>충청북도 청주시 서원구 개신동 613</t>
        </is>
      </c>
      <c r="AB75" s="0" t="inlineStr">
        <is>
          <t>충청북도</t>
        </is>
      </c>
      <c r="AC75" s="0" t="inlineStr">
        <is>
          <t>청주시</t>
        </is>
      </c>
      <c r="AD75" s="0" t="inlineStr">
        <is>
          <t>서원구</t>
        </is>
      </c>
      <c r="AE75" s="0" t="inlineStr">
        <is>
          <t>개신동</t>
        </is>
      </c>
      <c r="AG75" s="0" t="inlineStr">
        <is>
          <t>충청북도 청주시 서원구 경신로 67</t>
        </is>
      </c>
      <c r="AH75" s="0" t="n">
        <v>0</v>
      </c>
      <c r="AI75" s="0" t="n">
        <v>204</v>
      </c>
      <c r="AJ75" s="0" t="n">
        <v>18</v>
      </c>
      <c r="AK75" s="0" t="n">
        <v>1061</v>
      </c>
      <c r="AL75" s="0" t="n">
        <v>0.76</v>
      </c>
    </row>
    <row r="76">
      <c r="A76" s="0" t="inlineStr">
        <is>
          <t>[개신동]</t>
        </is>
      </c>
      <c r="B76" s="0" t="n">
        <v>7279</v>
      </c>
      <c r="C76" s="0" t="n">
        <v>1</v>
      </c>
      <c r="D76" s="0" t="inlineStr">
        <is>
          <t>삼익</t>
        </is>
      </c>
      <c r="E76" s="0" t="inlineStr">
        <is>
          <t>1991.02.</t>
        </is>
      </c>
      <c r="F76" s="0" t="n">
        <v>744</v>
      </c>
      <c r="G76" s="0" t="n">
        <v>31.6</v>
      </c>
      <c r="H76" s="0" t="n">
        <v>104.48</v>
      </c>
      <c r="I76" s="0" t="n">
        <v>25.7</v>
      </c>
      <c r="J76" s="0" t="n">
        <v>84.95999999999999</v>
      </c>
      <c r="K76" s="0" t="n">
        <v>685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104B</t>
        </is>
      </c>
      <c r="X76" s="0" t="n">
        <v>15</v>
      </c>
      <c r="Y76" s="0" t="n">
        <v>13</v>
      </c>
      <c r="Z76" s="0" t="inlineStr">
        <is>
          <t>https://new.land.naver.com/complexes/7279?tab=detail&amp;rf=Y</t>
        </is>
      </c>
      <c r="AA76" s="0" t="inlineStr">
        <is>
          <t>충청북도 청주시 서원구 개신동 10</t>
        </is>
      </c>
      <c r="AB76" s="0" t="inlineStr">
        <is>
          <t>충청북도</t>
        </is>
      </c>
      <c r="AC76" s="0" t="inlineStr">
        <is>
          <t>청주시</t>
        </is>
      </c>
      <c r="AD76" s="0" t="inlineStr">
        <is>
          <t>서원구</t>
        </is>
      </c>
      <c r="AE76" s="0" t="inlineStr">
        <is>
          <t>개신동</t>
        </is>
      </c>
      <c r="AG76" s="0" t="inlineStr">
        <is>
          <t>충청북도 청주시 서원구 예체로29번길 9</t>
        </is>
      </c>
      <c r="AH76" s="0" t="n">
        <v>0</v>
      </c>
      <c r="AI76" s="0" t="n">
        <v>210</v>
      </c>
      <c r="AJ76" s="0" t="n">
        <v>17</v>
      </c>
      <c r="AK76" s="0" t="n">
        <v>2268</v>
      </c>
      <c r="AL76" s="0" t="n">
        <v>3.05</v>
      </c>
    </row>
    <row r="77">
      <c r="A77" s="0" t="inlineStr">
        <is>
          <t>[개신동]</t>
        </is>
      </c>
      <c r="B77" s="0" t="n">
        <v>7279</v>
      </c>
      <c r="C77" s="0" t="n">
        <v>2</v>
      </c>
      <c r="D77" s="0" t="inlineStr">
        <is>
          <t>삼익</t>
        </is>
      </c>
      <c r="E77" s="0" t="inlineStr">
        <is>
          <t>1991.02.</t>
        </is>
      </c>
      <c r="F77" s="0" t="n">
        <v>744</v>
      </c>
      <c r="G77" s="0" t="n">
        <v>31.57</v>
      </c>
      <c r="H77" s="0" t="n">
        <v>104.38</v>
      </c>
      <c r="I77" s="0" t="n">
        <v>25.67</v>
      </c>
      <c r="J77" s="0" t="n">
        <v>84.86</v>
      </c>
      <c r="K77" s="0" t="n">
        <v>3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104A</t>
        </is>
      </c>
      <c r="X77" s="0" t="n">
        <v>15</v>
      </c>
      <c r="Y77" s="0" t="n">
        <v>13</v>
      </c>
      <c r="Z77" s="0" t="inlineStr">
        <is>
          <t>https://new.land.naver.com/complexes/7279?tab=detail&amp;rf=Y</t>
        </is>
      </c>
      <c r="AA77" s="0" t="inlineStr">
        <is>
          <t>충청북도 청주시 서원구 개신동 10</t>
        </is>
      </c>
      <c r="AB77" s="0" t="inlineStr">
        <is>
          <t>충청북도</t>
        </is>
      </c>
      <c r="AC77" s="0" t="inlineStr">
        <is>
          <t>청주시</t>
        </is>
      </c>
      <c r="AD77" s="0" t="inlineStr">
        <is>
          <t>서원구</t>
        </is>
      </c>
      <c r="AE77" s="0" t="inlineStr">
        <is>
          <t>개신동</t>
        </is>
      </c>
      <c r="AG77" s="0" t="inlineStr">
        <is>
          <t>충청북도 청주시 서원구 예체로29번길 9</t>
        </is>
      </c>
      <c r="AH77" s="0" t="n">
        <v>0</v>
      </c>
      <c r="AI77" s="0" t="n">
        <v>210</v>
      </c>
      <c r="AJ77" s="0" t="n">
        <v>17</v>
      </c>
      <c r="AK77" s="0" t="n">
        <v>2268</v>
      </c>
      <c r="AL77" s="0" t="n">
        <v>3.05</v>
      </c>
    </row>
    <row r="78">
      <c r="A78" s="0" t="inlineStr">
        <is>
          <t>[개신동]</t>
        </is>
      </c>
      <c r="B78" s="0" t="n">
        <v>7279</v>
      </c>
      <c r="C78" s="0" t="n">
        <v>3</v>
      </c>
      <c r="D78" s="0" t="inlineStr">
        <is>
          <t>삼익</t>
        </is>
      </c>
      <c r="E78" s="0" t="inlineStr">
        <is>
          <t>1991.02.</t>
        </is>
      </c>
      <c r="F78" s="0" t="n">
        <v>744</v>
      </c>
      <c r="G78" s="0" t="n">
        <v>45.88</v>
      </c>
      <c r="H78" s="0" t="n">
        <v>151.68</v>
      </c>
      <c r="I78" s="0" t="n">
        <v>38.76</v>
      </c>
      <c r="J78" s="0" t="n">
        <v>128.16</v>
      </c>
      <c r="K78" s="0" t="n">
        <v>56</v>
      </c>
      <c r="T78" s="0" t="n">
        <v>4</v>
      </c>
      <c r="U78" s="0" t="n">
        <v>2</v>
      </c>
      <c r="V78" s="0" t="inlineStr">
        <is>
          <t>계단식</t>
        </is>
      </c>
      <c r="W78" s="0" t="n">
        <v>151</v>
      </c>
      <c r="X78" s="0" t="n">
        <v>15</v>
      </c>
      <c r="Y78" s="0" t="n">
        <v>13</v>
      </c>
      <c r="Z78" s="0" t="inlineStr">
        <is>
          <t>https://new.land.naver.com/complexes/7279?tab=detail&amp;rf=Y</t>
        </is>
      </c>
      <c r="AA78" s="0" t="inlineStr">
        <is>
          <t>충청북도 청주시 서원구 개신동 10</t>
        </is>
      </c>
      <c r="AB78" s="0" t="inlineStr">
        <is>
          <t>충청북도</t>
        </is>
      </c>
      <c r="AC78" s="0" t="inlineStr">
        <is>
          <t>청주시</t>
        </is>
      </c>
      <c r="AD78" s="0" t="inlineStr">
        <is>
          <t>서원구</t>
        </is>
      </c>
      <c r="AE78" s="0" t="inlineStr">
        <is>
          <t>개신동</t>
        </is>
      </c>
      <c r="AG78" s="0" t="inlineStr">
        <is>
          <t>충청북도 청주시 서원구 예체로29번길 9</t>
        </is>
      </c>
      <c r="AH78" s="0" t="n">
        <v>0</v>
      </c>
      <c r="AI78" s="0" t="n">
        <v>210</v>
      </c>
      <c r="AJ78" s="0" t="n">
        <v>17</v>
      </c>
      <c r="AK78" s="0" t="n">
        <v>2268</v>
      </c>
      <c r="AL78" s="0" t="n">
        <v>3.05</v>
      </c>
    </row>
    <row r="79">
      <c r="A79" s="0" t="inlineStr">
        <is>
          <t>[개신동]</t>
        </is>
      </c>
      <c r="B79" s="0" t="n">
        <v>106605</v>
      </c>
      <c r="C79" s="0" t="n">
        <v>1</v>
      </c>
      <c r="D79" s="0" t="inlineStr">
        <is>
          <t>개신재원</t>
        </is>
      </c>
      <c r="E79" s="0" t="inlineStr">
        <is>
          <t>1998.06.</t>
        </is>
      </c>
      <c r="F79" s="0" t="n">
        <v>180</v>
      </c>
      <c r="G79" s="0" t="n">
        <v>13.12</v>
      </c>
      <c r="H79" s="0" t="n">
        <v>43.38</v>
      </c>
      <c r="I79" s="0" t="n">
        <v>9.31</v>
      </c>
      <c r="J79" s="0" t="n">
        <v>30.8</v>
      </c>
      <c r="K79" s="0" t="n">
        <v>20</v>
      </c>
      <c r="T79" s="0" t="n">
        <v>1</v>
      </c>
      <c r="U79" s="0" t="n">
        <v>1</v>
      </c>
      <c r="V79" s="0" t="inlineStr">
        <is>
          <t>계단식</t>
        </is>
      </c>
      <c r="W79" s="0" t="n">
        <v>43</v>
      </c>
      <c r="X79" s="0" t="n">
        <v>10</v>
      </c>
      <c r="Y79" s="0" t="n">
        <v>10</v>
      </c>
      <c r="Z79" s="0" t="inlineStr">
        <is>
          <t>https://new.land.naver.com/complexes/106605?tab=detail&amp;rf=Y</t>
        </is>
      </c>
      <c r="AA79" s="0" t="inlineStr">
        <is>
          <t>충청북도 청주시 서원구 개신동 447-3</t>
        </is>
      </c>
      <c r="AB79" s="0" t="inlineStr">
        <is>
          <t>충청북도</t>
        </is>
      </c>
      <c r="AC79" s="0" t="inlineStr">
        <is>
          <t>청주시</t>
        </is>
      </c>
      <c r="AD79" s="0" t="inlineStr">
        <is>
          <t>서원구</t>
        </is>
      </c>
      <c r="AE79" s="0" t="inlineStr">
        <is>
          <t>개신동</t>
        </is>
      </c>
      <c r="AG79" s="0" t="inlineStr">
        <is>
          <t>충청북도 청주시 서원구 1순환로803번길 15</t>
        </is>
      </c>
      <c r="AH79" s="0" t="n">
        <v>0</v>
      </c>
      <c r="AI79" s="0" t="n">
        <v>252</v>
      </c>
      <c r="AJ79" s="0" t="n">
        <v>28</v>
      </c>
      <c r="AK79" s="0" t="n">
        <v>140</v>
      </c>
      <c r="AL79" s="0" t="n">
        <v>0.78</v>
      </c>
    </row>
    <row r="80">
      <c r="A80" s="0" t="inlineStr">
        <is>
          <t>[개신동]</t>
        </is>
      </c>
      <c r="B80" s="0" t="n">
        <v>106605</v>
      </c>
      <c r="C80" s="0" t="n">
        <v>2</v>
      </c>
      <c r="D80" s="0" t="inlineStr">
        <is>
          <t>개신재원</t>
        </is>
      </c>
      <c r="E80" s="0" t="inlineStr">
        <is>
          <t>1998.06.</t>
        </is>
      </c>
      <c r="F80" s="0" t="n">
        <v>180</v>
      </c>
      <c r="G80" s="0" t="n">
        <v>13.97</v>
      </c>
      <c r="H80" s="0" t="n">
        <v>46.19</v>
      </c>
      <c r="I80" s="0" t="n">
        <v>9.92</v>
      </c>
      <c r="J80" s="0" t="n">
        <v>32.8</v>
      </c>
      <c r="K80" s="0" t="n">
        <v>159</v>
      </c>
      <c r="T80" s="0" t="n">
        <v>1</v>
      </c>
      <c r="U80" s="0" t="n">
        <v>1</v>
      </c>
      <c r="V80" s="0" t="inlineStr">
        <is>
          <t>복도식</t>
        </is>
      </c>
      <c r="W80" s="0" t="n">
        <v>46</v>
      </c>
      <c r="X80" s="0" t="n">
        <v>10</v>
      </c>
      <c r="Y80" s="0" t="n">
        <v>10</v>
      </c>
      <c r="Z80" s="0" t="inlineStr">
        <is>
          <t>https://new.land.naver.com/complexes/106605?tab=detail&amp;rf=Y</t>
        </is>
      </c>
      <c r="AA80" s="0" t="inlineStr">
        <is>
          <t>충청북도 청주시 서원구 개신동 447-3</t>
        </is>
      </c>
      <c r="AB80" s="0" t="inlineStr">
        <is>
          <t>충청북도</t>
        </is>
      </c>
      <c r="AC80" s="0" t="inlineStr">
        <is>
          <t>청주시</t>
        </is>
      </c>
      <c r="AD80" s="0" t="inlineStr">
        <is>
          <t>서원구</t>
        </is>
      </c>
      <c r="AE80" s="0" t="inlineStr">
        <is>
          <t>개신동</t>
        </is>
      </c>
      <c r="AG80" s="0" t="inlineStr">
        <is>
          <t>충청북도 청주시 서원구 1순환로803번길 15</t>
        </is>
      </c>
      <c r="AH80" s="0" t="n">
        <v>0</v>
      </c>
      <c r="AI80" s="0" t="n">
        <v>252</v>
      </c>
      <c r="AJ80" s="0" t="n">
        <v>28</v>
      </c>
      <c r="AK80" s="0" t="n">
        <v>140</v>
      </c>
      <c r="AL80" s="0" t="n">
        <v>0.78</v>
      </c>
    </row>
    <row r="81">
      <c r="A81" s="0" t="inlineStr">
        <is>
          <t>[개신동]</t>
        </is>
      </c>
      <c r="B81" s="0" t="n">
        <v>15432</v>
      </c>
      <c r="C81" s="0" t="n">
        <v>1</v>
      </c>
      <c r="D81" s="0" t="inlineStr">
        <is>
          <t>한진신세대</t>
        </is>
      </c>
      <c r="E81" s="0" t="inlineStr">
        <is>
          <t>1996.02.</t>
        </is>
      </c>
      <c r="F81" s="0" t="n">
        <v>336</v>
      </c>
      <c r="G81" s="0" t="n">
        <v>12.94</v>
      </c>
      <c r="H81" s="0" t="n">
        <v>42.79</v>
      </c>
      <c r="I81" s="0" t="n">
        <v>9.68</v>
      </c>
      <c r="J81" s="0" t="n">
        <v>32</v>
      </c>
      <c r="K81" s="0" t="n">
        <v>336</v>
      </c>
      <c r="T81" s="0" t="n">
        <v>1</v>
      </c>
      <c r="U81" s="0" t="n">
        <v>1</v>
      </c>
      <c r="V81" s="0" t="inlineStr">
        <is>
          <t>복도식</t>
        </is>
      </c>
      <c r="W81" s="0" t="n">
        <v>42</v>
      </c>
      <c r="X81" s="0" t="n">
        <v>15</v>
      </c>
      <c r="Y81" s="0" t="n">
        <v>15</v>
      </c>
      <c r="Z81" s="0" t="inlineStr">
        <is>
          <t>https://new.land.naver.com/complexes/15432?tab=detail&amp;rf=Y</t>
        </is>
      </c>
      <c r="AA81" s="0" t="inlineStr">
        <is>
          <t>충청북도 청주시 서원구 개신동 41-5</t>
        </is>
      </c>
      <c r="AB81" s="0" t="inlineStr">
        <is>
          <t>충청북도</t>
        </is>
      </c>
      <c r="AC81" s="0" t="inlineStr">
        <is>
          <t>청주시</t>
        </is>
      </c>
      <c r="AD81" s="0" t="inlineStr">
        <is>
          <t>서원구</t>
        </is>
      </c>
      <c r="AE81" s="0" t="inlineStr">
        <is>
          <t>개신동</t>
        </is>
      </c>
      <c r="AG81" s="0" t="inlineStr">
        <is>
          <t>충청북도 청주시 서원구 모충로3번길 81</t>
        </is>
      </c>
      <c r="AH81" s="0" t="n">
        <v>0</v>
      </c>
      <c r="AI81" s="0" t="n">
        <v>393</v>
      </c>
      <c r="AJ81" s="0" t="n">
        <v>48</v>
      </c>
      <c r="AK81" s="0" t="n">
        <v>120</v>
      </c>
      <c r="AL81" s="0" t="n">
        <v>0.36</v>
      </c>
    </row>
    <row r="82">
      <c r="A82" s="0" t="inlineStr">
        <is>
          <t>[남이면]</t>
        </is>
      </c>
      <c r="B82" s="0" t="n">
        <v>124778</v>
      </c>
      <c r="C82" s="0" t="n">
        <v>1</v>
      </c>
      <c r="D82" s="0" t="inlineStr">
        <is>
          <t>힐데스빌2단지(도시형)</t>
        </is>
      </c>
      <c r="E82" s="0" t="inlineStr">
        <is>
          <t>2016.09.</t>
        </is>
      </c>
      <c r="F82" s="0" t="n">
        <v>20</v>
      </c>
      <c r="G82" s="0" t="n">
        <v>28.42</v>
      </c>
      <c r="H82" s="0" t="n">
        <v>93.95999999999999</v>
      </c>
      <c r="I82" s="0" t="n">
        <v>24.91</v>
      </c>
      <c r="J82" s="0" t="n">
        <v>82.36</v>
      </c>
      <c r="K82" s="0" t="n">
        <v>4</v>
      </c>
      <c r="T82" s="0" t="n">
        <v>3</v>
      </c>
      <c r="U82" s="0" t="n">
        <v>2</v>
      </c>
      <c r="V82" s="0" t="inlineStr">
        <is>
          <t>계단식</t>
        </is>
      </c>
      <c r="W82" s="0" t="n">
        <v>93</v>
      </c>
      <c r="X82" s="0" t="n">
        <v>4</v>
      </c>
      <c r="Y82" s="0" t="n">
        <v>4</v>
      </c>
      <c r="Z82" s="0" t="inlineStr">
        <is>
          <t>https://new.land.naver.com/complexes/124778?tab=detail&amp;rf=Y</t>
        </is>
      </c>
      <c r="AA82" s="0" t="inlineStr">
        <is>
          <t>충청북도 청주시 서원구 남이면 가마리 30-20</t>
        </is>
      </c>
      <c r="AB82" s="0" t="inlineStr">
        <is>
          <t>충청북도</t>
        </is>
      </c>
      <c r="AC82" s="0" t="inlineStr">
        <is>
          <t>청주시</t>
        </is>
      </c>
      <c r="AD82" s="0" t="inlineStr">
        <is>
          <t>서원구</t>
        </is>
      </c>
      <c r="AE82" s="0" t="inlineStr">
        <is>
          <t>남이면</t>
        </is>
      </c>
      <c r="AG82" s="0" t="inlineStr">
        <is>
          <t>충청북도 청주시 서원구 청남로 1809-8</t>
        </is>
      </c>
      <c r="AH82" s="0" t="n">
        <v>0</v>
      </c>
      <c r="AI82" s="0" t="n">
        <v>72</v>
      </c>
      <c r="AJ82" s="0" t="n">
        <v>19</v>
      </c>
      <c r="AK82" s="0" t="n">
        <v>26</v>
      </c>
      <c r="AL82" s="0" t="n">
        <v>1.3</v>
      </c>
    </row>
    <row r="83">
      <c r="A83" s="0" t="inlineStr">
        <is>
          <t>[남이면]</t>
        </is>
      </c>
      <c r="B83" s="0" t="n">
        <v>124778</v>
      </c>
      <c r="C83" s="0" t="n">
        <v>2</v>
      </c>
      <c r="D83" s="0" t="inlineStr">
        <is>
          <t>힐데스빌2단지(도시형)</t>
        </is>
      </c>
      <c r="E83" s="0" t="inlineStr">
        <is>
          <t>2016.09.</t>
        </is>
      </c>
      <c r="F83" s="0" t="n">
        <v>20</v>
      </c>
      <c r="G83" s="0" t="n">
        <v>28.93</v>
      </c>
      <c r="H83" s="0" t="n">
        <v>95.64</v>
      </c>
      <c r="I83" s="0" t="n">
        <v>25.42</v>
      </c>
      <c r="J83" s="0" t="n">
        <v>84.04000000000001</v>
      </c>
      <c r="K83" s="0" t="n">
        <v>16</v>
      </c>
      <c r="T83" s="0" t="n">
        <v>3</v>
      </c>
      <c r="U83" s="0" t="n">
        <v>2</v>
      </c>
      <c r="V83" s="0" t="inlineStr">
        <is>
          <t>계단식</t>
        </is>
      </c>
      <c r="W83" s="0" t="n">
        <v>95</v>
      </c>
      <c r="X83" s="0" t="n">
        <v>4</v>
      </c>
      <c r="Y83" s="0" t="n">
        <v>4</v>
      </c>
      <c r="Z83" s="0" t="inlineStr">
        <is>
          <t>https://new.land.naver.com/complexes/124778?tab=detail&amp;rf=Y</t>
        </is>
      </c>
      <c r="AA83" s="0" t="inlineStr">
        <is>
          <t>충청북도 청주시 서원구 남이면 가마리 30-20</t>
        </is>
      </c>
      <c r="AB83" s="0" t="inlineStr">
        <is>
          <t>충청북도</t>
        </is>
      </c>
      <c r="AC83" s="0" t="inlineStr">
        <is>
          <t>청주시</t>
        </is>
      </c>
      <c r="AD83" s="0" t="inlineStr">
        <is>
          <t>서원구</t>
        </is>
      </c>
      <c r="AE83" s="0" t="inlineStr">
        <is>
          <t>남이면</t>
        </is>
      </c>
      <c r="AG83" s="0" t="inlineStr">
        <is>
          <t>충청북도 청주시 서원구 청남로 1809-8</t>
        </is>
      </c>
      <c r="AH83" s="0" t="n">
        <v>0</v>
      </c>
      <c r="AI83" s="0" t="n">
        <v>72</v>
      </c>
      <c r="AJ83" s="0" t="n">
        <v>19</v>
      </c>
      <c r="AK83" s="0" t="n">
        <v>26</v>
      </c>
      <c r="AL83" s="0" t="n">
        <v>1.3</v>
      </c>
    </row>
    <row r="84">
      <c r="A84" s="0" t="inlineStr">
        <is>
          <t>[남이면]</t>
        </is>
      </c>
      <c r="B84" s="0" t="n">
        <v>109416</v>
      </c>
      <c r="C84" s="0" t="n">
        <v>1</v>
      </c>
      <c r="D84" s="0" t="inlineStr">
        <is>
          <t>청주가마힐데스하임</t>
        </is>
      </c>
      <c r="E84" s="0" t="inlineStr">
        <is>
          <t>2016.12.</t>
        </is>
      </c>
      <c r="F84" s="0" t="n">
        <v>988</v>
      </c>
      <c r="G84" s="0" t="n">
        <v>31.61</v>
      </c>
      <c r="H84" s="0" t="n">
        <v>104.52</v>
      </c>
      <c r="I84" s="0" t="n">
        <v>24.2</v>
      </c>
      <c r="J84" s="0" t="n">
        <v>80.03</v>
      </c>
      <c r="K84" s="0" t="n">
        <v>150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104A</t>
        </is>
      </c>
      <c r="X84" s="0" t="n">
        <v>25</v>
      </c>
      <c r="Y84" s="0" t="n">
        <v>22</v>
      </c>
      <c r="Z84" s="0" t="inlineStr">
        <is>
          <t>https://new.land.naver.com/complexes/109416?tab=detail&amp;rf=Y</t>
        </is>
      </c>
      <c r="AA84" s="0" t="inlineStr">
        <is>
          <t>충청북도 청주시 서원구 남이면 가마리 378</t>
        </is>
      </c>
      <c r="AB84" s="0" t="inlineStr">
        <is>
          <t>충청북도</t>
        </is>
      </c>
      <c r="AC84" s="0" t="inlineStr">
        <is>
          <t>청주시</t>
        </is>
      </c>
      <c r="AD84" s="0" t="inlineStr">
        <is>
          <t>서원구</t>
        </is>
      </c>
      <c r="AE84" s="0" t="inlineStr">
        <is>
          <t>남이면</t>
        </is>
      </c>
      <c r="AG84" s="0" t="inlineStr">
        <is>
          <t>충청북도 청주시 서원구 2순환로 1717</t>
        </is>
      </c>
      <c r="AH84" s="0" t="n">
        <v>0</v>
      </c>
      <c r="AI84" s="0" t="n">
        <v>199</v>
      </c>
      <c r="AJ84" s="0" t="n">
        <v>13</v>
      </c>
      <c r="AK84" s="0" t="n">
        <v>1388</v>
      </c>
      <c r="AL84" s="0" t="n">
        <v>1.4</v>
      </c>
    </row>
    <row r="85">
      <c r="A85" s="0" t="inlineStr">
        <is>
          <t>[남이면]</t>
        </is>
      </c>
      <c r="B85" s="0" t="n">
        <v>109416</v>
      </c>
      <c r="C85" s="0" t="n">
        <v>2</v>
      </c>
      <c r="D85" s="0" t="inlineStr">
        <is>
          <t>청주가마힐데스하임</t>
        </is>
      </c>
      <c r="E85" s="0" t="inlineStr">
        <is>
          <t>2016.12.</t>
        </is>
      </c>
      <c r="F85" s="0" t="n">
        <v>988</v>
      </c>
      <c r="G85" s="0" t="n">
        <v>31.88</v>
      </c>
      <c r="H85" s="0" t="n">
        <v>105.39</v>
      </c>
      <c r="I85" s="0" t="n">
        <v>24.42</v>
      </c>
      <c r="J85" s="0" t="n">
        <v>80.75</v>
      </c>
      <c r="K85" s="0" t="n">
        <v>150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105B</t>
        </is>
      </c>
      <c r="X85" s="0" t="n">
        <v>25</v>
      </c>
      <c r="Y85" s="0" t="n">
        <v>22</v>
      </c>
      <c r="Z85" s="0" t="inlineStr">
        <is>
          <t>https://new.land.naver.com/complexes/109416?tab=detail&amp;rf=Y</t>
        </is>
      </c>
      <c r="AA85" s="0" t="inlineStr">
        <is>
          <t>충청북도 청주시 서원구 남이면 가마리 378</t>
        </is>
      </c>
      <c r="AB85" s="0" t="inlineStr">
        <is>
          <t>충청북도</t>
        </is>
      </c>
      <c r="AC85" s="0" t="inlineStr">
        <is>
          <t>청주시</t>
        </is>
      </c>
      <c r="AD85" s="0" t="inlineStr">
        <is>
          <t>서원구</t>
        </is>
      </c>
      <c r="AE85" s="0" t="inlineStr">
        <is>
          <t>남이면</t>
        </is>
      </c>
      <c r="AG85" s="0" t="inlineStr">
        <is>
          <t>충청북도 청주시 서원구 2순환로 1717</t>
        </is>
      </c>
      <c r="AH85" s="0" t="n">
        <v>0</v>
      </c>
      <c r="AI85" s="0" t="n">
        <v>199</v>
      </c>
      <c r="AJ85" s="0" t="n">
        <v>13</v>
      </c>
      <c r="AK85" s="0" t="n">
        <v>1388</v>
      </c>
      <c r="AL85" s="0" t="n">
        <v>1.4</v>
      </c>
    </row>
    <row r="86">
      <c r="A86" s="0" t="inlineStr">
        <is>
          <t>[남이면]</t>
        </is>
      </c>
      <c r="B86" s="0" t="n">
        <v>109416</v>
      </c>
      <c r="C86" s="0" t="n">
        <v>3</v>
      </c>
      <c r="D86" s="0" t="inlineStr">
        <is>
          <t>청주가마힐데스하임</t>
        </is>
      </c>
      <c r="E86" s="0" t="inlineStr">
        <is>
          <t>2016.12.</t>
        </is>
      </c>
      <c r="F86" s="0" t="n">
        <v>988</v>
      </c>
      <c r="G86" s="0" t="n">
        <v>34.08</v>
      </c>
      <c r="H86" s="0" t="n">
        <v>112.68</v>
      </c>
      <c r="I86" s="0" t="n">
        <v>25.68</v>
      </c>
      <c r="J86" s="0" t="n">
        <v>84.91</v>
      </c>
      <c r="K86" s="0" t="n">
        <v>174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112B</t>
        </is>
      </c>
      <c r="X86" s="0" t="n">
        <v>25</v>
      </c>
      <c r="Y86" s="0" t="n">
        <v>22</v>
      </c>
      <c r="Z86" s="0" t="inlineStr">
        <is>
          <t>https://new.land.naver.com/complexes/109416?tab=detail&amp;rf=Y</t>
        </is>
      </c>
      <c r="AA86" s="0" t="inlineStr">
        <is>
          <t>충청북도 청주시 서원구 남이면 가마리 378</t>
        </is>
      </c>
      <c r="AB86" s="0" t="inlineStr">
        <is>
          <t>충청북도</t>
        </is>
      </c>
      <c r="AC86" s="0" t="inlineStr">
        <is>
          <t>청주시</t>
        </is>
      </c>
      <c r="AD86" s="0" t="inlineStr">
        <is>
          <t>서원구</t>
        </is>
      </c>
      <c r="AE86" s="0" t="inlineStr">
        <is>
          <t>남이면</t>
        </is>
      </c>
      <c r="AG86" s="0" t="inlineStr">
        <is>
          <t>충청북도 청주시 서원구 2순환로 1717</t>
        </is>
      </c>
      <c r="AH86" s="0" t="n">
        <v>0</v>
      </c>
      <c r="AI86" s="0" t="n">
        <v>199</v>
      </c>
      <c r="AJ86" s="0" t="n">
        <v>13</v>
      </c>
      <c r="AK86" s="0" t="n">
        <v>1388</v>
      </c>
      <c r="AL86" s="0" t="n">
        <v>1.4</v>
      </c>
    </row>
    <row r="87">
      <c r="A87" s="0" t="inlineStr">
        <is>
          <t>[남이면]</t>
        </is>
      </c>
      <c r="B87" s="0" t="n">
        <v>109416</v>
      </c>
      <c r="C87" s="0" t="n">
        <v>4</v>
      </c>
      <c r="D87" s="0" t="inlineStr">
        <is>
          <t>청주가마힐데스하임</t>
        </is>
      </c>
      <c r="E87" s="0" t="inlineStr">
        <is>
          <t>2016.12.</t>
        </is>
      </c>
      <c r="F87" s="0" t="n">
        <v>988</v>
      </c>
      <c r="G87" s="0" t="n">
        <v>34.2</v>
      </c>
      <c r="H87" s="0" t="n">
        <v>113.07</v>
      </c>
      <c r="I87" s="0" t="n">
        <v>25.69</v>
      </c>
      <c r="J87" s="0" t="n">
        <v>84.94</v>
      </c>
      <c r="K87" s="0" t="n">
        <v>514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113A</t>
        </is>
      </c>
      <c r="X87" s="0" t="n">
        <v>25</v>
      </c>
      <c r="Y87" s="0" t="n">
        <v>22</v>
      </c>
      <c r="Z87" s="0" t="inlineStr">
        <is>
          <t>https://new.land.naver.com/complexes/109416?tab=detail&amp;rf=Y</t>
        </is>
      </c>
      <c r="AA87" s="0" t="inlineStr">
        <is>
          <t>충청북도 청주시 서원구 남이면 가마리 378</t>
        </is>
      </c>
      <c r="AB87" s="0" t="inlineStr">
        <is>
          <t>충청북도</t>
        </is>
      </c>
      <c r="AC87" s="0" t="inlineStr">
        <is>
          <t>청주시</t>
        </is>
      </c>
      <c r="AD87" s="0" t="inlineStr">
        <is>
          <t>서원구</t>
        </is>
      </c>
      <c r="AE87" s="0" t="inlineStr">
        <is>
          <t>남이면</t>
        </is>
      </c>
      <c r="AG87" s="0" t="inlineStr">
        <is>
          <t>충청북도 청주시 서원구 2순환로 1717</t>
        </is>
      </c>
      <c r="AH87" s="0" t="n">
        <v>0</v>
      </c>
      <c r="AI87" s="0" t="n">
        <v>199</v>
      </c>
      <c r="AJ87" s="0" t="n">
        <v>13</v>
      </c>
      <c r="AK87" s="0" t="n">
        <v>1388</v>
      </c>
      <c r="AL87" s="0" t="n">
        <v>1.4</v>
      </c>
    </row>
    <row r="88">
      <c r="A88" s="0" t="inlineStr">
        <is>
          <t>[남이면]</t>
        </is>
      </c>
      <c r="B88" s="0" t="n">
        <v>139147</v>
      </c>
      <c r="C88" s="0" t="n">
        <v>1</v>
      </c>
      <c r="D88" s="0" t="inlineStr">
        <is>
          <t>힐데스빌1단지</t>
        </is>
      </c>
      <c r="E88" s="0" t="inlineStr">
        <is>
          <t>2016.09.</t>
        </is>
      </c>
      <c r="F88" s="0" t="n">
        <v>16</v>
      </c>
      <c r="G88" s="0" t="n">
        <v>28.61</v>
      </c>
      <c r="H88" s="0" t="n">
        <v>94.59</v>
      </c>
      <c r="I88" s="0" t="n">
        <v>25.1</v>
      </c>
      <c r="J88" s="0" t="n">
        <v>82.98999999999999</v>
      </c>
      <c r="K88" s="0" t="n">
        <v>2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94A</t>
        </is>
      </c>
      <c r="X88" s="0" t="n">
        <v>4</v>
      </c>
      <c r="Y88" s="0" t="n">
        <v>4</v>
      </c>
      <c r="Z88" s="0" t="inlineStr">
        <is>
          <t>https://new.land.naver.com/complexes/139147?tab=detail&amp;rf=Y</t>
        </is>
      </c>
      <c r="AA88" s="0" t="inlineStr">
        <is>
          <t>충청북도 청주시 서원구 남이면 가마리 30-16</t>
        </is>
      </c>
      <c r="AB88" s="0" t="inlineStr">
        <is>
          <t>충청북도</t>
        </is>
      </c>
      <c r="AC88" s="0" t="inlineStr">
        <is>
          <t>청주시</t>
        </is>
      </c>
      <c r="AD88" s="0" t="inlineStr">
        <is>
          <t>서원구</t>
        </is>
      </c>
      <c r="AE88" s="0" t="inlineStr">
        <is>
          <t>남이면</t>
        </is>
      </c>
      <c r="AG88" s="0" t="inlineStr">
        <is>
          <t>충청북도 청주시 서원구 2순환로 1725</t>
        </is>
      </c>
      <c r="AH88" s="0" t="n">
        <v>0</v>
      </c>
      <c r="AI88" s="0" t="n">
        <v>72</v>
      </c>
      <c r="AJ88" s="0" t="n">
        <v>19</v>
      </c>
      <c r="AK88" s="0" t="n">
        <v>22</v>
      </c>
      <c r="AL88" s="0" t="n">
        <v>1.38</v>
      </c>
    </row>
    <row r="89">
      <c r="A89" s="0" t="inlineStr">
        <is>
          <t>[남이면]</t>
        </is>
      </c>
      <c r="B89" s="0" t="n">
        <v>139147</v>
      </c>
      <c r="C89" s="0" t="n">
        <v>2</v>
      </c>
      <c r="D89" s="0" t="inlineStr">
        <is>
          <t>힐데스빌1단지</t>
        </is>
      </c>
      <c r="E89" s="0" t="inlineStr">
        <is>
          <t>2016.09.</t>
        </is>
      </c>
      <c r="F89" s="0" t="n">
        <v>16</v>
      </c>
      <c r="G89" s="0" t="n">
        <v>29.12</v>
      </c>
      <c r="H89" s="0" t="n">
        <v>96.28</v>
      </c>
      <c r="I89" s="0" t="n">
        <v>25.61</v>
      </c>
      <c r="J89" s="0" t="n">
        <v>84.67</v>
      </c>
      <c r="K89" s="0" t="n">
        <v>14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96B</t>
        </is>
      </c>
      <c r="X89" s="0" t="n">
        <v>4</v>
      </c>
      <c r="Y89" s="0" t="n">
        <v>4</v>
      </c>
      <c r="Z89" s="0" t="inlineStr">
        <is>
          <t>https://new.land.naver.com/complexes/139147?tab=detail&amp;rf=Y</t>
        </is>
      </c>
      <c r="AA89" s="0" t="inlineStr">
        <is>
          <t>충청북도 청주시 서원구 남이면 가마리 30-16</t>
        </is>
      </c>
      <c r="AB89" s="0" t="inlineStr">
        <is>
          <t>충청북도</t>
        </is>
      </c>
      <c r="AC89" s="0" t="inlineStr">
        <is>
          <t>청주시</t>
        </is>
      </c>
      <c r="AD89" s="0" t="inlineStr">
        <is>
          <t>서원구</t>
        </is>
      </c>
      <c r="AE89" s="0" t="inlineStr">
        <is>
          <t>남이면</t>
        </is>
      </c>
      <c r="AG89" s="0" t="inlineStr">
        <is>
          <t>충청북도 청주시 서원구 2순환로 1725</t>
        </is>
      </c>
      <c r="AH89" s="0" t="n">
        <v>0</v>
      </c>
      <c r="AI89" s="0" t="n">
        <v>72</v>
      </c>
      <c r="AJ89" s="0" t="n">
        <v>19</v>
      </c>
      <c r="AK89" s="0" t="n">
        <v>22</v>
      </c>
      <c r="AL89" s="0" t="n">
        <v>1.38</v>
      </c>
    </row>
    <row r="90">
      <c r="A90" s="0" t="inlineStr">
        <is>
          <t>[모충동]</t>
        </is>
      </c>
      <c r="B90" s="0" t="n">
        <v>115066</v>
      </c>
      <c r="C90" s="0" t="n">
        <v>1</v>
      </c>
      <c r="D90" s="0" t="inlineStr">
        <is>
          <t>남부</t>
        </is>
      </c>
      <c r="E90" s="0" t="inlineStr">
        <is>
          <t>1981.05.</t>
        </is>
      </c>
      <c r="F90" s="0" t="n">
        <v>80</v>
      </c>
      <c r="G90" s="0" t="n">
        <v>19.78</v>
      </c>
      <c r="H90" s="0" t="n">
        <v>65.42</v>
      </c>
      <c r="I90" s="0" t="n">
        <v>14.75</v>
      </c>
      <c r="J90" s="0" t="n">
        <v>48.79</v>
      </c>
      <c r="K90" s="0" t="n">
        <v>36</v>
      </c>
      <c r="T90" s="0" t="n">
        <v>2</v>
      </c>
      <c r="U90" s="0" t="n">
        <v>1</v>
      </c>
      <c r="V90" s="0" t="inlineStr">
        <is>
          <t>복도식</t>
        </is>
      </c>
      <c r="W90" s="0" t="inlineStr">
        <is>
          <t>65A</t>
        </is>
      </c>
      <c r="X90" s="0" t="n">
        <v>6</v>
      </c>
      <c r="Y90" s="0" t="n">
        <v>6</v>
      </c>
      <c r="Z90" s="0" t="inlineStr">
        <is>
          <t>https://new.land.naver.com/complexes/115066?tab=detail&amp;rf=Y</t>
        </is>
      </c>
      <c r="AA90" s="0" t="inlineStr">
        <is>
          <t>충청북도 청주시 서원구 모충동 88-4</t>
        </is>
      </c>
      <c r="AB90" s="0" t="inlineStr">
        <is>
          <t>충청북도</t>
        </is>
      </c>
      <c r="AC90" s="0" t="inlineStr">
        <is>
          <t>청주시</t>
        </is>
      </c>
      <c r="AD90" s="0" t="inlineStr">
        <is>
          <t>서원구</t>
        </is>
      </c>
      <c r="AE90" s="0" t="inlineStr">
        <is>
          <t>모충동</t>
        </is>
      </c>
      <c r="AG90" s="0" t="inlineStr">
        <is>
          <t>충청북도 청주시 서원구 구룡산로405번길 54</t>
        </is>
      </c>
      <c r="AH90" s="0" t="n">
        <v>0</v>
      </c>
      <c r="AI90" s="0" t="n">
        <v>0</v>
      </c>
      <c r="AJ90" s="0" t="n">
        <v>0</v>
      </c>
      <c r="AK90" s="0" t="n">
        <v>0</v>
      </c>
      <c r="AL90" s="0" t="n">
        <v>0</v>
      </c>
    </row>
    <row r="91">
      <c r="A91" s="0" t="inlineStr">
        <is>
          <t>[모충동]</t>
        </is>
      </c>
      <c r="B91" s="0" t="n">
        <v>115066</v>
      </c>
      <c r="C91" s="0" t="n">
        <v>2</v>
      </c>
      <c r="D91" s="0" t="inlineStr">
        <is>
          <t>남부</t>
        </is>
      </c>
      <c r="E91" s="0" t="inlineStr">
        <is>
          <t>1981.05.</t>
        </is>
      </c>
      <c r="F91" s="0" t="n">
        <v>80</v>
      </c>
      <c r="G91" s="0" t="n">
        <v>20.11</v>
      </c>
      <c r="H91" s="0" t="n">
        <v>66.48</v>
      </c>
      <c r="I91" s="0" t="n">
        <v>15.62</v>
      </c>
      <c r="J91" s="0" t="n">
        <v>51.64</v>
      </c>
      <c r="K91" s="0" t="n">
        <v>20</v>
      </c>
      <c r="T91" s="0" t="n">
        <v>2</v>
      </c>
      <c r="U91" s="0" t="n">
        <v>1</v>
      </c>
      <c r="V91" s="0" t="inlineStr">
        <is>
          <t>복도식</t>
        </is>
      </c>
      <c r="W91" s="0" t="inlineStr">
        <is>
          <t>66B</t>
        </is>
      </c>
      <c r="X91" s="0" t="n">
        <v>6</v>
      </c>
      <c r="Y91" s="0" t="n">
        <v>6</v>
      </c>
      <c r="Z91" s="0" t="inlineStr">
        <is>
          <t>https://new.land.naver.com/complexes/115066?tab=detail&amp;rf=Y</t>
        </is>
      </c>
      <c r="AA91" s="0" t="inlineStr">
        <is>
          <t>충청북도 청주시 서원구 모충동 88-4</t>
        </is>
      </c>
      <c r="AB91" s="0" t="inlineStr">
        <is>
          <t>충청북도</t>
        </is>
      </c>
      <c r="AC91" s="0" t="inlineStr">
        <is>
          <t>청주시</t>
        </is>
      </c>
      <c r="AD91" s="0" t="inlineStr">
        <is>
          <t>서원구</t>
        </is>
      </c>
      <c r="AE91" s="0" t="inlineStr">
        <is>
          <t>모충동</t>
        </is>
      </c>
      <c r="AG91" s="0" t="inlineStr">
        <is>
          <t>충청북도 청주시 서원구 구룡산로405번길 54</t>
        </is>
      </c>
      <c r="AH91" s="0" t="n">
        <v>0</v>
      </c>
      <c r="AI91" s="0" t="n">
        <v>0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[모충동]</t>
        </is>
      </c>
      <c r="B92" s="0" t="n">
        <v>115066</v>
      </c>
      <c r="C92" s="0" t="n">
        <v>3</v>
      </c>
      <c r="D92" s="0" t="inlineStr">
        <is>
          <t>남부</t>
        </is>
      </c>
      <c r="E92" s="0" t="inlineStr">
        <is>
          <t>1981.05.</t>
        </is>
      </c>
      <c r="F92" s="0" t="n">
        <v>80</v>
      </c>
      <c r="G92" s="0" t="n">
        <v>22.99</v>
      </c>
      <c r="H92" s="0" t="n">
        <v>76.03</v>
      </c>
      <c r="I92" s="0" t="n">
        <v>17.33</v>
      </c>
      <c r="J92" s="0" t="n">
        <v>57.29</v>
      </c>
      <c r="K92" s="0" t="n">
        <v>8</v>
      </c>
      <c r="T92" s="0" t="n">
        <v>3</v>
      </c>
      <c r="U92" s="0" t="n">
        <v>1</v>
      </c>
      <c r="V92" s="0" t="inlineStr">
        <is>
          <t>복도식</t>
        </is>
      </c>
      <c r="W92" s="0" t="n">
        <v>76</v>
      </c>
      <c r="X92" s="0" t="n">
        <v>6</v>
      </c>
      <c r="Y92" s="0" t="n">
        <v>6</v>
      </c>
      <c r="Z92" s="0" t="inlineStr">
        <is>
          <t>https://new.land.naver.com/complexes/115066?tab=detail&amp;rf=Y</t>
        </is>
      </c>
      <c r="AA92" s="0" t="inlineStr">
        <is>
          <t>충청북도 청주시 서원구 모충동 88-4</t>
        </is>
      </c>
      <c r="AB92" s="0" t="inlineStr">
        <is>
          <t>충청북도</t>
        </is>
      </c>
      <c r="AC92" s="0" t="inlineStr">
        <is>
          <t>청주시</t>
        </is>
      </c>
      <c r="AD92" s="0" t="inlineStr">
        <is>
          <t>서원구</t>
        </is>
      </c>
      <c r="AE92" s="0" t="inlineStr">
        <is>
          <t>모충동</t>
        </is>
      </c>
      <c r="AG92" s="0" t="inlineStr">
        <is>
          <t>충청북도 청주시 서원구 구룡산로405번길 54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[모충동]</t>
        </is>
      </c>
      <c r="B93" s="0" t="n">
        <v>115066</v>
      </c>
      <c r="C93" s="0" t="n">
        <v>4</v>
      </c>
      <c r="D93" s="0" t="inlineStr">
        <is>
          <t>남부</t>
        </is>
      </c>
      <c r="E93" s="0" t="inlineStr">
        <is>
          <t>1981.05.</t>
        </is>
      </c>
      <c r="F93" s="0" t="n">
        <v>80</v>
      </c>
      <c r="G93" s="0" t="n">
        <v>24.81</v>
      </c>
      <c r="H93" s="0" t="n">
        <v>82.02</v>
      </c>
      <c r="I93" s="0" t="n">
        <v>20.4</v>
      </c>
      <c r="J93" s="0" t="n">
        <v>67.44</v>
      </c>
      <c r="K93" s="0" t="n">
        <v>4</v>
      </c>
      <c r="T93" s="0" t="n">
        <v>3</v>
      </c>
      <c r="U93" s="0" t="n">
        <v>1</v>
      </c>
      <c r="V93" s="0" t="inlineStr">
        <is>
          <t>복도식</t>
        </is>
      </c>
      <c r="W93" s="0" t="n">
        <v>82</v>
      </c>
      <c r="X93" s="0" t="n">
        <v>6</v>
      </c>
      <c r="Y93" s="0" t="n">
        <v>6</v>
      </c>
      <c r="Z93" s="0" t="inlineStr">
        <is>
          <t>https://new.land.naver.com/complexes/115066?tab=detail&amp;rf=Y</t>
        </is>
      </c>
      <c r="AA93" s="0" t="inlineStr">
        <is>
          <t>충청북도 청주시 서원구 모충동 88-4</t>
        </is>
      </c>
      <c r="AB93" s="0" t="inlineStr">
        <is>
          <t>충청북도</t>
        </is>
      </c>
      <c r="AC93" s="0" t="inlineStr">
        <is>
          <t>청주시</t>
        </is>
      </c>
      <c r="AD93" s="0" t="inlineStr">
        <is>
          <t>서원구</t>
        </is>
      </c>
      <c r="AE93" s="0" t="inlineStr">
        <is>
          <t>모충동</t>
        </is>
      </c>
      <c r="AG93" s="0" t="inlineStr">
        <is>
          <t>충청북도 청주시 서원구 구룡산로405번길 54</t>
        </is>
      </c>
      <c r="AH93" s="0" t="n">
        <v>0</v>
      </c>
      <c r="AI93" s="0" t="n">
        <v>0</v>
      </c>
      <c r="AJ93" s="0" t="n">
        <v>0</v>
      </c>
      <c r="AK93" s="0" t="n">
        <v>0</v>
      </c>
      <c r="AL93" s="0" t="n">
        <v>0</v>
      </c>
    </row>
    <row r="94">
      <c r="A94" s="0" t="inlineStr">
        <is>
          <t>[모충동]</t>
        </is>
      </c>
      <c r="B94" s="0" t="n">
        <v>115066</v>
      </c>
      <c r="C94" s="0" t="n">
        <v>5</v>
      </c>
      <c r="D94" s="0" t="inlineStr">
        <is>
          <t>남부</t>
        </is>
      </c>
      <c r="E94" s="0" t="inlineStr">
        <is>
          <t>1981.05.</t>
        </is>
      </c>
      <c r="F94" s="0" t="n">
        <v>80</v>
      </c>
      <c r="G94" s="0" t="n">
        <v>28.26</v>
      </c>
      <c r="H94" s="0" t="n">
        <v>93.45</v>
      </c>
      <c r="I94" s="0" t="n">
        <v>23.61</v>
      </c>
      <c r="J94" s="0" t="n">
        <v>78.05</v>
      </c>
      <c r="K94" s="0" t="n">
        <v>4</v>
      </c>
      <c r="T94" s="0" t="n">
        <v>3</v>
      </c>
      <c r="U94" s="0" t="n">
        <v>1</v>
      </c>
      <c r="V94" s="0" t="inlineStr">
        <is>
          <t>복도식</t>
        </is>
      </c>
      <c r="W94" s="0" t="n">
        <v>93</v>
      </c>
      <c r="X94" s="0" t="n">
        <v>6</v>
      </c>
      <c r="Y94" s="0" t="n">
        <v>6</v>
      </c>
      <c r="Z94" s="0" t="inlineStr">
        <is>
          <t>https://new.land.naver.com/complexes/115066?tab=detail&amp;rf=Y</t>
        </is>
      </c>
      <c r="AA94" s="0" t="inlineStr">
        <is>
          <t>충청북도 청주시 서원구 모충동 88-4</t>
        </is>
      </c>
      <c r="AB94" s="0" t="inlineStr">
        <is>
          <t>충청북도</t>
        </is>
      </c>
      <c r="AC94" s="0" t="inlineStr">
        <is>
          <t>청주시</t>
        </is>
      </c>
      <c r="AD94" s="0" t="inlineStr">
        <is>
          <t>서원구</t>
        </is>
      </c>
      <c r="AE94" s="0" t="inlineStr">
        <is>
          <t>모충동</t>
        </is>
      </c>
      <c r="AG94" s="0" t="inlineStr">
        <is>
          <t>충청북도 청주시 서원구 구룡산로405번길 54</t>
        </is>
      </c>
      <c r="AH94" s="0" t="n">
        <v>0</v>
      </c>
      <c r="AI94" s="0" t="n">
        <v>0</v>
      </c>
      <c r="AJ94" s="0" t="n">
        <v>0</v>
      </c>
      <c r="AK94" s="0" t="n">
        <v>0</v>
      </c>
      <c r="AL94" s="0" t="n">
        <v>0</v>
      </c>
    </row>
    <row r="95">
      <c r="A95" s="0" t="inlineStr">
        <is>
          <t>[모충동]</t>
        </is>
      </c>
      <c r="B95" s="0" t="n">
        <v>115066</v>
      </c>
      <c r="C95" s="0" t="n">
        <v>6</v>
      </c>
      <c r="D95" s="0" t="inlineStr">
        <is>
          <t>남부</t>
        </is>
      </c>
      <c r="E95" s="0" t="inlineStr">
        <is>
          <t>1981.05.</t>
        </is>
      </c>
      <c r="F95" s="0" t="n">
        <v>80</v>
      </c>
      <c r="G95" s="0" t="n">
        <v>29.32</v>
      </c>
      <c r="H95" s="0" t="n">
        <v>96.93000000000001</v>
      </c>
      <c r="I95" s="0" t="n">
        <v>21.87</v>
      </c>
      <c r="J95" s="0" t="n">
        <v>72.33</v>
      </c>
      <c r="K95" s="0" t="n">
        <v>8</v>
      </c>
      <c r="T95" s="0" t="n">
        <v>3</v>
      </c>
      <c r="U95" s="0" t="n">
        <v>1</v>
      </c>
      <c r="V95" s="0" t="inlineStr">
        <is>
          <t>복도식</t>
        </is>
      </c>
      <c r="W95" s="0" t="n">
        <v>96</v>
      </c>
      <c r="X95" s="0" t="n">
        <v>6</v>
      </c>
      <c r="Y95" s="0" t="n">
        <v>6</v>
      </c>
      <c r="Z95" s="0" t="inlineStr">
        <is>
          <t>https://new.land.naver.com/complexes/115066?tab=detail&amp;rf=Y</t>
        </is>
      </c>
      <c r="AA95" s="0" t="inlineStr">
        <is>
          <t>충청북도 청주시 서원구 모충동 88-4</t>
        </is>
      </c>
      <c r="AB95" s="0" t="inlineStr">
        <is>
          <t>충청북도</t>
        </is>
      </c>
      <c r="AC95" s="0" t="inlineStr">
        <is>
          <t>청주시</t>
        </is>
      </c>
      <c r="AD95" s="0" t="inlineStr">
        <is>
          <t>서원구</t>
        </is>
      </c>
      <c r="AE95" s="0" t="inlineStr">
        <is>
          <t>모충동</t>
        </is>
      </c>
      <c r="AG95" s="0" t="inlineStr">
        <is>
          <t>충청북도 청주시 서원구 구룡산로405번길 54</t>
        </is>
      </c>
      <c r="AH95" s="0" t="n">
        <v>0</v>
      </c>
      <c r="AI95" s="0" t="n">
        <v>0</v>
      </c>
      <c r="AJ95" s="0" t="n">
        <v>0</v>
      </c>
      <c r="AK95" s="0" t="n">
        <v>0</v>
      </c>
      <c r="AL95" s="0" t="n">
        <v>0</v>
      </c>
    </row>
    <row r="96">
      <c r="A96" s="0" t="inlineStr">
        <is>
          <t>[모충동]</t>
        </is>
      </c>
      <c r="B96" s="0" t="n">
        <v>12097</v>
      </c>
      <c r="C96" s="0" t="n">
        <v>1</v>
      </c>
      <c r="D96" s="0" t="inlineStr">
        <is>
          <t>삼우</t>
        </is>
      </c>
      <c r="E96" s="0" t="inlineStr">
        <is>
          <t>1986.01.</t>
        </is>
      </c>
      <c r="F96" s="0" t="n">
        <v>40</v>
      </c>
      <c r="G96" s="0" t="n">
        <v>21.45</v>
      </c>
      <c r="H96" s="0" t="n">
        <v>70.92</v>
      </c>
      <c r="I96" s="0" t="n">
        <v>19.71</v>
      </c>
      <c r="J96" s="0" t="n">
        <v>65.16</v>
      </c>
      <c r="K96" s="0" t="n">
        <v>40</v>
      </c>
      <c r="T96" s="0" t="n">
        <v>3</v>
      </c>
      <c r="U96" s="0" t="n">
        <v>1</v>
      </c>
      <c r="V96" s="0" t="inlineStr">
        <is>
          <t>계단식</t>
        </is>
      </c>
      <c r="W96" s="0" t="n">
        <v>70</v>
      </c>
      <c r="X96" s="0" t="n">
        <v>5</v>
      </c>
      <c r="Y96" s="0" t="n">
        <v>5</v>
      </c>
      <c r="Z96" s="0" t="inlineStr">
        <is>
          <t>https://new.land.naver.com/complexes/12097?tab=detail&amp;rf=Y</t>
        </is>
      </c>
      <c r="AA96" s="0" t="inlineStr">
        <is>
          <t>충청북도 청주시 서원구 모충동 456</t>
        </is>
      </c>
      <c r="AB96" s="0" t="inlineStr">
        <is>
          <t>충청북도</t>
        </is>
      </c>
      <c r="AC96" s="0" t="inlineStr">
        <is>
          <t>청주시</t>
        </is>
      </c>
      <c r="AD96" s="0" t="inlineStr">
        <is>
          <t>서원구</t>
        </is>
      </c>
      <c r="AE96" s="0" t="inlineStr">
        <is>
          <t>모충동</t>
        </is>
      </c>
      <c r="AG96" s="0" t="inlineStr">
        <is>
          <t>충청북도 청주시 서원구 쌍샘로 101</t>
        </is>
      </c>
      <c r="AH96" s="0" t="n">
        <v>0</v>
      </c>
      <c r="AI96" s="0" t="n">
        <v>0</v>
      </c>
      <c r="AJ96" s="0" t="n">
        <v>0</v>
      </c>
      <c r="AK96" s="0" t="n">
        <v>0</v>
      </c>
      <c r="AL96" s="0" t="n">
        <v>0</v>
      </c>
    </row>
    <row r="97">
      <c r="A97" s="0" t="inlineStr">
        <is>
          <t>[모충동]</t>
        </is>
      </c>
      <c r="B97" s="0" t="n">
        <v>7303</v>
      </c>
      <c r="C97" s="0" t="n">
        <v>1</v>
      </c>
      <c r="D97" s="0" t="inlineStr">
        <is>
          <t>삼호</t>
        </is>
      </c>
      <c r="E97" s="0" t="inlineStr">
        <is>
          <t>1991.08.</t>
        </is>
      </c>
      <c r="F97" s="0" t="n">
        <v>254</v>
      </c>
      <c r="G97" s="0" t="n">
        <v>29.22</v>
      </c>
      <c r="H97" s="0" t="n">
        <v>96.61</v>
      </c>
      <c r="I97" s="0" t="n">
        <v>23.73</v>
      </c>
      <c r="J97" s="0" t="n">
        <v>78.47</v>
      </c>
      <c r="K97" s="0" t="n">
        <v>40</v>
      </c>
      <c r="T97" s="0" t="n">
        <v>3</v>
      </c>
      <c r="U97" s="0" t="n">
        <v>1</v>
      </c>
      <c r="V97" s="0" t="inlineStr">
        <is>
          <t>계단식</t>
        </is>
      </c>
      <c r="W97" s="0" t="n">
        <v>96</v>
      </c>
      <c r="X97" s="0" t="n">
        <v>15</v>
      </c>
      <c r="Y97" s="0" t="n">
        <v>9</v>
      </c>
      <c r="Z97" s="0" t="inlineStr">
        <is>
          <t>https://new.land.naver.com/complexes/7303?tab=detail&amp;rf=Y</t>
        </is>
      </c>
      <c r="AA97" s="0" t="inlineStr">
        <is>
          <t>충청북도 청주시 서원구 모충동 446-20</t>
        </is>
      </c>
      <c r="AB97" s="0" t="inlineStr">
        <is>
          <t>충청북도</t>
        </is>
      </c>
      <c r="AC97" s="0" t="inlineStr">
        <is>
          <t>청주시</t>
        </is>
      </c>
      <c r="AD97" s="0" t="inlineStr">
        <is>
          <t>서원구</t>
        </is>
      </c>
      <c r="AE97" s="0" t="inlineStr">
        <is>
          <t>모충동</t>
        </is>
      </c>
      <c r="AG97" s="0" t="inlineStr">
        <is>
          <t>충청북도 청주시 서원구 매봉로 208</t>
        </is>
      </c>
      <c r="AH97" s="0" t="n">
        <v>0</v>
      </c>
      <c r="AI97" s="0" t="n">
        <v>0</v>
      </c>
      <c r="AJ97" s="0" t="n">
        <v>0</v>
      </c>
      <c r="AK97" s="0" t="n">
        <v>149</v>
      </c>
      <c r="AL97" s="0" t="n">
        <v>0.59</v>
      </c>
    </row>
    <row r="98">
      <c r="A98" s="0" t="inlineStr">
        <is>
          <t>[모충동]</t>
        </is>
      </c>
      <c r="B98" s="0" t="n">
        <v>7303</v>
      </c>
      <c r="C98" s="0" t="n">
        <v>2</v>
      </c>
      <c r="D98" s="0" t="inlineStr">
        <is>
          <t>삼호</t>
        </is>
      </c>
      <c r="E98" s="0" t="inlineStr">
        <is>
          <t>1991.08.</t>
        </is>
      </c>
      <c r="F98" s="0" t="n">
        <v>254</v>
      </c>
      <c r="G98" s="0" t="n">
        <v>31.93</v>
      </c>
      <c r="H98" s="0" t="n">
        <v>105.57</v>
      </c>
      <c r="I98" s="0" t="n">
        <v>25.69</v>
      </c>
      <c r="J98" s="0" t="n">
        <v>84.94</v>
      </c>
      <c r="K98" s="0" t="n">
        <v>184</v>
      </c>
      <c r="T98" s="0" t="n">
        <v>3</v>
      </c>
      <c r="U98" s="0" t="n">
        <v>2</v>
      </c>
      <c r="V98" s="0" t="inlineStr">
        <is>
          <t>계단식</t>
        </is>
      </c>
      <c r="W98" s="0" t="n">
        <v>105</v>
      </c>
      <c r="X98" s="0" t="n">
        <v>15</v>
      </c>
      <c r="Y98" s="0" t="n">
        <v>9</v>
      </c>
      <c r="Z98" s="0" t="inlineStr">
        <is>
          <t>https://new.land.naver.com/complexes/7303?tab=detail&amp;rf=Y</t>
        </is>
      </c>
      <c r="AA98" s="0" t="inlineStr">
        <is>
          <t>충청북도 청주시 서원구 모충동 446-20</t>
        </is>
      </c>
      <c r="AB98" s="0" t="inlineStr">
        <is>
          <t>충청북도</t>
        </is>
      </c>
      <c r="AC98" s="0" t="inlineStr">
        <is>
          <t>청주시</t>
        </is>
      </c>
      <c r="AD98" s="0" t="inlineStr">
        <is>
          <t>서원구</t>
        </is>
      </c>
      <c r="AE98" s="0" t="inlineStr">
        <is>
          <t>모충동</t>
        </is>
      </c>
      <c r="AG98" s="0" t="inlineStr">
        <is>
          <t>충청북도 청주시 서원구 매봉로 208</t>
        </is>
      </c>
      <c r="AH98" s="0" t="n">
        <v>0</v>
      </c>
      <c r="AI98" s="0" t="n">
        <v>0</v>
      </c>
      <c r="AJ98" s="0" t="n">
        <v>0</v>
      </c>
      <c r="AK98" s="0" t="n">
        <v>149</v>
      </c>
      <c r="AL98" s="0" t="n">
        <v>0.59</v>
      </c>
    </row>
    <row r="99">
      <c r="A99" s="0" t="inlineStr">
        <is>
          <t>[모충동]</t>
        </is>
      </c>
      <c r="B99" s="0" t="n">
        <v>7303</v>
      </c>
      <c r="C99" s="0" t="n">
        <v>3</v>
      </c>
      <c r="D99" s="0" t="inlineStr">
        <is>
          <t>삼호</t>
        </is>
      </c>
      <c r="E99" s="0" t="inlineStr">
        <is>
          <t>1991.08.</t>
        </is>
      </c>
      <c r="F99" s="0" t="n">
        <v>254</v>
      </c>
      <c r="G99" s="0" t="n">
        <v>44.32</v>
      </c>
      <c r="H99" s="0" t="n">
        <v>146.54</v>
      </c>
      <c r="I99" s="0" t="n">
        <v>38.3</v>
      </c>
      <c r="J99" s="0" t="n">
        <v>126.62</v>
      </c>
      <c r="K99" s="0" t="n">
        <v>30</v>
      </c>
      <c r="T99" s="0" t="n">
        <v>4</v>
      </c>
      <c r="U99" s="0" t="n">
        <v>2</v>
      </c>
      <c r="V99" s="0" t="inlineStr">
        <is>
          <t>계단식</t>
        </is>
      </c>
      <c r="W99" s="0" t="n">
        <v>146</v>
      </c>
      <c r="X99" s="0" t="n">
        <v>15</v>
      </c>
      <c r="Y99" s="0" t="n">
        <v>9</v>
      </c>
      <c r="Z99" s="0" t="inlineStr">
        <is>
          <t>https://new.land.naver.com/complexes/7303?tab=detail&amp;rf=Y</t>
        </is>
      </c>
      <c r="AA99" s="0" t="inlineStr">
        <is>
          <t>충청북도 청주시 서원구 모충동 446-20</t>
        </is>
      </c>
      <c r="AB99" s="0" t="inlineStr">
        <is>
          <t>충청북도</t>
        </is>
      </c>
      <c r="AC99" s="0" t="inlineStr">
        <is>
          <t>청주시</t>
        </is>
      </c>
      <c r="AD99" s="0" t="inlineStr">
        <is>
          <t>서원구</t>
        </is>
      </c>
      <c r="AE99" s="0" t="inlineStr">
        <is>
          <t>모충동</t>
        </is>
      </c>
      <c r="AG99" s="0" t="inlineStr">
        <is>
          <t>충청북도 청주시 서원구 매봉로 208</t>
        </is>
      </c>
      <c r="AH99" s="0" t="n">
        <v>0</v>
      </c>
      <c r="AI99" s="0" t="n">
        <v>0</v>
      </c>
      <c r="AJ99" s="0" t="n">
        <v>0</v>
      </c>
      <c r="AK99" s="0" t="n">
        <v>149</v>
      </c>
      <c r="AL99" s="0" t="n">
        <v>0.59</v>
      </c>
    </row>
    <row r="100">
      <c r="A100" s="0" t="inlineStr">
        <is>
          <t>[모충동]</t>
        </is>
      </c>
      <c r="B100" s="0" t="n">
        <v>7313</v>
      </c>
      <c r="C100" s="0" t="n">
        <v>1</v>
      </c>
      <c r="D100" s="0" t="inlineStr">
        <is>
          <t>형석</t>
        </is>
      </c>
      <c r="E100" s="0" t="inlineStr">
        <is>
          <t>1983.08.</t>
        </is>
      </c>
      <c r="F100" s="0" t="n">
        <v>204</v>
      </c>
      <c r="G100" s="0" t="n">
        <v>14.39</v>
      </c>
      <c r="H100" s="0" t="n">
        <v>47.6</v>
      </c>
      <c r="I100" s="0" t="n">
        <v>12.65</v>
      </c>
      <c r="J100" s="0" t="n">
        <v>41.82</v>
      </c>
      <c r="K100" s="0" t="n">
        <v>48</v>
      </c>
      <c r="T100" s="0" t="n">
        <v>2</v>
      </c>
      <c r="U100" s="0" t="n">
        <v>1</v>
      </c>
      <c r="V100" s="0" t="inlineStr">
        <is>
          <t>계단식</t>
        </is>
      </c>
      <c r="W100" s="0" t="n">
        <v>47</v>
      </c>
      <c r="X100" s="0" t="n">
        <v>5</v>
      </c>
      <c r="Y100" s="0" t="n">
        <v>5</v>
      </c>
      <c r="Z100" s="0" t="inlineStr">
        <is>
          <t>https://new.land.naver.com/complexes/7313?tab=detail&amp;rf=Y</t>
        </is>
      </c>
      <c r="AA100" s="0" t="inlineStr">
        <is>
          <t>충청북도 청주시 서원구 모충동 251-1</t>
        </is>
      </c>
      <c r="AB100" s="0" t="inlineStr">
        <is>
          <t>충청북도</t>
        </is>
      </c>
      <c r="AC100" s="0" t="inlineStr">
        <is>
          <t>청주시</t>
        </is>
      </c>
      <c r="AD100" s="0" t="inlineStr">
        <is>
          <t>서원구</t>
        </is>
      </c>
      <c r="AE100" s="0" t="inlineStr">
        <is>
          <t>모충동</t>
        </is>
      </c>
      <c r="AG100" s="0" t="inlineStr">
        <is>
          <t>충청북도 청주시 서원구 남들로35번길 61</t>
        </is>
      </c>
      <c r="AH100" s="0" t="n">
        <v>0</v>
      </c>
      <c r="AI100" s="0" t="n">
        <v>0</v>
      </c>
      <c r="AJ100" s="0" t="n">
        <v>0</v>
      </c>
      <c r="AK100" s="0" t="n">
        <v>0</v>
      </c>
      <c r="AL100" s="0" t="n">
        <v>0</v>
      </c>
    </row>
    <row r="101">
      <c r="A101" s="0" t="inlineStr">
        <is>
          <t>[모충동]</t>
        </is>
      </c>
      <c r="B101" s="0" t="n">
        <v>7313</v>
      </c>
      <c r="C101" s="0" t="n">
        <v>2</v>
      </c>
      <c r="D101" s="0" t="inlineStr">
        <is>
          <t>형석</t>
        </is>
      </c>
      <c r="E101" s="0" t="inlineStr">
        <is>
          <t>1983.08.</t>
        </is>
      </c>
      <c r="F101" s="0" t="n">
        <v>204</v>
      </c>
      <c r="G101" s="0" t="n">
        <v>16.75</v>
      </c>
      <c r="H101" s="0" t="n">
        <v>55.4</v>
      </c>
      <c r="I101" s="0" t="n">
        <v>15</v>
      </c>
      <c r="J101" s="0" t="n">
        <v>49.59</v>
      </c>
      <c r="K101" s="0" t="n">
        <v>60</v>
      </c>
      <c r="T101" s="0" t="n">
        <v>2</v>
      </c>
      <c r="U101" s="0" t="n">
        <v>1</v>
      </c>
      <c r="V101" s="0" t="inlineStr">
        <is>
          <t>계단식</t>
        </is>
      </c>
      <c r="W101" s="0" t="n">
        <v>55</v>
      </c>
      <c r="X101" s="0" t="n">
        <v>5</v>
      </c>
      <c r="Y101" s="0" t="n">
        <v>5</v>
      </c>
      <c r="Z101" s="0" t="inlineStr">
        <is>
          <t>https://new.land.naver.com/complexes/7313?tab=detail&amp;rf=Y</t>
        </is>
      </c>
      <c r="AA101" s="0" t="inlineStr">
        <is>
          <t>충청북도 청주시 서원구 모충동 251-1</t>
        </is>
      </c>
      <c r="AB101" s="0" t="inlineStr">
        <is>
          <t>충청북도</t>
        </is>
      </c>
      <c r="AC101" s="0" t="inlineStr">
        <is>
          <t>청주시</t>
        </is>
      </c>
      <c r="AD101" s="0" t="inlineStr">
        <is>
          <t>서원구</t>
        </is>
      </c>
      <c r="AE101" s="0" t="inlineStr">
        <is>
          <t>모충동</t>
        </is>
      </c>
      <c r="AG101" s="0" t="inlineStr">
        <is>
          <t>충청북도 청주시 서원구 남들로35번길 61</t>
        </is>
      </c>
      <c r="AH101" s="0" t="n">
        <v>0</v>
      </c>
      <c r="AI101" s="0" t="n">
        <v>0</v>
      </c>
      <c r="AJ101" s="0" t="n">
        <v>0</v>
      </c>
      <c r="AK101" s="0" t="n">
        <v>0</v>
      </c>
      <c r="AL101" s="0" t="n">
        <v>0</v>
      </c>
    </row>
    <row r="102">
      <c r="A102" s="0" t="inlineStr">
        <is>
          <t>[모충동]</t>
        </is>
      </c>
      <c r="B102" s="0" t="n">
        <v>7313</v>
      </c>
      <c r="C102" s="0" t="n">
        <v>3</v>
      </c>
      <c r="D102" s="0" t="inlineStr">
        <is>
          <t>형석</t>
        </is>
      </c>
      <c r="E102" s="0" t="inlineStr">
        <is>
          <t>1983.08.</t>
        </is>
      </c>
      <c r="F102" s="0" t="n">
        <v>204</v>
      </c>
      <c r="G102" s="0" t="n">
        <v>23.29</v>
      </c>
      <c r="H102" s="0" t="n">
        <v>77.01000000000001</v>
      </c>
      <c r="I102" s="0" t="n">
        <v>20.46</v>
      </c>
      <c r="J102" s="0" t="n">
        <v>67.65000000000001</v>
      </c>
      <c r="K102" s="0" t="n">
        <v>48</v>
      </c>
      <c r="T102" s="0" t="n">
        <v>3</v>
      </c>
      <c r="U102" s="0" t="n">
        <v>1</v>
      </c>
      <c r="V102" s="0" t="inlineStr">
        <is>
          <t>복도식</t>
        </is>
      </c>
      <c r="W102" s="0" t="n">
        <v>77</v>
      </c>
      <c r="X102" s="0" t="n">
        <v>5</v>
      </c>
      <c r="Y102" s="0" t="n">
        <v>5</v>
      </c>
      <c r="Z102" s="0" t="inlineStr">
        <is>
          <t>https://new.land.naver.com/complexes/7313?tab=detail&amp;rf=Y</t>
        </is>
      </c>
      <c r="AA102" s="0" t="inlineStr">
        <is>
          <t>충청북도 청주시 서원구 모충동 251-1</t>
        </is>
      </c>
      <c r="AB102" s="0" t="inlineStr">
        <is>
          <t>충청북도</t>
        </is>
      </c>
      <c r="AC102" s="0" t="inlineStr">
        <is>
          <t>청주시</t>
        </is>
      </c>
      <c r="AD102" s="0" t="inlineStr">
        <is>
          <t>서원구</t>
        </is>
      </c>
      <c r="AE102" s="0" t="inlineStr">
        <is>
          <t>모충동</t>
        </is>
      </c>
      <c r="AG102" s="0" t="inlineStr">
        <is>
          <t>충청북도 청주시 서원구 남들로35번길 61</t>
        </is>
      </c>
      <c r="AH102" s="0" t="n">
        <v>0</v>
      </c>
      <c r="AI102" s="0" t="n">
        <v>0</v>
      </c>
      <c r="AJ102" s="0" t="n">
        <v>0</v>
      </c>
      <c r="AK102" s="0" t="n">
        <v>0</v>
      </c>
      <c r="AL102" s="0" t="n">
        <v>0</v>
      </c>
    </row>
    <row r="103">
      <c r="A103" s="0" t="inlineStr">
        <is>
          <t>[모충동]</t>
        </is>
      </c>
      <c r="B103" s="0" t="n">
        <v>7313</v>
      </c>
      <c r="C103" s="0" t="n">
        <v>4</v>
      </c>
      <c r="D103" s="0" t="inlineStr">
        <is>
          <t>형석</t>
        </is>
      </c>
      <c r="E103" s="0" t="inlineStr">
        <is>
          <t>1983.08.</t>
        </is>
      </c>
      <c r="F103" s="0" t="n">
        <v>204</v>
      </c>
      <c r="G103" s="0" t="n">
        <v>24.01</v>
      </c>
      <c r="H103" s="0" t="n">
        <v>79.40000000000001</v>
      </c>
      <c r="I103" s="0" t="n">
        <v>21.09</v>
      </c>
      <c r="J103" s="0" t="n">
        <v>69.75</v>
      </c>
      <c r="K103" s="0" t="n">
        <v>48</v>
      </c>
      <c r="T103" s="0" t="n">
        <v>3</v>
      </c>
      <c r="U103" s="0" t="n">
        <v>1</v>
      </c>
      <c r="V103" s="0" t="inlineStr">
        <is>
          <t>계단식</t>
        </is>
      </c>
      <c r="W103" s="0" t="n">
        <v>79</v>
      </c>
      <c r="X103" s="0" t="n">
        <v>5</v>
      </c>
      <c r="Y103" s="0" t="n">
        <v>5</v>
      </c>
      <c r="Z103" s="0" t="inlineStr">
        <is>
          <t>https://new.land.naver.com/complexes/7313?tab=detail&amp;rf=Y</t>
        </is>
      </c>
      <c r="AA103" s="0" t="inlineStr">
        <is>
          <t>충청북도 청주시 서원구 모충동 251-1</t>
        </is>
      </c>
      <c r="AB103" s="0" t="inlineStr">
        <is>
          <t>충청북도</t>
        </is>
      </c>
      <c r="AC103" s="0" t="inlineStr">
        <is>
          <t>청주시</t>
        </is>
      </c>
      <c r="AD103" s="0" t="inlineStr">
        <is>
          <t>서원구</t>
        </is>
      </c>
      <c r="AE103" s="0" t="inlineStr">
        <is>
          <t>모충동</t>
        </is>
      </c>
      <c r="AG103" s="0" t="inlineStr">
        <is>
          <t>충청북도 청주시 서원구 남들로35번길 61</t>
        </is>
      </c>
      <c r="AH103" s="0" t="n">
        <v>0</v>
      </c>
      <c r="AI103" s="0" t="n">
        <v>0</v>
      </c>
      <c r="AJ103" s="0" t="n">
        <v>0</v>
      </c>
      <c r="AK103" s="0" t="n">
        <v>0</v>
      </c>
      <c r="AL103" s="0" t="n">
        <v>0</v>
      </c>
    </row>
    <row r="104">
      <c r="A104" s="0" t="inlineStr">
        <is>
          <t>[모충동]</t>
        </is>
      </c>
      <c r="B104" s="0" t="n">
        <v>105702</v>
      </c>
      <c r="C104" s="0" t="n">
        <v>1</v>
      </c>
      <c r="D104" s="0" t="inlineStr">
        <is>
          <t>서원</t>
        </is>
      </c>
      <c r="E104" s="0" t="inlineStr">
        <is>
          <t>1987.10.</t>
        </is>
      </c>
      <c r="F104" s="0" t="n">
        <v>89</v>
      </c>
      <c r="G104" s="0" t="n">
        <v>9.789999999999999</v>
      </c>
      <c r="H104" s="0" t="n">
        <v>32.39</v>
      </c>
      <c r="I104" s="0" t="n">
        <v>7.84</v>
      </c>
      <c r="J104" s="0" t="n">
        <v>25.92</v>
      </c>
      <c r="K104" s="0" t="n">
        <v>4</v>
      </c>
      <c r="T104" s="0" t="n">
        <v>1</v>
      </c>
      <c r="U104" s="0" t="n">
        <v>1</v>
      </c>
      <c r="V104" s="0" t="inlineStr">
        <is>
          <t>복도식</t>
        </is>
      </c>
      <c r="W104" s="0" t="n">
        <v>32</v>
      </c>
      <c r="X104" s="0" t="n">
        <v>5</v>
      </c>
      <c r="Y104" s="0" t="n">
        <v>5</v>
      </c>
      <c r="Z104" s="0" t="inlineStr">
        <is>
          <t>https://new.land.naver.com/complexes/105702?tab=detail&amp;rf=Y</t>
        </is>
      </c>
      <c r="AA104" s="0" t="inlineStr">
        <is>
          <t>충청북도 청주시 서원구 모충동 117-2</t>
        </is>
      </c>
      <c r="AB104" s="0" t="inlineStr">
        <is>
          <t>충청북도</t>
        </is>
      </c>
      <c r="AC104" s="0" t="inlineStr">
        <is>
          <t>청주시</t>
        </is>
      </c>
      <c r="AD104" s="0" t="inlineStr">
        <is>
          <t>서원구</t>
        </is>
      </c>
      <c r="AE104" s="0" t="inlineStr">
        <is>
          <t>모충동</t>
        </is>
      </c>
      <c r="AG104" s="0" t="inlineStr">
        <is>
          <t>충청북도 청주시 서원구 구룡산로389번길 79</t>
        </is>
      </c>
      <c r="AH104" s="0" t="n">
        <v>0</v>
      </c>
      <c r="AI104" s="0" t="n">
        <v>188</v>
      </c>
      <c r="AJ104" s="0" t="n">
        <v>37</v>
      </c>
      <c r="AK104" s="0" t="n">
        <v>0</v>
      </c>
      <c r="AL104" s="0" t="n">
        <v>0</v>
      </c>
    </row>
    <row r="105">
      <c r="A105" s="0" t="inlineStr">
        <is>
          <t>[모충동]</t>
        </is>
      </c>
      <c r="B105" s="0" t="n">
        <v>105702</v>
      </c>
      <c r="C105" s="0" t="n">
        <v>2</v>
      </c>
      <c r="D105" s="0" t="inlineStr">
        <is>
          <t>서원</t>
        </is>
      </c>
      <c r="E105" s="0" t="inlineStr">
        <is>
          <t>1987.10.</t>
        </is>
      </c>
      <c r="F105" s="0" t="n">
        <v>89</v>
      </c>
      <c r="G105" s="0" t="n">
        <v>11.02</v>
      </c>
      <c r="H105" s="0" t="n">
        <v>36.44</v>
      </c>
      <c r="I105" s="0" t="n">
        <v>8.82</v>
      </c>
      <c r="J105" s="0" t="n">
        <v>29.16</v>
      </c>
      <c r="K105" s="0" t="n">
        <v>5</v>
      </c>
      <c r="T105" s="0" t="n">
        <v>1</v>
      </c>
      <c r="U105" s="0" t="n">
        <v>1</v>
      </c>
      <c r="V105" s="0" t="inlineStr">
        <is>
          <t>복도식</t>
        </is>
      </c>
      <c r="W105" s="0" t="n">
        <v>36</v>
      </c>
      <c r="X105" s="0" t="n">
        <v>5</v>
      </c>
      <c r="Y105" s="0" t="n">
        <v>5</v>
      </c>
      <c r="Z105" s="0" t="inlineStr">
        <is>
          <t>https://new.land.naver.com/complexes/105702?tab=detail&amp;rf=Y</t>
        </is>
      </c>
      <c r="AA105" s="0" t="inlineStr">
        <is>
          <t>충청북도 청주시 서원구 모충동 117-2</t>
        </is>
      </c>
      <c r="AB105" s="0" t="inlineStr">
        <is>
          <t>충청북도</t>
        </is>
      </c>
      <c r="AC105" s="0" t="inlineStr">
        <is>
          <t>청주시</t>
        </is>
      </c>
      <c r="AD105" s="0" t="inlineStr">
        <is>
          <t>서원구</t>
        </is>
      </c>
      <c r="AE105" s="0" t="inlineStr">
        <is>
          <t>모충동</t>
        </is>
      </c>
      <c r="AG105" s="0" t="inlineStr">
        <is>
          <t>충청북도 청주시 서원구 구룡산로389번길 79</t>
        </is>
      </c>
      <c r="AH105" s="0" t="n">
        <v>0</v>
      </c>
      <c r="AI105" s="0" t="n">
        <v>188</v>
      </c>
      <c r="AJ105" s="0" t="n">
        <v>37</v>
      </c>
      <c r="AK105" s="0" t="n">
        <v>0</v>
      </c>
      <c r="AL105" s="0" t="n">
        <v>0</v>
      </c>
    </row>
    <row r="106">
      <c r="A106" s="0" t="inlineStr">
        <is>
          <t>[모충동]</t>
        </is>
      </c>
      <c r="B106" s="0" t="n">
        <v>105702</v>
      </c>
      <c r="C106" s="0" t="n">
        <v>3</v>
      </c>
      <c r="D106" s="0" t="inlineStr">
        <is>
          <t>서원</t>
        </is>
      </c>
      <c r="E106" s="0" t="inlineStr">
        <is>
          <t>1987.10.</t>
        </is>
      </c>
      <c r="F106" s="0" t="n">
        <v>89</v>
      </c>
      <c r="G106" s="0" t="n">
        <v>11.63</v>
      </c>
      <c r="H106" s="0" t="n">
        <v>38.46</v>
      </c>
      <c r="I106" s="0" t="n">
        <v>9.31</v>
      </c>
      <c r="J106" s="0" t="n">
        <v>30.78</v>
      </c>
      <c r="K106" s="0" t="n">
        <v>80</v>
      </c>
      <c r="T106" s="0" t="n">
        <v>1</v>
      </c>
      <c r="U106" s="0" t="n">
        <v>1</v>
      </c>
      <c r="V106" s="0" t="inlineStr">
        <is>
          <t>복도식</t>
        </is>
      </c>
      <c r="W106" s="0" t="n">
        <v>38</v>
      </c>
      <c r="X106" s="0" t="n">
        <v>5</v>
      </c>
      <c r="Y106" s="0" t="n">
        <v>5</v>
      </c>
      <c r="Z106" s="0" t="inlineStr">
        <is>
          <t>https://new.land.naver.com/complexes/105702?tab=detail&amp;rf=Y</t>
        </is>
      </c>
      <c r="AA106" s="0" t="inlineStr">
        <is>
          <t>충청북도 청주시 서원구 모충동 117-2</t>
        </is>
      </c>
      <c r="AB106" s="0" t="inlineStr">
        <is>
          <t>충청북도</t>
        </is>
      </c>
      <c r="AC106" s="0" t="inlineStr">
        <is>
          <t>청주시</t>
        </is>
      </c>
      <c r="AD106" s="0" t="inlineStr">
        <is>
          <t>서원구</t>
        </is>
      </c>
      <c r="AE106" s="0" t="inlineStr">
        <is>
          <t>모충동</t>
        </is>
      </c>
      <c r="AG106" s="0" t="inlineStr">
        <is>
          <t>충청북도 청주시 서원구 구룡산로389번길 79</t>
        </is>
      </c>
      <c r="AH106" s="0" t="n">
        <v>0</v>
      </c>
      <c r="AI106" s="0" t="n">
        <v>188</v>
      </c>
      <c r="AJ106" s="0" t="n">
        <v>37</v>
      </c>
      <c r="AK106" s="0" t="n">
        <v>0</v>
      </c>
      <c r="AL106" s="0" t="n">
        <v>0</v>
      </c>
    </row>
    <row r="107">
      <c r="A107" s="0" t="inlineStr">
        <is>
          <t>[모충동]</t>
        </is>
      </c>
      <c r="B107" s="0" t="n">
        <v>102759</v>
      </c>
      <c r="C107" s="0" t="n">
        <v>1</v>
      </c>
      <c r="D107" s="0" t="inlineStr">
        <is>
          <t>일신베네스트</t>
        </is>
      </c>
      <c r="E107" s="0" t="inlineStr">
        <is>
          <t>2004.11.</t>
        </is>
      </c>
      <c r="F107" s="0" t="n">
        <v>198</v>
      </c>
      <c r="G107" s="0" t="n">
        <v>9.710000000000001</v>
      </c>
      <c r="H107" s="0" t="n">
        <v>32.11</v>
      </c>
      <c r="I107" s="0" t="n">
        <v>7.47</v>
      </c>
      <c r="J107" s="0" t="n">
        <v>24.71</v>
      </c>
      <c r="K107" s="0" t="n">
        <v>18</v>
      </c>
      <c r="T107" s="0" t="n">
        <v>1</v>
      </c>
      <c r="U107" s="0" t="n">
        <v>1</v>
      </c>
      <c r="V107" s="0" t="inlineStr">
        <is>
          <t>복도식</t>
        </is>
      </c>
      <c r="W107" s="0" t="n">
        <v>32</v>
      </c>
      <c r="X107" s="0" t="n">
        <v>11</v>
      </c>
      <c r="Y107" s="0" t="n">
        <v>11</v>
      </c>
      <c r="Z107" s="0" t="inlineStr">
        <is>
          <t>https://new.land.naver.com/complexes/102759?tab=detail&amp;rf=Y</t>
        </is>
      </c>
      <c r="AA107" s="0" t="inlineStr">
        <is>
          <t>충청북도 청주시 서원구 모충동 520-40</t>
        </is>
      </c>
      <c r="AB107" s="0" t="inlineStr">
        <is>
          <t>충청북도</t>
        </is>
      </c>
      <c r="AC107" s="0" t="inlineStr">
        <is>
          <t>청주시</t>
        </is>
      </c>
      <c r="AD107" s="0" t="inlineStr">
        <is>
          <t>서원구</t>
        </is>
      </c>
      <c r="AE107" s="0" t="inlineStr">
        <is>
          <t>모충동</t>
        </is>
      </c>
      <c r="AG107" s="0" t="inlineStr">
        <is>
          <t>충청북도 청주시 서원구 모충로68번길 26</t>
        </is>
      </c>
      <c r="AH107" s="0" t="n">
        <v>0</v>
      </c>
      <c r="AI107" s="0" t="n">
        <v>300</v>
      </c>
      <c r="AJ107" s="0" t="n">
        <v>54</v>
      </c>
      <c r="AK107" s="0" t="n">
        <v>146</v>
      </c>
      <c r="AL107" s="0" t="n">
        <v>0.74</v>
      </c>
    </row>
    <row r="108">
      <c r="A108" s="0" t="inlineStr">
        <is>
          <t>[모충동]</t>
        </is>
      </c>
      <c r="B108" s="0" t="n">
        <v>102759</v>
      </c>
      <c r="C108" s="0" t="n">
        <v>2</v>
      </c>
      <c r="D108" s="0" t="inlineStr">
        <is>
          <t>일신베네스트</t>
        </is>
      </c>
      <c r="E108" s="0" t="inlineStr">
        <is>
          <t>2004.11.</t>
        </is>
      </c>
      <c r="F108" s="0" t="n">
        <v>198</v>
      </c>
      <c r="G108" s="0" t="n">
        <v>12.16</v>
      </c>
      <c r="H108" s="0" t="n">
        <v>40.21</v>
      </c>
      <c r="I108" s="0" t="n">
        <v>9.35</v>
      </c>
      <c r="J108" s="0" t="n">
        <v>30.94</v>
      </c>
      <c r="K108" s="0" t="n">
        <v>179</v>
      </c>
      <c r="T108" s="0" t="n">
        <v>1</v>
      </c>
      <c r="U108" s="0" t="n">
        <v>1</v>
      </c>
      <c r="V108" s="0" t="inlineStr">
        <is>
          <t>복도식</t>
        </is>
      </c>
      <c r="W108" s="0" t="n">
        <v>40</v>
      </c>
      <c r="X108" s="0" t="n">
        <v>11</v>
      </c>
      <c r="Y108" s="0" t="n">
        <v>11</v>
      </c>
      <c r="Z108" s="0" t="inlineStr">
        <is>
          <t>https://new.land.naver.com/complexes/102759?tab=detail&amp;rf=Y</t>
        </is>
      </c>
      <c r="AA108" s="0" t="inlineStr">
        <is>
          <t>충청북도 청주시 서원구 모충동 520-40</t>
        </is>
      </c>
      <c r="AB108" s="0" t="inlineStr">
        <is>
          <t>충청북도</t>
        </is>
      </c>
      <c r="AC108" s="0" t="inlineStr">
        <is>
          <t>청주시</t>
        </is>
      </c>
      <c r="AD108" s="0" t="inlineStr">
        <is>
          <t>서원구</t>
        </is>
      </c>
      <c r="AE108" s="0" t="inlineStr">
        <is>
          <t>모충동</t>
        </is>
      </c>
      <c r="AG108" s="0" t="inlineStr">
        <is>
          <t>충청북도 청주시 서원구 모충로68번길 26</t>
        </is>
      </c>
      <c r="AH108" s="0" t="n">
        <v>0</v>
      </c>
      <c r="AI108" s="0" t="n">
        <v>300</v>
      </c>
      <c r="AJ108" s="0" t="n">
        <v>54</v>
      </c>
      <c r="AK108" s="0" t="n">
        <v>146</v>
      </c>
      <c r="AL108" s="0" t="n">
        <v>0.74</v>
      </c>
    </row>
    <row r="109">
      <c r="A109" s="0" t="inlineStr">
        <is>
          <t>[모충동]</t>
        </is>
      </c>
      <c r="B109" s="0" t="n">
        <v>102759</v>
      </c>
      <c r="C109" s="0" t="n">
        <v>3</v>
      </c>
      <c r="D109" s="0" t="inlineStr">
        <is>
          <t>일신베네스트</t>
        </is>
      </c>
      <c r="E109" s="0" t="inlineStr">
        <is>
          <t>2004.11.</t>
        </is>
      </c>
      <c r="F109" s="0" t="n">
        <v>198</v>
      </c>
      <c r="G109" s="0" t="n">
        <v>15.34</v>
      </c>
      <c r="H109" s="0" t="n">
        <v>50.72</v>
      </c>
      <c r="I109" s="0" t="n">
        <v>11.8</v>
      </c>
      <c r="J109" s="0" t="n">
        <v>39.03</v>
      </c>
      <c r="K109" s="0" t="n">
        <v>1</v>
      </c>
      <c r="T109" s="0" t="n">
        <v>2</v>
      </c>
      <c r="U109" s="0" t="n">
        <v>1</v>
      </c>
      <c r="V109" s="0" t="inlineStr">
        <is>
          <t>복도식</t>
        </is>
      </c>
      <c r="W109" s="0" t="n">
        <v>50</v>
      </c>
      <c r="X109" s="0" t="n">
        <v>11</v>
      </c>
      <c r="Y109" s="0" t="n">
        <v>11</v>
      </c>
      <c r="Z109" s="0" t="inlineStr">
        <is>
          <t>https://new.land.naver.com/complexes/102759?tab=detail&amp;rf=Y</t>
        </is>
      </c>
      <c r="AA109" s="0" t="inlineStr">
        <is>
          <t>충청북도 청주시 서원구 모충동 520-40</t>
        </is>
      </c>
      <c r="AB109" s="0" t="inlineStr">
        <is>
          <t>충청북도</t>
        </is>
      </c>
      <c r="AC109" s="0" t="inlineStr">
        <is>
          <t>청주시</t>
        </is>
      </c>
      <c r="AD109" s="0" t="inlineStr">
        <is>
          <t>서원구</t>
        </is>
      </c>
      <c r="AE109" s="0" t="inlineStr">
        <is>
          <t>모충동</t>
        </is>
      </c>
      <c r="AG109" s="0" t="inlineStr">
        <is>
          <t>충청북도 청주시 서원구 모충로68번길 26</t>
        </is>
      </c>
      <c r="AH109" s="0" t="n">
        <v>0</v>
      </c>
      <c r="AI109" s="0" t="n">
        <v>300</v>
      </c>
      <c r="AJ109" s="0" t="n">
        <v>54</v>
      </c>
      <c r="AK109" s="0" t="n">
        <v>146</v>
      </c>
      <c r="AL109" s="0" t="n">
        <v>0.74</v>
      </c>
    </row>
    <row r="110">
      <c r="A110" s="0" t="inlineStr">
        <is>
          <t>[모충동]</t>
        </is>
      </c>
      <c r="B110" s="0" t="n">
        <v>109868</v>
      </c>
      <c r="C110" s="0" t="n">
        <v>1</v>
      </c>
      <c r="D110" s="0" t="inlineStr">
        <is>
          <t>덕일</t>
        </is>
      </c>
      <c r="E110" s="0" t="inlineStr">
        <is>
          <t>1984.12.</t>
        </is>
      </c>
      <c r="F110" s="0" t="n">
        <v>42</v>
      </c>
      <c r="G110" s="0" t="n">
        <v>28.18</v>
      </c>
      <c r="H110" s="0" t="n">
        <v>93.18000000000001</v>
      </c>
      <c r="I110" s="0" t="n">
        <v>19.84</v>
      </c>
      <c r="J110" s="0" t="n">
        <v>65.61</v>
      </c>
      <c r="K110" s="0" t="n">
        <v>6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93</v>
      </c>
      <c r="X110" s="0" t="n">
        <v>5</v>
      </c>
      <c r="Y110" s="0" t="n">
        <v>3</v>
      </c>
      <c r="Z110" s="0" t="inlineStr">
        <is>
          <t>https://new.land.naver.com/complexes/109868?tab=detail&amp;rf=Y</t>
        </is>
      </c>
      <c r="AA110" s="0" t="inlineStr">
        <is>
          <t>충청북도 청주시 서원구 모충동 94-7</t>
        </is>
      </c>
      <c r="AB110" s="0" t="inlineStr">
        <is>
          <t>충청북도</t>
        </is>
      </c>
      <c r="AC110" s="0" t="inlineStr">
        <is>
          <t>청주시</t>
        </is>
      </c>
      <c r="AD110" s="0" t="inlineStr">
        <is>
          <t>서원구</t>
        </is>
      </c>
      <c r="AE110" s="0" t="inlineStr">
        <is>
          <t>모충동</t>
        </is>
      </c>
      <c r="AG110" s="0" t="inlineStr">
        <is>
          <t>충청북도 청주시 서원구 청남로2142번길 15</t>
        </is>
      </c>
      <c r="AH110" s="0" t="n">
        <v>0</v>
      </c>
      <c r="AI110" s="0" t="n">
        <v>0</v>
      </c>
      <c r="AJ110" s="0" t="n">
        <v>0</v>
      </c>
      <c r="AK110" s="0" t="n">
        <v>0</v>
      </c>
      <c r="AL110" s="0" t="n">
        <v>0</v>
      </c>
    </row>
    <row r="111">
      <c r="A111" s="0" t="inlineStr">
        <is>
          <t>[모충동]</t>
        </is>
      </c>
      <c r="B111" s="0" t="n">
        <v>109868</v>
      </c>
      <c r="C111" s="0" t="n">
        <v>2</v>
      </c>
      <c r="D111" s="0" t="inlineStr">
        <is>
          <t>덕일</t>
        </is>
      </c>
      <c r="E111" s="0" t="inlineStr">
        <is>
          <t>1984.12.</t>
        </is>
      </c>
      <c r="F111" s="0" t="n">
        <v>42</v>
      </c>
      <c r="G111" s="0" t="n">
        <v>29.31</v>
      </c>
      <c r="H111" s="0" t="n">
        <v>96.90000000000001</v>
      </c>
      <c r="I111" s="0" t="n">
        <v>20.69</v>
      </c>
      <c r="J111" s="0" t="n">
        <v>68.40000000000001</v>
      </c>
      <c r="K111" s="0" t="n">
        <v>6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96</v>
      </c>
      <c r="X111" s="0" t="n">
        <v>5</v>
      </c>
      <c r="Y111" s="0" t="n">
        <v>3</v>
      </c>
      <c r="Z111" s="0" t="inlineStr">
        <is>
          <t>https://new.land.naver.com/complexes/109868?tab=detail&amp;rf=Y</t>
        </is>
      </c>
      <c r="AA111" s="0" t="inlineStr">
        <is>
          <t>충청북도 청주시 서원구 모충동 94-7</t>
        </is>
      </c>
      <c r="AB111" s="0" t="inlineStr">
        <is>
          <t>충청북도</t>
        </is>
      </c>
      <c r="AC111" s="0" t="inlineStr">
        <is>
          <t>청주시</t>
        </is>
      </c>
      <c r="AD111" s="0" t="inlineStr">
        <is>
          <t>서원구</t>
        </is>
      </c>
      <c r="AE111" s="0" t="inlineStr">
        <is>
          <t>모충동</t>
        </is>
      </c>
      <c r="AG111" s="0" t="inlineStr">
        <is>
          <t>충청북도 청주시 서원구 청남로2142번길 15</t>
        </is>
      </c>
      <c r="AH111" s="0" t="n">
        <v>0</v>
      </c>
      <c r="AI111" s="0" t="n">
        <v>0</v>
      </c>
      <c r="AJ111" s="0" t="n">
        <v>0</v>
      </c>
      <c r="AK111" s="0" t="n">
        <v>0</v>
      </c>
      <c r="AL111" s="0" t="n">
        <v>0</v>
      </c>
    </row>
    <row r="112">
      <c r="A112" s="0" t="inlineStr">
        <is>
          <t>[모충동]</t>
        </is>
      </c>
      <c r="B112" s="0" t="n">
        <v>109868</v>
      </c>
      <c r="C112" s="0" t="n">
        <v>3</v>
      </c>
      <c r="D112" s="0" t="inlineStr">
        <is>
          <t>덕일</t>
        </is>
      </c>
      <c r="E112" s="0" t="inlineStr">
        <is>
          <t>1984.12.</t>
        </is>
      </c>
      <c r="F112" s="0" t="n">
        <v>42</v>
      </c>
      <c r="G112" s="0" t="n">
        <v>31.4</v>
      </c>
      <c r="H112" s="0" t="n">
        <v>103.83</v>
      </c>
      <c r="I112" s="0" t="n">
        <v>23.71</v>
      </c>
      <c r="J112" s="0" t="n">
        <v>78.39</v>
      </c>
      <c r="K112" s="0" t="n">
        <v>24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103B</t>
        </is>
      </c>
      <c r="X112" s="0" t="n">
        <v>5</v>
      </c>
      <c r="Y112" s="0" t="n">
        <v>3</v>
      </c>
      <c r="Z112" s="0" t="inlineStr">
        <is>
          <t>https://new.land.naver.com/complexes/109868?tab=detail&amp;rf=Y</t>
        </is>
      </c>
      <c r="AA112" s="0" t="inlineStr">
        <is>
          <t>충청북도 청주시 서원구 모충동 94-7</t>
        </is>
      </c>
      <c r="AB112" s="0" t="inlineStr">
        <is>
          <t>충청북도</t>
        </is>
      </c>
      <c r="AC112" s="0" t="inlineStr">
        <is>
          <t>청주시</t>
        </is>
      </c>
      <c r="AD112" s="0" t="inlineStr">
        <is>
          <t>서원구</t>
        </is>
      </c>
      <c r="AE112" s="0" t="inlineStr">
        <is>
          <t>모충동</t>
        </is>
      </c>
      <c r="AG112" s="0" t="inlineStr">
        <is>
          <t>충청북도 청주시 서원구 청남로2142번길 15</t>
        </is>
      </c>
      <c r="AH112" s="0" t="n">
        <v>0</v>
      </c>
      <c r="AI112" s="0" t="n">
        <v>0</v>
      </c>
      <c r="AJ112" s="0" t="n">
        <v>0</v>
      </c>
      <c r="AK112" s="0" t="n">
        <v>0</v>
      </c>
      <c r="AL112" s="0" t="n">
        <v>0</v>
      </c>
    </row>
    <row r="113">
      <c r="A113" s="0" t="inlineStr">
        <is>
          <t>[모충동]</t>
        </is>
      </c>
      <c r="B113" s="0" t="n">
        <v>109868</v>
      </c>
      <c r="C113" s="0" t="n">
        <v>4</v>
      </c>
      <c r="D113" s="0" t="inlineStr">
        <is>
          <t>덕일</t>
        </is>
      </c>
      <c r="E113" s="0" t="inlineStr">
        <is>
          <t>1984.12.</t>
        </is>
      </c>
      <c r="F113" s="0" t="n">
        <v>42</v>
      </c>
      <c r="G113" s="0" t="n">
        <v>31.39</v>
      </c>
      <c r="H113" s="0" t="n">
        <v>103.78</v>
      </c>
      <c r="I113" s="0" t="n">
        <v>23.69</v>
      </c>
      <c r="J113" s="0" t="n">
        <v>78.34</v>
      </c>
      <c r="K113" s="0" t="n">
        <v>1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103A</t>
        </is>
      </c>
      <c r="X113" s="0" t="n">
        <v>5</v>
      </c>
      <c r="Y113" s="0" t="n">
        <v>3</v>
      </c>
      <c r="Z113" s="0" t="inlineStr">
        <is>
          <t>https://new.land.naver.com/complexes/109868?tab=detail&amp;rf=Y</t>
        </is>
      </c>
      <c r="AA113" s="0" t="inlineStr">
        <is>
          <t>충청북도 청주시 서원구 모충동 94-7</t>
        </is>
      </c>
      <c r="AB113" s="0" t="inlineStr">
        <is>
          <t>충청북도</t>
        </is>
      </c>
      <c r="AC113" s="0" t="inlineStr">
        <is>
          <t>청주시</t>
        </is>
      </c>
      <c r="AD113" s="0" t="inlineStr">
        <is>
          <t>서원구</t>
        </is>
      </c>
      <c r="AE113" s="0" t="inlineStr">
        <is>
          <t>모충동</t>
        </is>
      </c>
      <c r="AG113" s="0" t="inlineStr">
        <is>
          <t>충청북도 청주시 서원구 청남로2142번길 15</t>
        </is>
      </c>
      <c r="AH113" s="0" t="n">
        <v>0</v>
      </c>
      <c r="AI113" s="0" t="n">
        <v>0</v>
      </c>
      <c r="AJ113" s="0" t="n">
        <v>0</v>
      </c>
      <c r="AK113" s="0" t="n">
        <v>0</v>
      </c>
      <c r="AL113" s="0" t="n">
        <v>0</v>
      </c>
    </row>
    <row r="114">
      <c r="A114" s="0" t="inlineStr">
        <is>
          <t>[모충동]</t>
        </is>
      </c>
      <c r="B114" s="0" t="n">
        <v>109868</v>
      </c>
      <c r="C114" s="0" t="n">
        <v>5</v>
      </c>
      <c r="D114" s="0" t="inlineStr">
        <is>
          <t>덕일</t>
        </is>
      </c>
      <c r="E114" s="0" t="inlineStr">
        <is>
          <t>1984.12.</t>
        </is>
      </c>
      <c r="F114" s="0" t="n">
        <v>42</v>
      </c>
      <c r="G114" s="0" t="n">
        <v>33.12</v>
      </c>
      <c r="H114" s="0" t="n">
        <v>109.49</v>
      </c>
      <c r="I114" s="0" t="n">
        <v>25.1</v>
      </c>
      <c r="J114" s="0" t="n">
        <v>82.98</v>
      </c>
      <c r="K114" s="0" t="n">
        <v>5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109</v>
      </c>
      <c r="X114" s="0" t="n">
        <v>5</v>
      </c>
      <c r="Y114" s="0" t="n">
        <v>3</v>
      </c>
      <c r="Z114" s="0" t="inlineStr">
        <is>
          <t>https://new.land.naver.com/complexes/109868?tab=detail&amp;rf=Y</t>
        </is>
      </c>
      <c r="AA114" s="0" t="inlineStr">
        <is>
          <t>충청북도 청주시 서원구 모충동 94-7</t>
        </is>
      </c>
      <c r="AB114" s="0" t="inlineStr">
        <is>
          <t>충청북도</t>
        </is>
      </c>
      <c r="AC114" s="0" t="inlineStr">
        <is>
          <t>청주시</t>
        </is>
      </c>
      <c r="AD114" s="0" t="inlineStr">
        <is>
          <t>서원구</t>
        </is>
      </c>
      <c r="AE114" s="0" t="inlineStr">
        <is>
          <t>모충동</t>
        </is>
      </c>
      <c r="AG114" s="0" t="inlineStr">
        <is>
          <t>충청북도 청주시 서원구 청남로2142번길 15</t>
        </is>
      </c>
      <c r="AH114" s="0" t="n">
        <v>0</v>
      </c>
      <c r="AI114" s="0" t="n">
        <v>0</v>
      </c>
      <c r="AJ114" s="0" t="n">
        <v>0</v>
      </c>
      <c r="AK114" s="0" t="n">
        <v>0</v>
      </c>
      <c r="AL114" s="0" t="n">
        <v>0</v>
      </c>
    </row>
    <row r="115">
      <c r="A115" s="0" t="inlineStr">
        <is>
          <t>[모충동]</t>
        </is>
      </c>
      <c r="B115" s="0" t="n">
        <v>7307</v>
      </c>
      <c r="C115" s="0" t="n">
        <v>1</v>
      </c>
      <c r="D115" s="0" t="inlineStr">
        <is>
          <t>주공</t>
        </is>
      </c>
      <c r="E115" s="0" t="inlineStr">
        <is>
          <t>1985.11.</t>
        </is>
      </c>
      <c r="F115" s="0" t="n">
        <v>330</v>
      </c>
      <c r="G115" s="0" t="n">
        <v>13.28</v>
      </c>
      <c r="H115" s="0" t="n">
        <v>43.92</v>
      </c>
      <c r="I115" s="0" t="n">
        <v>11.65</v>
      </c>
      <c r="J115" s="0" t="n">
        <v>38.52</v>
      </c>
      <c r="K115" s="0" t="n">
        <v>190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43</v>
      </c>
      <c r="X115" s="0" t="n">
        <v>5</v>
      </c>
      <c r="Y115" s="0" t="n">
        <v>5</v>
      </c>
      <c r="Z115" s="0" t="inlineStr">
        <is>
          <t>https://new.land.naver.com/complexes/7307?tab=detail&amp;rf=Y</t>
        </is>
      </c>
      <c r="AA115" s="0" t="inlineStr">
        <is>
          <t>충청북도 청주시 서원구 모충동 452</t>
        </is>
      </c>
      <c r="AB115" s="0" t="inlineStr">
        <is>
          <t>충청북도</t>
        </is>
      </c>
      <c r="AC115" s="0" t="inlineStr">
        <is>
          <t>청주시</t>
        </is>
      </c>
      <c r="AD115" s="0" t="inlineStr">
        <is>
          <t>서원구</t>
        </is>
      </c>
      <c r="AE115" s="0" t="inlineStr">
        <is>
          <t>모충동</t>
        </is>
      </c>
      <c r="AG115" s="0" t="inlineStr">
        <is>
          <t>충청북도 청주시 서원구 쌍샘로 81</t>
        </is>
      </c>
      <c r="AH115" s="0" t="n">
        <v>0</v>
      </c>
      <c r="AI115" s="0" t="n">
        <v>0</v>
      </c>
      <c r="AJ115" s="0" t="n">
        <v>0</v>
      </c>
      <c r="AK115" s="0" t="n">
        <v>231</v>
      </c>
      <c r="AL115" s="0" t="n">
        <v>0.7</v>
      </c>
    </row>
    <row r="116">
      <c r="A116" s="0" t="inlineStr">
        <is>
          <t>[모충동]</t>
        </is>
      </c>
      <c r="B116" s="0" t="n">
        <v>7307</v>
      </c>
      <c r="C116" s="0" t="n">
        <v>2</v>
      </c>
      <c r="D116" s="0" t="inlineStr">
        <is>
          <t>주공</t>
        </is>
      </c>
      <c r="E116" s="0" t="inlineStr">
        <is>
          <t>1985.11.</t>
        </is>
      </c>
      <c r="F116" s="0" t="n">
        <v>330</v>
      </c>
      <c r="G116" s="0" t="n">
        <v>15.92</v>
      </c>
      <c r="H116" s="0" t="n">
        <v>52.65</v>
      </c>
      <c r="I116" s="0" t="n">
        <v>14.29</v>
      </c>
      <c r="J116" s="0" t="n">
        <v>47.25</v>
      </c>
      <c r="K116" s="0" t="n">
        <v>140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52</v>
      </c>
      <c r="X116" s="0" t="n">
        <v>5</v>
      </c>
      <c r="Y116" s="0" t="n">
        <v>5</v>
      </c>
      <c r="Z116" s="0" t="inlineStr">
        <is>
          <t>https://new.land.naver.com/complexes/7307?tab=detail&amp;rf=Y</t>
        </is>
      </c>
      <c r="AA116" s="0" t="inlineStr">
        <is>
          <t>충청북도 청주시 서원구 모충동 452</t>
        </is>
      </c>
      <c r="AB116" s="0" t="inlineStr">
        <is>
          <t>충청북도</t>
        </is>
      </c>
      <c r="AC116" s="0" t="inlineStr">
        <is>
          <t>청주시</t>
        </is>
      </c>
      <c r="AD116" s="0" t="inlineStr">
        <is>
          <t>서원구</t>
        </is>
      </c>
      <c r="AE116" s="0" t="inlineStr">
        <is>
          <t>모충동</t>
        </is>
      </c>
      <c r="AG116" s="0" t="inlineStr">
        <is>
          <t>충청북도 청주시 서원구 쌍샘로 81</t>
        </is>
      </c>
      <c r="AH116" s="0" t="n">
        <v>0</v>
      </c>
      <c r="AI116" s="0" t="n">
        <v>0</v>
      </c>
      <c r="AJ116" s="0" t="n">
        <v>0</v>
      </c>
      <c r="AK116" s="0" t="n">
        <v>231</v>
      </c>
      <c r="AL116" s="0" t="n">
        <v>0.7</v>
      </c>
    </row>
    <row r="117">
      <c r="A117" s="0" t="inlineStr">
        <is>
          <t>[모충동]</t>
        </is>
      </c>
      <c r="B117" s="0" t="n">
        <v>15433</v>
      </c>
      <c r="C117" s="0" t="n">
        <v>1</v>
      </c>
      <c r="D117" s="0" t="inlineStr">
        <is>
          <t>그린맨션</t>
        </is>
      </c>
      <c r="E117" s="0" t="inlineStr">
        <is>
          <t>1987.08.</t>
        </is>
      </c>
      <c r="F117" s="0" t="n">
        <v>96</v>
      </c>
      <c r="G117" s="0" t="n">
        <v>24.6</v>
      </c>
      <c r="H117" s="0" t="n">
        <v>81.33</v>
      </c>
      <c r="I117" s="0" t="n">
        <v>22.27</v>
      </c>
      <c r="J117" s="0" t="n">
        <v>73.62</v>
      </c>
      <c r="K117" s="0" t="n">
        <v>24</v>
      </c>
      <c r="T117" s="0" t="n">
        <v>3</v>
      </c>
      <c r="U117" s="0" t="n">
        <v>1</v>
      </c>
      <c r="V117" s="0" t="inlineStr">
        <is>
          <t>복도식</t>
        </is>
      </c>
      <c r="W117" s="0" t="n">
        <v>81</v>
      </c>
      <c r="X117" s="0" t="n">
        <v>6</v>
      </c>
      <c r="Y117" s="0" t="n">
        <v>6</v>
      </c>
      <c r="Z117" s="0" t="inlineStr">
        <is>
          <t>https://new.land.naver.com/complexes/15433?tab=detail&amp;rf=Y</t>
        </is>
      </c>
      <c r="AA117" s="0" t="inlineStr">
        <is>
          <t>충청북도 청주시 서원구 모충동 487-35</t>
        </is>
      </c>
      <c r="AB117" s="0" t="inlineStr">
        <is>
          <t>충청북도</t>
        </is>
      </c>
      <c r="AC117" s="0" t="inlineStr">
        <is>
          <t>청주시</t>
        </is>
      </c>
      <c r="AD117" s="0" t="inlineStr">
        <is>
          <t>서원구</t>
        </is>
      </c>
      <c r="AE117" s="0" t="inlineStr">
        <is>
          <t>모충동</t>
        </is>
      </c>
      <c r="AG117" s="0" t="inlineStr">
        <is>
          <t>충청북도 청주시 서원구 모충로96번길 51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[모충동]</t>
        </is>
      </c>
      <c r="B118" s="0" t="n">
        <v>15433</v>
      </c>
      <c r="C118" s="0" t="n">
        <v>2</v>
      </c>
      <c r="D118" s="0" t="inlineStr">
        <is>
          <t>그린맨션</t>
        </is>
      </c>
      <c r="E118" s="0" t="inlineStr">
        <is>
          <t>1987.08.</t>
        </is>
      </c>
      <c r="F118" s="0" t="n">
        <v>96</v>
      </c>
      <c r="G118" s="0" t="n">
        <v>26.69</v>
      </c>
      <c r="H118" s="0" t="n">
        <v>88.23999999999999</v>
      </c>
      <c r="I118" s="0" t="n">
        <v>24.2</v>
      </c>
      <c r="J118" s="0" t="n">
        <v>80.01000000000001</v>
      </c>
      <c r="K118" s="0" t="n">
        <v>72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88</v>
      </c>
      <c r="X118" s="0" t="n">
        <v>6</v>
      </c>
      <c r="Y118" s="0" t="n">
        <v>6</v>
      </c>
      <c r="Z118" s="0" t="inlineStr">
        <is>
          <t>https://new.land.naver.com/complexes/15433?tab=detail&amp;rf=Y</t>
        </is>
      </c>
      <c r="AA118" s="0" t="inlineStr">
        <is>
          <t>충청북도 청주시 서원구 모충동 487-35</t>
        </is>
      </c>
      <c r="AB118" s="0" t="inlineStr">
        <is>
          <t>충청북도</t>
        </is>
      </c>
      <c r="AC118" s="0" t="inlineStr">
        <is>
          <t>청주시</t>
        </is>
      </c>
      <c r="AD118" s="0" t="inlineStr">
        <is>
          <t>서원구</t>
        </is>
      </c>
      <c r="AE118" s="0" t="inlineStr">
        <is>
          <t>모충동</t>
        </is>
      </c>
      <c r="AG118" s="0" t="inlineStr">
        <is>
          <t>충청북도 청주시 서원구 모충로96번길 51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[모충동]</t>
        </is>
      </c>
      <c r="B119" s="0" t="n">
        <v>15434</v>
      </c>
      <c r="C119" s="0" t="n">
        <v>1</v>
      </c>
      <c r="D119" s="0" t="inlineStr">
        <is>
          <t>모충청송</t>
        </is>
      </c>
      <c r="E119" s="0" t="inlineStr">
        <is>
          <t>1994.07.</t>
        </is>
      </c>
      <c r="F119" s="0" t="n">
        <v>94</v>
      </c>
      <c r="G119" s="0" t="n">
        <v>24.36</v>
      </c>
      <c r="H119" s="0" t="n">
        <v>80.55</v>
      </c>
      <c r="I119" s="0" t="n">
        <v>18.11</v>
      </c>
      <c r="J119" s="0" t="n">
        <v>59.9</v>
      </c>
      <c r="K119" s="0" t="n">
        <v>94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80</v>
      </c>
      <c r="X119" s="0" t="n">
        <v>15</v>
      </c>
      <c r="Y119" s="0" t="n">
        <v>11</v>
      </c>
      <c r="Z119" s="0" t="inlineStr">
        <is>
          <t>https://new.land.naver.com/complexes/15434?tab=detail&amp;rf=Y</t>
        </is>
      </c>
      <c r="AA119" s="0" t="inlineStr">
        <is>
          <t>충청북도 청주시 서원구 모충동 342</t>
        </is>
      </c>
      <c r="AB119" s="0" t="inlineStr">
        <is>
          <t>충청북도</t>
        </is>
      </c>
      <c r="AC119" s="0" t="inlineStr">
        <is>
          <t>청주시</t>
        </is>
      </c>
      <c r="AD119" s="0" t="inlineStr">
        <is>
          <t>서원구</t>
        </is>
      </c>
      <c r="AE119" s="0" t="inlineStr">
        <is>
          <t>모충동</t>
        </is>
      </c>
      <c r="AG119" s="0" t="inlineStr">
        <is>
          <t>충청북도 청주시 서원구 모충로 164</t>
        </is>
      </c>
      <c r="AH119" s="0" t="n">
        <v>0</v>
      </c>
      <c r="AI119" s="0" t="n">
        <v>274</v>
      </c>
      <c r="AJ119" s="0" t="n">
        <v>23</v>
      </c>
      <c r="AK119" s="0" t="n">
        <v>19</v>
      </c>
      <c r="AL119" s="0" t="n">
        <v>0.2</v>
      </c>
    </row>
    <row r="120">
      <c r="A120" s="0" t="inlineStr">
        <is>
          <t>[모충동]</t>
        </is>
      </c>
      <c r="B120" s="0" t="n">
        <v>112518</v>
      </c>
      <c r="C120" s="0" t="n">
        <v>1</v>
      </c>
      <c r="D120" s="0" t="inlineStr">
        <is>
          <t>삼덕</t>
        </is>
      </c>
      <c r="E120" s="0" t="inlineStr">
        <is>
          <t>1997.03.</t>
        </is>
      </c>
      <c r="F120" s="0" t="n">
        <v>84</v>
      </c>
      <c r="G120" s="0" t="n">
        <v>12.91</v>
      </c>
      <c r="H120" s="0" t="n">
        <v>42.68</v>
      </c>
      <c r="I120" s="0" t="n">
        <v>9.83</v>
      </c>
      <c r="J120" s="0" t="n">
        <v>32.52</v>
      </c>
      <c r="K120" s="0" t="n">
        <v>84</v>
      </c>
      <c r="T120" s="0" t="n">
        <v>1</v>
      </c>
      <c r="U120" s="0" t="n">
        <v>1</v>
      </c>
      <c r="V120" s="0" t="inlineStr">
        <is>
          <t>복도식</t>
        </is>
      </c>
      <c r="W120" s="0" t="n">
        <v>42</v>
      </c>
      <c r="X120" s="0" t="n">
        <v>9</v>
      </c>
      <c r="Y120" s="0" t="n">
        <v>5</v>
      </c>
      <c r="Z120" s="0" t="inlineStr">
        <is>
          <t>https://new.land.naver.com/complexes/112518?tab=detail&amp;rf=Y</t>
        </is>
      </c>
      <c r="AA120" s="0" t="inlineStr">
        <is>
          <t>충청북도 청주시 서원구 모충동 490-1</t>
        </is>
      </c>
      <c r="AB120" s="0" t="inlineStr">
        <is>
          <t>충청북도</t>
        </is>
      </c>
      <c r="AC120" s="0" t="inlineStr">
        <is>
          <t>청주시</t>
        </is>
      </c>
      <c r="AD120" s="0" t="inlineStr">
        <is>
          <t>서원구</t>
        </is>
      </c>
      <c r="AE120" s="0" t="inlineStr">
        <is>
          <t>모충동</t>
        </is>
      </c>
      <c r="AG120" s="0" t="inlineStr">
        <is>
          <t>충청북도 청주시 서원구 쌍샘로107번길 25</t>
        </is>
      </c>
      <c r="AH120" s="0" t="n">
        <v>0</v>
      </c>
      <c r="AI120" s="0" t="n">
        <v>193</v>
      </c>
      <c r="AJ120" s="0" t="n">
        <v>25</v>
      </c>
      <c r="AK120" s="0" t="n">
        <v>41</v>
      </c>
      <c r="AL120" s="0" t="n">
        <v>0.49</v>
      </c>
    </row>
    <row r="121">
      <c r="A121" s="0" t="inlineStr">
        <is>
          <t>[모충동]</t>
        </is>
      </c>
      <c r="B121" s="0" t="n">
        <v>7300</v>
      </c>
      <c r="C121" s="0" t="n">
        <v>1</v>
      </c>
      <c r="D121" s="0" t="inlineStr">
        <is>
          <t>삼익세라믹</t>
        </is>
      </c>
      <c r="E121" s="0" t="inlineStr">
        <is>
          <t>1989.08.</t>
        </is>
      </c>
      <c r="F121" s="0" t="n">
        <v>229</v>
      </c>
      <c r="G121" s="0" t="n">
        <v>22.22</v>
      </c>
      <c r="H121" s="0" t="n">
        <v>73.47</v>
      </c>
      <c r="I121" s="0" t="n">
        <v>18.62</v>
      </c>
      <c r="J121" s="0" t="n">
        <v>61.56</v>
      </c>
      <c r="K121" s="0" t="n">
        <v>42</v>
      </c>
      <c r="T121" s="0" t="n">
        <v>2</v>
      </c>
      <c r="U121" s="0" t="n">
        <v>1</v>
      </c>
      <c r="V121" s="0" t="inlineStr">
        <is>
          <t>계단식</t>
        </is>
      </c>
      <c r="W121" s="0" t="n">
        <v>73</v>
      </c>
      <c r="X121" s="0" t="n">
        <v>15</v>
      </c>
      <c r="Y121" s="0" t="n">
        <v>8</v>
      </c>
      <c r="Z121" s="0" t="inlineStr">
        <is>
          <t>https://new.land.naver.com/complexes/7300?tab=detail&amp;rf=Y</t>
        </is>
      </c>
      <c r="AA121" s="0" t="inlineStr">
        <is>
          <t>충청북도 청주시 서원구 모충동 374-1</t>
        </is>
      </c>
      <c r="AB121" s="0" t="inlineStr">
        <is>
          <t>충청북도</t>
        </is>
      </c>
      <c r="AC121" s="0" t="inlineStr">
        <is>
          <t>청주시</t>
        </is>
      </c>
      <c r="AD121" s="0" t="inlineStr">
        <is>
          <t>서원구</t>
        </is>
      </c>
      <c r="AE121" s="0" t="inlineStr">
        <is>
          <t>모충동</t>
        </is>
      </c>
      <c r="AG121" s="0" t="inlineStr">
        <is>
          <t>충청북도 청주시 서원구 서원서로 27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[모충동]</t>
        </is>
      </c>
      <c r="B122" s="0" t="n">
        <v>7300</v>
      </c>
      <c r="C122" s="0" t="n">
        <v>2</v>
      </c>
      <c r="D122" s="0" t="inlineStr">
        <is>
          <t>삼익세라믹</t>
        </is>
      </c>
      <c r="E122" s="0" t="inlineStr">
        <is>
          <t>1989.08.</t>
        </is>
      </c>
      <c r="F122" s="0" t="n">
        <v>229</v>
      </c>
      <c r="G122" s="0" t="n">
        <v>26.54</v>
      </c>
      <c r="H122" s="0" t="n">
        <v>87.73999999999999</v>
      </c>
      <c r="I122" s="0" t="n">
        <v>22.18</v>
      </c>
      <c r="J122" s="0" t="n">
        <v>73.34999999999999</v>
      </c>
      <c r="K122" s="0" t="n">
        <v>1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87A</t>
        </is>
      </c>
      <c r="X122" s="0" t="n">
        <v>15</v>
      </c>
      <c r="Y122" s="0" t="n">
        <v>8</v>
      </c>
      <c r="Z122" s="0" t="inlineStr">
        <is>
          <t>https://new.land.naver.com/complexes/7300?tab=detail&amp;rf=Y</t>
        </is>
      </c>
      <c r="AA122" s="0" t="inlineStr">
        <is>
          <t>충청북도 청주시 서원구 모충동 374-1</t>
        </is>
      </c>
      <c r="AB122" s="0" t="inlineStr">
        <is>
          <t>충청북도</t>
        </is>
      </c>
      <c r="AC122" s="0" t="inlineStr">
        <is>
          <t>청주시</t>
        </is>
      </c>
      <c r="AD122" s="0" t="inlineStr">
        <is>
          <t>서원구</t>
        </is>
      </c>
      <c r="AE122" s="0" t="inlineStr">
        <is>
          <t>모충동</t>
        </is>
      </c>
      <c r="AG122" s="0" t="inlineStr">
        <is>
          <t>충청북도 청주시 서원구 서원서로 27</t>
        </is>
      </c>
      <c r="AH122" s="0" t="n">
        <v>0</v>
      </c>
      <c r="AI122" s="0" t="n">
        <v>0</v>
      </c>
      <c r="AJ122" s="0" t="n">
        <v>0</v>
      </c>
      <c r="AK122" s="0" t="n">
        <v>0</v>
      </c>
      <c r="AL122" s="0" t="n">
        <v>0</v>
      </c>
    </row>
    <row r="123">
      <c r="A123" s="0" t="inlineStr">
        <is>
          <t>[모충동]</t>
        </is>
      </c>
      <c r="B123" s="0" t="n">
        <v>7300</v>
      </c>
      <c r="C123" s="0" t="n">
        <v>3</v>
      </c>
      <c r="D123" s="0" t="inlineStr">
        <is>
          <t>삼익세라믹</t>
        </is>
      </c>
      <c r="E123" s="0" t="inlineStr">
        <is>
          <t>1989.08.</t>
        </is>
      </c>
      <c r="F123" s="0" t="n">
        <v>229</v>
      </c>
      <c r="G123" s="0" t="n">
        <v>26.83</v>
      </c>
      <c r="H123" s="0" t="n">
        <v>88.72</v>
      </c>
      <c r="I123" s="0" t="n">
        <v>22.49</v>
      </c>
      <c r="J123" s="0" t="n">
        <v>74.34999999999999</v>
      </c>
      <c r="K123" s="0" t="n">
        <v>39</v>
      </c>
      <c r="T123" s="0" t="n">
        <v>3</v>
      </c>
      <c r="U123" s="0" t="n">
        <v>1</v>
      </c>
      <c r="V123" s="0" t="inlineStr">
        <is>
          <t>계단식</t>
        </is>
      </c>
      <c r="W123" s="0" t="inlineStr">
        <is>
          <t>88B</t>
        </is>
      </c>
      <c r="X123" s="0" t="n">
        <v>15</v>
      </c>
      <c r="Y123" s="0" t="n">
        <v>8</v>
      </c>
      <c r="Z123" s="0" t="inlineStr">
        <is>
          <t>https://new.land.naver.com/complexes/7300?tab=detail&amp;rf=Y</t>
        </is>
      </c>
      <c r="AA123" s="0" t="inlineStr">
        <is>
          <t>충청북도 청주시 서원구 모충동 374-1</t>
        </is>
      </c>
      <c r="AB123" s="0" t="inlineStr">
        <is>
          <t>충청북도</t>
        </is>
      </c>
      <c r="AC123" s="0" t="inlineStr">
        <is>
          <t>청주시</t>
        </is>
      </c>
      <c r="AD123" s="0" t="inlineStr">
        <is>
          <t>서원구</t>
        </is>
      </c>
      <c r="AE123" s="0" t="inlineStr">
        <is>
          <t>모충동</t>
        </is>
      </c>
      <c r="AG123" s="0" t="inlineStr">
        <is>
          <t>충청북도 청주시 서원구 서원서로 27</t>
        </is>
      </c>
      <c r="AH123" s="0" t="n">
        <v>0</v>
      </c>
      <c r="AI123" s="0" t="n">
        <v>0</v>
      </c>
      <c r="AJ123" s="0" t="n">
        <v>0</v>
      </c>
      <c r="AK123" s="0" t="n">
        <v>0</v>
      </c>
      <c r="AL123" s="0" t="n">
        <v>0</v>
      </c>
    </row>
    <row r="124">
      <c r="A124" s="0" t="inlineStr">
        <is>
          <t>[모충동]</t>
        </is>
      </c>
      <c r="B124" s="0" t="n">
        <v>7300</v>
      </c>
      <c r="C124" s="0" t="n">
        <v>4</v>
      </c>
      <c r="D124" s="0" t="inlineStr">
        <is>
          <t>삼익세라믹</t>
        </is>
      </c>
      <c r="E124" s="0" t="inlineStr">
        <is>
          <t>1989.08.</t>
        </is>
      </c>
      <c r="F124" s="0" t="n">
        <v>229</v>
      </c>
      <c r="G124" s="0" t="n">
        <v>30.22</v>
      </c>
      <c r="H124" s="0" t="n">
        <v>99.91</v>
      </c>
      <c r="I124" s="0" t="n">
        <v>25.11</v>
      </c>
      <c r="J124" s="0" t="n">
        <v>83.01000000000001</v>
      </c>
      <c r="K124" s="0" t="n">
        <v>90</v>
      </c>
      <c r="T124" s="0" t="n">
        <v>3</v>
      </c>
      <c r="U124" s="0" t="n">
        <v>1</v>
      </c>
      <c r="V124" s="0" t="inlineStr">
        <is>
          <t>계단식</t>
        </is>
      </c>
      <c r="W124" s="0" t="n">
        <v>99</v>
      </c>
      <c r="X124" s="0" t="n">
        <v>15</v>
      </c>
      <c r="Y124" s="0" t="n">
        <v>8</v>
      </c>
      <c r="Z124" s="0" t="inlineStr">
        <is>
          <t>https://new.land.naver.com/complexes/7300?tab=detail&amp;rf=Y</t>
        </is>
      </c>
      <c r="AA124" s="0" t="inlineStr">
        <is>
          <t>충청북도 청주시 서원구 모충동 374-1</t>
        </is>
      </c>
      <c r="AB124" s="0" t="inlineStr">
        <is>
          <t>충청북도</t>
        </is>
      </c>
      <c r="AC124" s="0" t="inlineStr">
        <is>
          <t>청주시</t>
        </is>
      </c>
      <c r="AD124" s="0" t="inlineStr">
        <is>
          <t>서원구</t>
        </is>
      </c>
      <c r="AE124" s="0" t="inlineStr">
        <is>
          <t>모충동</t>
        </is>
      </c>
      <c r="AG124" s="0" t="inlineStr">
        <is>
          <t>충청북도 청주시 서원구 서원서로 27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[모충동]</t>
        </is>
      </c>
      <c r="B125" s="0" t="n">
        <v>7300</v>
      </c>
      <c r="C125" s="0" t="n">
        <v>5</v>
      </c>
      <c r="D125" s="0" t="inlineStr">
        <is>
          <t>삼익세라믹</t>
        </is>
      </c>
      <c r="E125" s="0" t="inlineStr">
        <is>
          <t>1989.08.</t>
        </is>
      </c>
      <c r="F125" s="0" t="n">
        <v>229</v>
      </c>
      <c r="G125" s="0" t="n">
        <v>30.59</v>
      </c>
      <c r="H125" s="0" t="n">
        <v>101.14</v>
      </c>
      <c r="I125" s="0" t="n">
        <v>25.63</v>
      </c>
      <c r="J125" s="0" t="n">
        <v>84.75</v>
      </c>
      <c r="K125" s="0" t="n">
        <v>57</v>
      </c>
      <c r="T125" s="0" t="n">
        <v>3</v>
      </c>
      <c r="U125" s="0" t="n">
        <v>1</v>
      </c>
      <c r="V125" s="0" t="inlineStr">
        <is>
          <t>계단식</t>
        </is>
      </c>
      <c r="W125" s="0" t="n">
        <v>101</v>
      </c>
      <c r="X125" s="0" t="n">
        <v>15</v>
      </c>
      <c r="Y125" s="0" t="n">
        <v>8</v>
      </c>
      <c r="Z125" s="0" t="inlineStr">
        <is>
          <t>https://new.land.naver.com/complexes/7300?tab=detail&amp;rf=Y</t>
        </is>
      </c>
      <c r="AA125" s="0" t="inlineStr">
        <is>
          <t>충청북도 청주시 서원구 모충동 374-1</t>
        </is>
      </c>
      <c r="AB125" s="0" t="inlineStr">
        <is>
          <t>충청북도</t>
        </is>
      </c>
      <c r="AC125" s="0" t="inlineStr">
        <is>
          <t>청주시</t>
        </is>
      </c>
      <c r="AD125" s="0" t="inlineStr">
        <is>
          <t>서원구</t>
        </is>
      </c>
      <c r="AE125" s="0" t="inlineStr">
        <is>
          <t>모충동</t>
        </is>
      </c>
      <c r="AG125" s="0" t="inlineStr">
        <is>
          <t>충청북도 청주시 서원구 서원서로 27</t>
        </is>
      </c>
      <c r="AH125" s="0" t="n">
        <v>0</v>
      </c>
      <c r="AI125" s="0" t="n">
        <v>0</v>
      </c>
      <c r="AJ125" s="0" t="n">
        <v>0</v>
      </c>
      <c r="AK125" s="0" t="n">
        <v>0</v>
      </c>
      <c r="AL125" s="0" t="n">
        <v>0</v>
      </c>
    </row>
    <row r="126">
      <c r="A126" s="0" t="inlineStr">
        <is>
          <t>[모충동]</t>
        </is>
      </c>
      <c r="B126" s="0" t="n">
        <v>110869</v>
      </c>
      <c r="C126" s="0" t="n">
        <v>1</v>
      </c>
      <c r="D126" s="0" t="inlineStr">
        <is>
          <t>모충동일센타시아</t>
        </is>
      </c>
      <c r="E126" s="0" t="inlineStr">
        <is>
          <t>2016.05.</t>
        </is>
      </c>
      <c r="F126" s="0" t="n">
        <v>240</v>
      </c>
      <c r="G126" s="0" t="n">
        <v>25.81</v>
      </c>
      <c r="H126" s="0" t="n">
        <v>85.34999999999999</v>
      </c>
      <c r="I126" s="0" t="n">
        <v>19.27</v>
      </c>
      <c r="J126" s="0" t="n">
        <v>63.72</v>
      </c>
      <c r="K126" s="0" t="n">
        <v>89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85A</t>
        </is>
      </c>
      <c r="X126" s="0" t="n">
        <v>19</v>
      </c>
      <c r="Y126" s="0" t="n">
        <v>10</v>
      </c>
      <c r="Z126" s="0" t="inlineStr">
        <is>
          <t>https://new.land.naver.com/complexes/110869?tab=detail&amp;rf=Y</t>
        </is>
      </c>
      <c r="AA126" s="0" t="inlineStr">
        <is>
          <t>충청북도 청주시 서원구 모충동 552</t>
        </is>
      </c>
      <c r="AB126" s="0" t="inlineStr">
        <is>
          <t>충청북도</t>
        </is>
      </c>
      <c r="AC126" s="0" t="inlineStr">
        <is>
          <t>청주시</t>
        </is>
      </c>
      <c r="AD126" s="0" t="inlineStr">
        <is>
          <t>서원구</t>
        </is>
      </c>
      <c r="AE126" s="0" t="inlineStr">
        <is>
          <t>모충동</t>
        </is>
      </c>
      <c r="AG126" s="0" t="inlineStr">
        <is>
          <t>충청북도 청주시 서원구 매봉로 190</t>
        </is>
      </c>
      <c r="AH126" s="0" t="n">
        <v>0</v>
      </c>
      <c r="AI126" s="0" t="n">
        <v>226</v>
      </c>
      <c r="AJ126" s="0" t="n">
        <v>20</v>
      </c>
      <c r="AK126" s="0" t="n">
        <v>253</v>
      </c>
      <c r="AL126" s="0" t="n">
        <v>1.05</v>
      </c>
    </row>
    <row r="127">
      <c r="A127" s="0" t="inlineStr">
        <is>
          <t>[모충동]</t>
        </is>
      </c>
      <c r="B127" s="0" t="n">
        <v>110869</v>
      </c>
      <c r="C127" s="0" t="n">
        <v>2</v>
      </c>
      <c r="D127" s="0" t="inlineStr">
        <is>
          <t>모충동일센타시아</t>
        </is>
      </c>
      <c r="E127" s="0" t="inlineStr">
        <is>
          <t>2016.05.</t>
        </is>
      </c>
      <c r="F127" s="0" t="n">
        <v>240</v>
      </c>
      <c r="G127" s="0" t="n">
        <v>26.08</v>
      </c>
      <c r="H127" s="0" t="n">
        <v>86.23</v>
      </c>
      <c r="I127" s="0" t="n">
        <v>19.68</v>
      </c>
      <c r="J127" s="0" t="n">
        <v>65.06</v>
      </c>
      <c r="K127" s="0" t="n">
        <v>101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86B</t>
        </is>
      </c>
      <c r="X127" s="0" t="n">
        <v>19</v>
      </c>
      <c r="Y127" s="0" t="n">
        <v>10</v>
      </c>
      <c r="Z127" s="0" t="inlineStr">
        <is>
          <t>https://new.land.naver.com/complexes/110869?tab=detail&amp;rf=Y</t>
        </is>
      </c>
      <c r="AA127" s="0" t="inlineStr">
        <is>
          <t>충청북도 청주시 서원구 모충동 552</t>
        </is>
      </c>
      <c r="AB127" s="0" t="inlineStr">
        <is>
          <t>충청북도</t>
        </is>
      </c>
      <c r="AC127" s="0" t="inlineStr">
        <is>
          <t>청주시</t>
        </is>
      </c>
      <c r="AD127" s="0" t="inlineStr">
        <is>
          <t>서원구</t>
        </is>
      </c>
      <c r="AE127" s="0" t="inlineStr">
        <is>
          <t>모충동</t>
        </is>
      </c>
      <c r="AG127" s="0" t="inlineStr">
        <is>
          <t>충청북도 청주시 서원구 매봉로 190</t>
        </is>
      </c>
      <c r="AH127" s="0" t="n">
        <v>0</v>
      </c>
      <c r="AI127" s="0" t="n">
        <v>226</v>
      </c>
      <c r="AJ127" s="0" t="n">
        <v>20</v>
      </c>
      <c r="AK127" s="0" t="n">
        <v>253</v>
      </c>
      <c r="AL127" s="0" t="n">
        <v>1.05</v>
      </c>
    </row>
    <row r="128">
      <c r="A128" s="0" t="inlineStr">
        <is>
          <t>[모충동]</t>
        </is>
      </c>
      <c r="B128" s="0" t="n">
        <v>110869</v>
      </c>
      <c r="C128" s="0" t="n">
        <v>3</v>
      </c>
      <c r="D128" s="0" t="inlineStr">
        <is>
          <t>모충동일센타시아</t>
        </is>
      </c>
      <c r="E128" s="0" t="inlineStr">
        <is>
          <t>2016.05.</t>
        </is>
      </c>
      <c r="F128" s="0" t="n">
        <v>240</v>
      </c>
      <c r="G128" s="0" t="n">
        <v>27.9</v>
      </c>
      <c r="H128" s="0" t="n">
        <v>92.23999999999999</v>
      </c>
      <c r="I128" s="0" t="n">
        <v>21.1</v>
      </c>
      <c r="J128" s="0" t="n">
        <v>69.76000000000001</v>
      </c>
      <c r="K128" s="0" t="n">
        <v>50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92</v>
      </c>
      <c r="X128" s="0" t="n">
        <v>19</v>
      </c>
      <c r="Y128" s="0" t="n">
        <v>10</v>
      </c>
      <c r="Z128" s="0" t="inlineStr">
        <is>
          <t>https://new.land.naver.com/complexes/110869?tab=detail&amp;rf=Y</t>
        </is>
      </c>
      <c r="AA128" s="0" t="inlineStr">
        <is>
          <t>충청북도 청주시 서원구 모충동 552</t>
        </is>
      </c>
      <c r="AB128" s="0" t="inlineStr">
        <is>
          <t>충청북도</t>
        </is>
      </c>
      <c r="AC128" s="0" t="inlineStr">
        <is>
          <t>청주시</t>
        </is>
      </c>
      <c r="AD128" s="0" t="inlineStr">
        <is>
          <t>서원구</t>
        </is>
      </c>
      <c r="AE128" s="0" t="inlineStr">
        <is>
          <t>모충동</t>
        </is>
      </c>
      <c r="AG128" s="0" t="inlineStr">
        <is>
          <t>충청북도 청주시 서원구 매봉로 190</t>
        </is>
      </c>
      <c r="AH128" s="0" t="n">
        <v>0</v>
      </c>
      <c r="AI128" s="0" t="n">
        <v>226</v>
      </c>
      <c r="AJ128" s="0" t="n">
        <v>20</v>
      </c>
      <c r="AK128" s="0" t="n">
        <v>253</v>
      </c>
      <c r="AL128" s="0" t="n">
        <v>1.05</v>
      </c>
    </row>
    <row r="129">
      <c r="A129" s="0" t="inlineStr">
        <is>
          <t>[모충동]</t>
        </is>
      </c>
      <c r="B129" s="0" t="n">
        <v>120667</v>
      </c>
      <c r="C129" s="0" t="n">
        <v>1</v>
      </c>
      <c r="D129" s="0" t="inlineStr">
        <is>
          <t>힐탑</t>
        </is>
      </c>
      <c r="E129" s="0" t="inlineStr">
        <is>
          <t>1991.05.</t>
        </is>
      </c>
      <c r="F129" s="0" t="n">
        <v>60</v>
      </c>
      <c r="G129" s="0" t="n">
        <v>11.44</v>
      </c>
      <c r="H129" s="0" t="n">
        <v>37.85</v>
      </c>
      <c r="I129" s="0" t="n">
        <v>6.64</v>
      </c>
      <c r="J129" s="0" t="n">
        <v>21.96</v>
      </c>
      <c r="K129" s="0" t="n">
        <v>50</v>
      </c>
      <c r="T129" s="0" t="n">
        <v>1</v>
      </c>
      <c r="U129" s="0" t="n">
        <v>1</v>
      </c>
      <c r="V129" s="0" t="inlineStr">
        <is>
          <t>복도식</t>
        </is>
      </c>
      <c r="W129" s="0" t="inlineStr">
        <is>
          <t>37B</t>
        </is>
      </c>
      <c r="X129" s="0" t="n">
        <v>6</v>
      </c>
      <c r="Y129" s="0" t="n">
        <v>6</v>
      </c>
      <c r="Z129" s="0" t="inlineStr">
        <is>
          <t>https://new.land.naver.com/complexes/120667?tab=detail&amp;rf=Y</t>
        </is>
      </c>
      <c r="AA129" s="0" t="inlineStr">
        <is>
          <t>충청북도 청주시 서원구 모충동 249-19</t>
        </is>
      </c>
      <c r="AB129" s="0" t="inlineStr">
        <is>
          <t>충청북도</t>
        </is>
      </c>
      <c r="AC129" s="0" t="inlineStr">
        <is>
          <t>청주시</t>
        </is>
      </c>
      <c r="AD129" s="0" t="inlineStr">
        <is>
          <t>서원구</t>
        </is>
      </c>
      <c r="AE129" s="0" t="inlineStr">
        <is>
          <t>모충동</t>
        </is>
      </c>
      <c r="AG129" s="0" t="inlineStr">
        <is>
          <t>충청북도 청주시 서원구 남들로25번길 32-1</t>
        </is>
      </c>
      <c r="AH129" s="0" t="n">
        <v>0</v>
      </c>
      <c r="AI129" s="0" t="n">
        <v>244</v>
      </c>
      <c r="AJ129" s="0" t="n">
        <v>45</v>
      </c>
      <c r="AK129" s="0" t="n">
        <v>8</v>
      </c>
      <c r="AL129" s="0" t="n">
        <v>0.13</v>
      </c>
    </row>
    <row r="130">
      <c r="A130" s="0" t="inlineStr">
        <is>
          <t>[모충동]</t>
        </is>
      </c>
      <c r="B130" s="0" t="n">
        <v>120667</v>
      </c>
      <c r="C130" s="0" t="n">
        <v>2</v>
      </c>
      <c r="D130" s="0" t="inlineStr">
        <is>
          <t>힐탑</t>
        </is>
      </c>
      <c r="E130" s="0" t="inlineStr">
        <is>
          <t>1991.05.</t>
        </is>
      </c>
      <c r="F130" s="0" t="n">
        <v>60</v>
      </c>
      <c r="G130" s="0" t="n">
        <v>11.44</v>
      </c>
      <c r="H130" s="0" t="n">
        <v>37.85</v>
      </c>
      <c r="I130" s="0" t="n">
        <v>6.64</v>
      </c>
      <c r="J130" s="0" t="n">
        <v>21.96</v>
      </c>
      <c r="K130" s="0" t="n">
        <v>10</v>
      </c>
      <c r="T130" s="0" t="n">
        <v>1</v>
      </c>
      <c r="U130" s="0" t="n">
        <v>1</v>
      </c>
      <c r="V130" s="0" t="inlineStr">
        <is>
          <t>복도식</t>
        </is>
      </c>
      <c r="W130" s="0" t="inlineStr">
        <is>
          <t>37A</t>
        </is>
      </c>
      <c r="X130" s="0" t="n">
        <v>6</v>
      </c>
      <c r="Y130" s="0" t="n">
        <v>6</v>
      </c>
      <c r="Z130" s="0" t="inlineStr">
        <is>
          <t>https://new.land.naver.com/complexes/120667?tab=detail&amp;rf=Y</t>
        </is>
      </c>
      <c r="AA130" s="0" t="inlineStr">
        <is>
          <t>충청북도 청주시 서원구 모충동 249-19</t>
        </is>
      </c>
      <c r="AB130" s="0" t="inlineStr">
        <is>
          <t>충청북도</t>
        </is>
      </c>
      <c r="AC130" s="0" t="inlineStr">
        <is>
          <t>청주시</t>
        </is>
      </c>
      <c r="AD130" s="0" t="inlineStr">
        <is>
          <t>서원구</t>
        </is>
      </c>
      <c r="AE130" s="0" t="inlineStr">
        <is>
          <t>모충동</t>
        </is>
      </c>
      <c r="AG130" s="0" t="inlineStr">
        <is>
          <t>충청북도 청주시 서원구 남들로25번길 32-1</t>
        </is>
      </c>
      <c r="AH130" s="0" t="n">
        <v>0</v>
      </c>
      <c r="AI130" s="0" t="n">
        <v>244</v>
      </c>
      <c r="AJ130" s="0" t="n">
        <v>45</v>
      </c>
      <c r="AK130" s="0" t="n">
        <v>8</v>
      </c>
      <c r="AL130" s="0" t="n">
        <v>0.13</v>
      </c>
    </row>
    <row r="131">
      <c r="A131" s="0" t="inlineStr">
        <is>
          <t>[모충동]</t>
        </is>
      </c>
      <c r="B131" s="0" t="n">
        <v>111387</v>
      </c>
      <c r="C131" s="0" t="n">
        <v>1</v>
      </c>
      <c r="D131" s="0" t="inlineStr">
        <is>
          <t>포스필</t>
        </is>
      </c>
      <c r="E131" s="0" t="inlineStr">
        <is>
          <t>2015.07.</t>
        </is>
      </c>
      <c r="F131" s="0" t="n">
        <v>76</v>
      </c>
      <c r="G131" s="0" t="n">
        <v>24.4</v>
      </c>
      <c r="H131" s="0" t="n">
        <v>80.68000000000001</v>
      </c>
      <c r="I131" s="0" t="n">
        <v>18.01</v>
      </c>
      <c r="J131" s="0" t="n">
        <v>59.54</v>
      </c>
      <c r="K131" s="0" t="n">
        <v>18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80A</t>
        </is>
      </c>
      <c r="X131" s="0" t="n">
        <v>10</v>
      </c>
      <c r="Y131" s="0" t="n">
        <v>8</v>
      </c>
      <c r="Z131" s="0" t="inlineStr">
        <is>
          <t>https://new.land.naver.com/complexes/111387?tab=detail&amp;rf=Y</t>
        </is>
      </c>
      <c r="AA131" s="0" t="inlineStr">
        <is>
          <t>충청북도 청주시 서원구 모충동 490-5</t>
        </is>
      </c>
      <c r="AB131" s="0" t="inlineStr">
        <is>
          <t>충청북도</t>
        </is>
      </c>
      <c r="AC131" s="0" t="inlineStr">
        <is>
          <t>청주시</t>
        </is>
      </c>
      <c r="AD131" s="0" t="inlineStr">
        <is>
          <t>서원구</t>
        </is>
      </c>
      <c r="AE131" s="0" t="inlineStr">
        <is>
          <t>모충동</t>
        </is>
      </c>
      <c r="AG131" s="0" t="inlineStr">
        <is>
          <t>충청북도 청주시 서원구 쌍샘로107번길 33</t>
        </is>
      </c>
      <c r="AH131" s="0" t="n">
        <v>0</v>
      </c>
      <c r="AI131" s="0" t="n">
        <v>198</v>
      </c>
      <c r="AJ131" s="0" t="n">
        <v>24</v>
      </c>
      <c r="AK131" s="0" t="n">
        <v>62</v>
      </c>
      <c r="AL131" s="0" t="n">
        <v>0.82</v>
      </c>
    </row>
    <row r="132">
      <c r="A132" s="0" t="inlineStr">
        <is>
          <t>[모충동]</t>
        </is>
      </c>
      <c r="B132" s="0" t="n">
        <v>111387</v>
      </c>
      <c r="C132" s="0" t="n">
        <v>2</v>
      </c>
      <c r="D132" s="0" t="inlineStr">
        <is>
          <t>포스필</t>
        </is>
      </c>
      <c r="E132" s="0" t="inlineStr">
        <is>
          <t>2015.07.</t>
        </is>
      </c>
      <c r="F132" s="0" t="n">
        <v>76</v>
      </c>
      <c r="G132" s="0" t="n">
        <v>24.56</v>
      </c>
      <c r="H132" s="0" t="n">
        <v>81.2</v>
      </c>
      <c r="I132" s="0" t="n">
        <v>18.13</v>
      </c>
      <c r="J132" s="0" t="n">
        <v>59.94</v>
      </c>
      <c r="K132" s="0" t="n">
        <v>49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81B</t>
        </is>
      </c>
      <c r="X132" s="0" t="n">
        <v>10</v>
      </c>
      <c r="Y132" s="0" t="n">
        <v>8</v>
      </c>
      <c r="Z132" s="0" t="inlineStr">
        <is>
          <t>https://new.land.naver.com/complexes/111387?tab=detail&amp;rf=Y</t>
        </is>
      </c>
      <c r="AA132" s="0" t="inlineStr">
        <is>
          <t>충청북도 청주시 서원구 모충동 490-5</t>
        </is>
      </c>
      <c r="AB132" s="0" t="inlineStr">
        <is>
          <t>충청북도</t>
        </is>
      </c>
      <c r="AC132" s="0" t="inlineStr">
        <is>
          <t>청주시</t>
        </is>
      </c>
      <c r="AD132" s="0" t="inlineStr">
        <is>
          <t>서원구</t>
        </is>
      </c>
      <c r="AE132" s="0" t="inlineStr">
        <is>
          <t>모충동</t>
        </is>
      </c>
      <c r="AG132" s="0" t="inlineStr">
        <is>
          <t>충청북도 청주시 서원구 쌍샘로107번길 33</t>
        </is>
      </c>
      <c r="AH132" s="0" t="n">
        <v>0</v>
      </c>
      <c r="AI132" s="0" t="n">
        <v>198</v>
      </c>
      <c r="AJ132" s="0" t="n">
        <v>24</v>
      </c>
      <c r="AK132" s="0" t="n">
        <v>62</v>
      </c>
      <c r="AL132" s="0" t="n">
        <v>0.82</v>
      </c>
    </row>
    <row r="133">
      <c r="A133" s="0" t="inlineStr">
        <is>
          <t>[모충동]</t>
        </is>
      </c>
      <c r="B133" s="0" t="n">
        <v>111387</v>
      </c>
      <c r="C133" s="0" t="n">
        <v>3</v>
      </c>
      <c r="D133" s="0" t="inlineStr">
        <is>
          <t>포스필</t>
        </is>
      </c>
      <c r="E133" s="0" t="inlineStr">
        <is>
          <t>2015.07.</t>
        </is>
      </c>
      <c r="F133" s="0" t="n">
        <v>76</v>
      </c>
      <c r="G133" s="0" t="n">
        <v>24.62</v>
      </c>
      <c r="H133" s="0" t="n">
        <v>81.41</v>
      </c>
      <c r="I133" s="0" t="n">
        <v>18.1</v>
      </c>
      <c r="J133" s="0" t="n">
        <v>59.84</v>
      </c>
      <c r="K133" s="0" t="n">
        <v>9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81C</t>
        </is>
      </c>
      <c r="X133" s="0" t="n">
        <v>10</v>
      </c>
      <c r="Y133" s="0" t="n">
        <v>8</v>
      </c>
      <c r="Z133" s="0" t="inlineStr">
        <is>
          <t>https://new.land.naver.com/complexes/111387?tab=detail&amp;rf=Y</t>
        </is>
      </c>
      <c r="AA133" s="0" t="inlineStr">
        <is>
          <t>충청북도 청주시 서원구 모충동 490-5</t>
        </is>
      </c>
      <c r="AB133" s="0" t="inlineStr">
        <is>
          <t>충청북도</t>
        </is>
      </c>
      <c r="AC133" s="0" t="inlineStr">
        <is>
          <t>청주시</t>
        </is>
      </c>
      <c r="AD133" s="0" t="inlineStr">
        <is>
          <t>서원구</t>
        </is>
      </c>
      <c r="AE133" s="0" t="inlineStr">
        <is>
          <t>모충동</t>
        </is>
      </c>
      <c r="AG133" s="0" t="inlineStr">
        <is>
          <t>충청북도 청주시 서원구 쌍샘로107번길 33</t>
        </is>
      </c>
      <c r="AH133" s="0" t="n">
        <v>0</v>
      </c>
      <c r="AI133" s="0" t="n">
        <v>198</v>
      </c>
      <c r="AJ133" s="0" t="n">
        <v>24</v>
      </c>
      <c r="AK133" s="0" t="n">
        <v>62</v>
      </c>
      <c r="AL133" s="0" t="n">
        <v>0.82</v>
      </c>
    </row>
    <row r="134">
      <c r="A134" s="0" t="inlineStr">
        <is>
          <t>[모충동]</t>
        </is>
      </c>
      <c r="B134" s="0" t="n">
        <v>120669</v>
      </c>
      <c r="C134" s="0" t="n">
        <v>1</v>
      </c>
      <c r="D134" s="0" t="inlineStr">
        <is>
          <t>원당맨션</t>
        </is>
      </c>
      <c r="E134" s="0" t="inlineStr">
        <is>
          <t>1990.06.</t>
        </is>
      </c>
      <c r="F134" s="0" t="n">
        <v>40</v>
      </c>
      <c r="G134" s="0" t="n">
        <v>28.49</v>
      </c>
      <c r="H134" s="0" t="n">
        <v>94.19</v>
      </c>
      <c r="I134" s="0" t="n">
        <v>21.81</v>
      </c>
      <c r="J134" s="0" t="n">
        <v>72.12</v>
      </c>
      <c r="K134" s="0" t="n">
        <v>5</v>
      </c>
      <c r="T134" s="0" t="n">
        <v>3</v>
      </c>
      <c r="U134" s="0" t="n">
        <v>2</v>
      </c>
      <c r="V134" s="0" t="inlineStr">
        <is>
          <t>계단식</t>
        </is>
      </c>
      <c r="W134" s="0" t="n">
        <v>94</v>
      </c>
      <c r="X134" s="0" t="n">
        <v>5</v>
      </c>
      <c r="Y134" s="0" t="n">
        <v>5</v>
      </c>
      <c r="Z134" s="0" t="inlineStr">
        <is>
          <t>https://new.land.naver.com/complexes/120669?tab=detail&amp;rf=Y</t>
        </is>
      </c>
      <c r="AA134" s="0" t="inlineStr">
        <is>
          <t>충청북도 청주시 서원구 모충동 487-4</t>
        </is>
      </c>
      <c r="AB134" s="0" t="inlineStr">
        <is>
          <t>충청북도</t>
        </is>
      </c>
      <c r="AC134" s="0" t="inlineStr">
        <is>
          <t>청주시</t>
        </is>
      </c>
      <c r="AD134" s="0" t="inlineStr">
        <is>
          <t>서원구</t>
        </is>
      </c>
      <c r="AE134" s="0" t="inlineStr">
        <is>
          <t>모충동</t>
        </is>
      </c>
      <c r="AG134" s="0" t="inlineStr">
        <is>
          <t>충청북도 청주시 서원구 모충로96번길 52-7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[모충동]</t>
        </is>
      </c>
      <c r="B135" s="0" t="n">
        <v>120669</v>
      </c>
      <c r="C135" s="0" t="n">
        <v>2</v>
      </c>
      <c r="D135" s="0" t="inlineStr">
        <is>
          <t>원당맨션</t>
        </is>
      </c>
      <c r="E135" s="0" t="inlineStr">
        <is>
          <t>1990.06.</t>
        </is>
      </c>
      <c r="F135" s="0" t="n">
        <v>40</v>
      </c>
      <c r="G135" s="0" t="n">
        <v>31.5</v>
      </c>
      <c r="H135" s="0" t="n">
        <v>104.16</v>
      </c>
      <c r="I135" s="0" t="n">
        <v>24.12</v>
      </c>
      <c r="J135" s="0" t="n">
        <v>79.73999999999999</v>
      </c>
      <c r="K135" s="0" t="n">
        <v>5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104A</t>
        </is>
      </c>
      <c r="X135" s="0" t="n">
        <v>5</v>
      </c>
      <c r="Y135" s="0" t="n">
        <v>5</v>
      </c>
      <c r="Z135" s="0" t="inlineStr">
        <is>
          <t>https://new.land.naver.com/complexes/120669?tab=detail&amp;rf=Y</t>
        </is>
      </c>
      <c r="AA135" s="0" t="inlineStr">
        <is>
          <t>충청북도 청주시 서원구 모충동 487-4</t>
        </is>
      </c>
      <c r="AB135" s="0" t="inlineStr">
        <is>
          <t>충청북도</t>
        </is>
      </c>
      <c r="AC135" s="0" t="inlineStr">
        <is>
          <t>청주시</t>
        </is>
      </c>
      <c r="AD135" s="0" t="inlineStr">
        <is>
          <t>서원구</t>
        </is>
      </c>
      <c r="AE135" s="0" t="inlineStr">
        <is>
          <t>모충동</t>
        </is>
      </c>
      <c r="AG135" s="0" t="inlineStr">
        <is>
          <t>충청북도 청주시 서원구 모충로96번길 52-7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[모충동]</t>
        </is>
      </c>
      <c r="B136" s="0" t="n">
        <v>120669</v>
      </c>
      <c r="C136" s="0" t="n">
        <v>3</v>
      </c>
      <c r="D136" s="0" t="inlineStr">
        <is>
          <t>원당맨션</t>
        </is>
      </c>
      <c r="E136" s="0" t="inlineStr">
        <is>
          <t>1990.06.</t>
        </is>
      </c>
      <c r="F136" s="0" t="n">
        <v>40</v>
      </c>
      <c r="G136" s="0" t="n">
        <v>32.24</v>
      </c>
      <c r="H136" s="0" t="n">
        <v>106.59</v>
      </c>
      <c r="I136" s="0" t="n">
        <v>24.68</v>
      </c>
      <c r="J136" s="0" t="n">
        <v>81.59999999999999</v>
      </c>
      <c r="K136" s="0" t="n">
        <v>8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106D</t>
        </is>
      </c>
      <c r="X136" s="0" t="n">
        <v>5</v>
      </c>
      <c r="Y136" s="0" t="n">
        <v>5</v>
      </c>
      <c r="Z136" s="0" t="inlineStr">
        <is>
          <t>https://new.land.naver.com/complexes/120669?tab=detail&amp;rf=Y</t>
        </is>
      </c>
      <c r="AA136" s="0" t="inlineStr">
        <is>
          <t>충청북도 청주시 서원구 모충동 487-4</t>
        </is>
      </c>
      <c r="AB136" s="0" t="inlineStr">
        <is>
          <t>충청북도</t>
        </is>
      </c>
      <c r="AC136" s="0" t="inlineStr">
        <is>
          <t>청주시</t>
        </is>
      </c>
      <c r="AD136" s="0" t="inlineStr">
        <is>
          <t>서원구</t>
        </is>
      </c>
      <c r="AE136" s="0" t="inlineStr">
        <is>
          <t>모충동</t>
        </is>
      </c>
      <c r="AG136" s="0" t="inlineStr">
        <is>
          <t>충청북도 청주시 서원구 모충로96번길 52-7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[모충동]</t>
        </is>
      </c>
      <c r="B137" s="0" t="n">
        <v>120669</v>
      </c>
      <c r="C137" s="0" t="n">
        <v>4</v>
      </c>
      <c r="D137" s="0" t="inlineStr">
        <is>
          <t>원당맨션</t>
        </is>
      </c>
      <c r="E137" s="0" t="inlineStr">
        <is>
          <t>1990.06.</t>
        </is>
      </c>
      <c r="F137" s="0" t="n">
        <v>40</v>
      </c>
      <c r="G137" s="0" t="n">
        <v>32.07</v>
      </c>
      <c r="H137" s="0" t="n">
        <v>106.04</v>
      </c>
      <c r="I137" s="0" t="n">
        <v>24.55</v>
      </c>
      <c r="J137" s="0" t="n">
        <v>81.18000000000001</v>
      </c>
      <c r="K137" s="0" t="n">
        <v>5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106C</t>
        </is>
      </c>
      <c r="X137" s="0" t="n">
        <v>5</v>
      </c>
      <c r="Y137" s="0" t="n">
        <v>5</v>
      </c>
      <c r="Z137" s="0" t="inlineStr">
        <is>
          <t>https://new.land.naver.com/complexes/120669?tab=detail&amp;rf=Y</t>
        </is>
      </c>
      <c r="AA137" s="0" t="inlineStr">
        <is>
          <t>충청북도 청주시 서원구 모충동 487-4</t>
        </is>
      </c>
      <c r="AB137" s="0" t="inlineStr">
        <is>
          <t>충청북도</t>
        </is>
      </c>
      <c r="AC137" s="0" t="inlineStr">
        <is>
          <t>청주시</t>
        </is>
      </c>
      <c r="AD137" s="0" t="inlineStr">
        <is>
          <t>서원구</t>
        </is>
      </c>
      <c r="AE137" s="0" t="inlineStr">
        <is>
          <t>모충동</t>
        </is>
      </c>
      <c r="AG137" s="0" t="inlineStr">
        <is>
          <t>충청북도 청주시 서원구 모충로96번길 52-7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[모충동]</t>
        </is>
      </c>
      <c r="B138" s="0" t="n">
        <v>120669</v>
      </c>
      <c r="C138" s="0" t="n">
        <v>5</v>
      </c>
      <c r="D138" s="0" t="inlineStr">
        <is>
          <t>원당맨션</t>
        </is>
      </c>
      <c r="E138" s="0" t="inlineStr">
        <is>
          <t>1990.06.</t>
        </is>
      </c>
      <c r="F138" s="0" t="n">
        <v>40</v>
      </c>
      <c r="G138" s="0" t="n">
        <v>32.08</v>
      </c>
      <c r="H138" s="0" t="n">
        <v>106.05</v>
      </c>
      <c r="I138" s="0" t="n">
        <v>24.52</v>
      </c>
      <c r="J138" s="0" t="n">
        <v>81.06</v>
      </c>
      <c r="K138" s="0" t="n">
        <v>2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106B</t>
        </is>
      </c>
      <c r="X138" s="0" t="n">
        <v>5</v>
      </c>
      <c r="Y138" s="0" t="n">
        <v>5</v>
      </c>
      <c r="Z138" s="0" t="inlineStr">
        <is>
          <t>https://new.land.naver.com/complexes/120669?tab=detail&amp;rf=Y</t>
        </is>
      </c>
      <c r="AA138" s="0" t="inlineStr">
        <is>
          <t>충청북도 청주시 서원구 모충동 487-4</t>
        </is>
      </c>
      <c r="AB138" s="0" t="inlineStr">
        <is>
          <t>충청북도</t>
        </is>
      </c>
      <c r="AC138" s="0" t="inlineStr">
        <is>
          <t>청주시</t>
        </is>
      </c>
      <c r="AD138" s="0" t="inlineStr">
        <is>
          <t>서원구</t>
        </is>
      </c>
      <c r="AE138" s="0" t="inlineStr">
        <is>
          <t>모충동</t>
        </is>
      </c>
      <c r="AG138" s="0" t="inlineStr">
        <is>
          <t>충청북도 청주시 서원구 모충로96번길 52-7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[모충동]</t>
        </is>
      </c>
      <c r="B139" s="0" t="n">
        <v>120669</v>
      </c>
      <c r="C139" s="0" t="n">
        <v>6</v>
      </c>
      <c r="D139" s="0" t="inlineStr">
        <is>
          <t>원당맨션</t>
        </is>
      </c>
      <c r="E139" s="0" t="inlineStr">
        <is>
          <t>1990.06.</t>
        </is>
      </c>
      <c r="F139" s="0" t="n">
        <v>40</v>
      </c>
      <c r="G139" s="0" t="n">
        <v>33.11</v>
      </c>
      <c r="H139" s="0" t="n">
        <v>109.46</v>
      </c>
      <c r="I139" s="0" t="n">
        <v>25.34</v>
      </c>
      <c r="J139" s="0" t="n">
        <v>83.79000000000001</v>
      </c>
      <c r="K139" s="0" t="n">
        <v>10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109A</t>
        </is>
      </c>
      <c r="X139" s="0" t="n">
        <v>5</v>
      </c>
      <c r="Y139" s="0" t="n">
        <v>5</v>
      </c>
      <c r="Z139" s="0" t="inlineStr">
        <is>
          <t>https://new.land.naver.com/complexes/120669?tab=detail&amp;rf=Y</t>
        </is>
      </c>
      <c r="AA139" s="0" t="inlineStr">
        <is>
          <t>충청북도 청주시 서원구 모충동 487-4</t>
        </is>
      </c>
      <c r="AB139" s="0" t="inlineStr">
        <is>
          <t>충청북도</t>
        </is>
      </c>
      <c r="AC139" s="0" t="inlineStr">
        <is>
          <t>청주시</t>
        </is>
      </c>
      <c r="AD139" s="0" t="inlineStr">
        <is>
          <t>서원구</t>
        </is>
      </c>
      <c r="AE139" s="0" t="inlineStr">
        <is>
          <t>모충동</t>
        </is>
      </c>
      <c r="AG139" s="0" t="inlineStr">
        <is>
          <t>충청북도 청주시 서원구 모충로96번길 52-7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[모충동]</t>
        </is>
      </c>
      <c r="B140" s="0" t="n">
        <v>120669</v>
      </c>
      <c r="C140" s="0" t="n">
        <v>7</v>
      </c>
      <c r="D140" s="0" t="inlineStr">
        <is>
          <t>원당맨션</t>
        </is>
      </c>
      <c r="E140" s="0" t="inlineStr">
        <is>
          <t>1990.06.</t>
        </is>
      </c>
      <c r="F140" s="0" t="n">
        <v>40</v>
      </c>
      <c r="G140" s="0" t="n">
        <v>33.21</v>
      </c>
      <c r="H140" s="0" t="n">
        <v>109.81</v>
      </c>
      <c r="I140" s="0" t="n">
        <v>25.42</v>
      </c>
      <c r="J140" s="0" t="n">
        <v>84.06</v>
      </c>
      <c r="K140" s="0" t="n">
        <v>5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109B</t>
        </is>
      </c>
      <c r="X140" s="0" t="n">
        <v>5</v>
      </c>
      <c r="Y140" s="0" t="n">
        <v>5</v>
      </c>
      <c r="Z140" s="0" t="inlineStr">
        <is>
          <t>https://new.land.naver.com/complexes/120669?tab=detail&amp;rf=Y</t>
        </is>
      </c>
      <c r="AA140" s="0" t="inlineStr">
        <is>
          <t>충청북도 청주시 서원구 모충동 487-4</t>
        </is>
      </c>
      <c r="AB140" s="0" t="inlineStr">
        <is>
          <t>충청북도</t>
        </is>
      </c>
      <c r="AC140" s="0" t="inlineStr">
        <is>
          <t>청주시</t>
        </is>
      </c>
      <c r="AD140" s="0" t="inlineStr">
        <is>
          <t>서원구</t>
        </is>
      </c>
      <c r="AE140" s="0" t="inlineStr">
        <is>
          <t>모충동</t>
        </is>
      </c>
      <c r="AG140" s="0" t="inlineStr">
        <is>
          <t>충청북도 청주시 서원구 모충로96번길 52-7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[모충동]</t>
        </is>
      </c>
      <c r="B141" s="0" t="n">
        <v>127744</v>
      </c>
      <c r="C141" s="0" t="n">
        <v>1</v>
      </c>
      <c r="D141" s="0" t="inlineStr">
        <is>
          <t>청주모충LH트릴로채</t>
        </is>
      </c>
      <c r="E141" s="0" t="inlineStr">
        <is>
          <t>2021.11.</t>
        </is>
      </c>
      <c r="F141" s="0" t="n">
        <v>1692</v>
      </c>
      <c r="G141" s="0" t="n">
        <v>25.97</v>
      </c>
      <c r="H141" s="0" t="n">
        <v>85.88</v>
      </c>
      <c r="I141" s="0" t="n">
        <v>18.07</v>
      </c>
      <c r="J141" s="0" t="n">
        <v>59.76</v>
      </c>
      <c r="K141" s="0" t="n">
        <v>29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85B</t>
        </is>
      </c>
      <c r="X141" s="0" t="n">
        <v>29</v>
      </c>
      <c r="Y141" s="0" t="n">
        <v>12</v>
      </c>
      <c r="Z141" s="0" t="inlineStr">
        <is>
          <t>https://new.land.naver.com/complexes/127744?tab=detail&amp;rf=Y</t>
        </is>
      </c>
      <c r="AA141" s="0" t="inlineStr">
        <is>
          <t>충청북도 청주시 서원구 모충동 335-175번지 일원</t>
        </is>
      </c>
      <c r="AB141" s="0" t="inlineStr">
        <is>
          <t>충청북도</t>
        </is>
      </c>
      <c r="AC141" s="0" t="inlineStr">
        <is>
          <t>청주시</t>
        </is>
      </c>
      <c r="AD141" s="0" t="inlineStr">
        <is>
          <t>서원구</t>
        </is>
      </c>
      <c r="AE141" s="0" t="inlineStr">
        <is>
          <t>모충동</t>
        </is>
      </c>
      <c r="AG141" s="0" t="inlineStr">
        <is>
          <t>충청북도 청주시 서원구</t>
        </is>
      </c>
      <c r="AH141" s="0" t="n">
        <v>412</v>
      </c>
      <c r="AI141" s="0" t="n">
        <v>195</v>
      </c>
      <c r="AJ141" s="0" t="n">
        <v>17</v>
      </c>
      <c r="AK141" s="0" t="n">
        <v>0</v>
      </c>
      <c r="AL141" s="0" t="n">
        <v>0</v>
      </c>
    </row>
    <row r="142">
      <c r="A142" s="0" t="inlineStr">
        <is>
          <t>[모충동]</t>
        </is>
      </c>
      <c r="B142" s="0" t="n">
        <v>127744</v>
      </c>
      <c r="C142" s="0" t="n">
        <v>2</v>
      </c>
      <c r="D142" s="0" t="inlineStr">
        <is>
          <t>청주모충LH트릴로채</t>
        </is>
      </c>
      <c r="E142" s="0" t="inlineStr">
        <is>
          <t>2021.11.</t>
        </is>
      </c>
      <c r="F142" s="0" t="n">
        <v>1692</v>
      </c>
      <c r="G142" s="0" t="n">
        <v>26.06</v>
      </c>
      <c r="H142" s="0" t="n">
        <v>86.17</v>
      </c>
      <c r="I142" s="0" t="n">
        <v>18.13</v>
      </c>
      <c r="J142" s="0" t="n">
        <v>59.96</v>
      </c>
      <c r="K142" s="0" t="n">
        <v>141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86A</t>
        </is>
      </c>
      <c r="X142" s="0" t="n">
        <v>29</v>
      </c>
      <c r="Y142" s="0" t="n">
        <v>12</v>
      </c>
      <c r="Z142" s="0" t="inlineStr">
        <is>
          <t>https://new.land.naver.com/complexes/127744?tab=detail&amp;rf=Y</t>
        </is>
      </c>
      <c r="AA142" s="0" t="inlineStr">
        <is>
          <t>충청북도 청주시 서원구 모충동 335-175번지 일원</t>
        </is>
      </c>
      <c r="AB142" s="0" t="inlineStr">
        <is>
          <t>충청북도</t>
        </is>
      </c>
      <c r="AC142" s="0" t="inlineStr">
        <is>
          <t>청주시</t>
        </is>
      </c>
      <c r="AD142" s="0" t="inlineStr">
        <is>
          <t>서원구</t>
        </is>
      </c>
      <c r="AE142" s="0" t="inlineStr">
        <is>
          <t>모충동</t>
        </is>
      </c>
      <c r="AG142" s="0" t="inlineStr">
        <is>
          <t>충청북도 청주시 서원구</t>
        </is>
      </c>
      <c r="AH142" s="0" t="n">
        <v>412</v>
      </c>
      <c r="AI142" s="0" t="n">
        <v>195</v>
      </c>
      <c r="AJ142" s="0" t="n">
        <v>17</v>
      </c>
      <c r="AK142" s="0" t="n">
        <v>0</v>
      </c>
      <c r="AL142" s="0" t="n">
        <v>0</v>
      </c>
    </row>
    <row r="143">
      <c r="A143" s="0" t="inlineStr">
        <is>
          <t>[모충동]</t>
        </is>
      </c>
      <c r="B143" s="0" t="n">
        <v>127744</v>
      </c>
      <c r="C143" s="0" t="n">
        <v>3</v>
      </c>
      <c r="D143" s="0" t="inlineStr">
        <is>
          <t>청주모충LH트릴로채</t>
        </is>
      </c>
      <c r="E143" s="0" t="inlineStr">
        <is>
          <t>2021.11.</t>
        </is>
      </c>
      <c r="F143" s="0" t="n">
        <v>1692</v>
      </c>
      <c r="G143" s="0" t="n">
        <v>29.9</v>
      </c>
      <c r="H143" s="0" t="n">
        <v>98.87</v>
      </c>
      <c r="I143" s="0" t="n">
        <v>22.61</v>
      </c>
      <c r="J143" s="0" t="n">
        <v>74.77</v>
      </c>
      <c r="K143" s="0" t="n">
        <v>423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98A</t>
        </is>
      </c>
      <c r="X143" s="0" t="n">
        <v>29</v>
      </c>
      <c r="Y143" s="0" t="n">
        <v>12</v>
      </c>
      <c r="Z143" s="0" t="inlineStr">
        <is>
          <t>https://new.land.naver.com/complexes/127744?tab=detail&amp;rf=Y</t>
        </is>
      </c>
      <c r="AA143" s="0" t="inlineStr">
        <is>
          <t>충청북도 청주시 서원구 모충동 335-175번지 일원</t>
        </is>
      </c>
      <c r="AB143" s="0" t="inlineStr">
        <is>
          <t>충청북도</t>
        </is>
      </c>
      <c r="AC143" s="0" t="inlineStr">
        <is>
          <t>청주시</t>
        </is>
      </c>
      <c r="AD143" s="0" t="inlineStr">
        <is>
          <t>서원구</t>
        </is>
      </c>
      <c r="AE143" s="0" t="inlineStr">
        <is>
          <t>모충동</t>
        </is>
      </c>
      <c r="AG143" s="0" t="inlineStr">
        <is>
          <t>충청북도 청주시 서원구</t>
        </is>
      </c>
      <c r="AH143" s="0" t="n">
        <v>412</v>
      </c>
      <c r="AI143" s="0" t="n">
        <v>195</v>
      </c>
      <c r="AJ143" s="0" t="n">
        <v>17</v>
      </c>
      <c r="AK143" s="0" t="n">
        <v>0</v>
      </c>
      <c r="AL143" s="0" t="n">
        <v>0</v>
      </c>
    </row>
    <row r="144">
      <c r="A144" s="0" t="inlineStr">
        <is>
          <t>[모충동]</t>
        </is>
      </c>
      <c r="B144" s="0" t="n">
        <v>127744</v>
      </c>
      <c r="C144" s="0" t="n">
        <v>4</v>
      </c>
      <c r="D144" s="0" t="inlineStr">
        <is>
          <t>청주모충LH트릴로채</t>
        </is>
      </c>
      <c r="E144" s="0" t="inlineStr">
        <is>
          <t>2021.11.</t>
        </is>
      </c>
      <c r="F144" s="0" t="n">
        <v>1692</v>
      </c>
      <c r="G144" s="0" t="n">
        <v>29.94</v>
      </c>
      <c r="H144" s="0" t="n">
        <v>98.98</v>
      </c>
      <c r="I144" s="0" t="n">
        <v>22.64</v>
      </c>
      <c r="J144" s="0" t="n">
        <v>74.84999999999999</v>
      </c>
      <c r="K144" s="0" t="n">
        <v>56</v>
      </c>
      <c r="T144" s="0" t="n">
        <v>3</v>
      </c>
      <c r="U144" s="0" t="n">
        <v>2</v>
      </c>
      <c r="V144" s="0" t="inlineStr">
        <is>
          <t>계단식</t>
        </is>
      </c>
      <c r="W144" s="0" t="inlineStr">
        <is>
          <t>98B</t>
        </is>
      </c>
      <c r="X144" s="0" t="n">
        <v>29</v>
      </c>
      <c r="Y144" s="0" t="n">
        <v>12</v>
      </c>
      <c r="Z144" s="0" t="inlineStr">
        <is>
          <t>https://new.land.naver.com/complexes/127744?tab=detail&amp;rf=Y</t>
        </is>
      </c>
      <c r="AA144" s="0" t="inlineStr">
        <is>
          <t>충청북도 청주시 서원구 모충동 335-175번지 일원</t>
        </is>
      </c>
      <c r="AB144" s="0" t="inlineStr">
        <is>
          <t>충청북도</t>
        </is>
      </c>
      <c r="AC144" s="0" t="inlineStr">
        <is>
          <t>청주시</t>
        </is>
      </c>
      <c r="AD144" s="0" t="inlineStr">
        <is>
          <t>서원구</t>
        </is>
      </c>
      <c r="AE144" s="0" t="inlineStr">
        <is>
          <t>모충동</t>
        </is>
      </c>
      <c r="AG144" s="0" t="inlineStr">
        <is>
          <t>충청북도 청주시 서원구</t>
        </is>
      </c>
      <c r="AH144" s="0" t="n">
        <v>412</v>
      </c>
      <c r="AI144" s="0" t="n">
        <v>195</v>
      </c>
      <c r="AJ144" s="0" t="n">
        <v>17</v>
      </c>
      <c r="AK144" s="0" t="n">
        <v>0</v>
      </c>
      <c r="AL144" s="0" t="n">
        <v>0</v>
      </c>
    </row>
    <row r="145">
      <c r="A145" s="0" t="inlineStr">
        <is>
          <t>[모충동]</t>
        </is>
      </c>
      <c r="B145" s="0" t="n">
        <v>127744</v>
      </c>
      <c r="C145" s="0" t="n">
        <v>5</v>
      </c>
      <c r="D145" s="0" t="inlineStr">
        <is>
          <t>청주모충LH트릴로채</t>
        </is>
      </c>
      <c r="E145" s="0" t="inlineStr">
        <is>
          <t>2021.11.</t>
        </is>
      </c>
      <c r="F145" s="0" t="n">
        <v>1692</v>
      </c>
      <c r="G145" s="0" t="n">
        <v>29.95</v>
      </c>
      <c r="H145" s="0" t="n">
        <v>99.03</v>
      </c>
      <c r="I145" s="0" t="n">
        <v>22.65</v>
      </c>
      <c r="J145" s="0" t="n">
        <v>74.89</v>
      </c>
      <c r="K145" s="0" t="n">
        <v>48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99C</t>
        </is>
      </c>
      <c r="X145" s="0" t="n">
        <v>29</v>
      </c>
      <c r="Y145" s="0" t="n">
        <v>12</v>
      </c>
      <c r="Z145" s="0" t="inlineStr">
        <is>
          <t>https://new.land.naver.com/complexes/127744?tab=detail&amp;rf=Y</t>
        </is>
      </c>
      <c r="AA145" s="0" t="inlineStr">
        <is>
          <t>충청북도 청주시 서원구 모충동 335-175번지 일원</t>
        </is>
      </c>
      <c r="AB145" s="0" t="inlineStr">
        <is>
          <t>충청북도</t>
        </is>
      </c>
      <c r="AC145" s="0" t="inlineStr">
        <is>
          <t>청주시</t>
        </is>
      </c>
      <c r="AD145" s="0" t="inlineStr">
        <is>
          <t>서원구</t>
        </is>
      </c>
      <c r="AE145" s="0" t="inlineStr">
        <is>
          <t>모충동</t>
        </is>
      </c>
      <c r="AG145" s="0" t="inlineStr">
        <is>
          <t>충청북도 청주시 서원구</t>
        </is>
      </c>
      <c r="AH145" s="0" t="n">
        <v>412</v>
      </c>
      <c r="AI145" s="0" t="n">
        <v>195</v>
      </c>
      <c r="AJ145" s="0" t="n">
        <v>17</v>
      </c>
      <c r="AK145" s="0" t="n">
        <v>0</v>
      </c>
      <c r="AL145" s="0" t="n">
        <v>0</v>
      </c>
    </row>
    <row r="146">
      <c r="A146" s="0" t="inlineStr">
        <is>
          <t>[모충동]</t>
        </is>
      </c>
      <c r="B146" s="0" t="n">
        <v>127744</v>
      </c>
      <c r="C146" s="0" t="n">
        <v>6</v>
      </c>
      <c r="D146" s="0" t="inlineStr">
        <is>
          <t>청주모충LH트릴로채</t>
        </is>
      </c>
      <c r="E146" s="0" t="inlineStr">
        <is>
          <t>2021.11.</t>
        </is>
      </c>
      <c r="F146" s="0" t="n">
        <v>1692</v>
      </c>
      <c r="G146" s="0" t="n">
        <v>33.6</v>
      </c>
      <c r="H146" s="0" t="n">
        <v>111.09</v>
      </c>
      <c r="I146" s="0" t="n">
        <v>25.67</v>
      </c>
      <c r="J146" s="0" t="n">
        <v>84.88</v>
      </c>
      <c r="K146" s="0" t="n">
        <v>489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111A</t>
        </is>
      </c>
      <c r="X146" s="0" t="n">
        <v>29</v>
      </c>
      <c r="Y146" s="0" t="n">
        <v>12</v>
      </c>
      <c r="Z146" s="0" t="inlineStr">
        <is>
          <t>https://new.land.naver.com/complexes/127744?tab=detail&amp;rf=Y</t>
        </is>
      </c>
      <c r="AA146" s="0" t="inlineStr">
        <is>
          <t>충청북도 청주시 서원구 모충동 335-175번지 일원</t>
        </is>
      </c>
      <c r="AB146" s="0" t="inlineStr">
        <is>
          <t>충청북도</t>
        </is>
      </c>
      <c r="AC146" s="0" t="inlineStr">
        <is>
          <t>청주시</t>
        </is>
      </c>
      <c r="AD146" s="0" t="inlineStr">
        <is>
          <t>서원구</t>
        </is>
      </c>
      <c r="AE146" s="0" t="inlineStr">
        <is>
          <t>모충동</t>
        </is>
      </c>
      <c r="AG146" s="0" t="inlineStr">
        <is>
          <t>충청북도 청주시 서원구</t>
        </is>
      </c>
      <c r="AH146" s="0" t="n">
        <v>412</v>
      </c>
      <c r="AI146" s="0" t="n">
        <v>195</v>
      </c>
      <c r="AJ146" s="0" t="n">
        <v>17</v>
      </c>
      <c r="AK146" s="0" t="n">
        <v>0</v>
      </c>
      <c r="AL146" s="0" t="n">
        <v>0</v>
      </c>
    </row>
    <row r="147">
      <c r="A147" s="0" t="inlineStr">
        <is>
          <t>[모충동]</t>
        </is>
      </c>
      <c r="B147" s="0" t="n">
        <v>127744</v>
      </c>
      <c r="C147" s="0" t="n">
        <v>7</v>
      </c>
      <c r="D147" s="0" t="inlineStr">
        <is>
          <t>청주모충LH트릴로채</t>
        </is>
      </c>
      <c r="E147" s="0" t="inlineStr">
        <is>
          <t>2021.11.</t>
        </is>
      </c>
      <c r="F147" s="0" t="n">
        <v>1692</v>
      </c>
      <c r="G147" s="0" t="n">
        <v>33.59</v>
      </c>
      <c r="H147" s="0" t="n">
        <v>111.06</v>
      </c>
      <c r="I147" s="0" t="n">
        <v>25.66</v>
      </c>
      <c r="J147" s="0" t="n">
        <v>84.84999999999999</v>
      </c>
      <c r="K147" s="0" t="n">
        <v>94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111B</t>
        </is>
      </c>
      <c r="X147" s="0" t="n">
        <v>29</v>
      </c>
      <c r="Y147" s="0" t="n">
        <v>12</v>
      </c>
      <c r="Z147" s="0" t="inlineStr">
        <is>
          <t>https://new.land.naver.com/complexes/127744?tab=detail&amp;rf=Y</t>
        </is>
      </c>
      <c r="AA147" s="0" t="inlineStr">
        <is>
          <t>충청북도 청주시 서원구 모충동 335-175번지 일원</t>
        </is>
      </c>
      <c r="AB147" s="0" t="inlineStr">
        <is>
          <t>충청북도</t>
        </is>
      </c>
      <c r="AC147" s="0" t="inlineStr">
        <is>
          <t>청주시</t>
        </is>
      </c>
      <c r="AD147" s="0" t="inlineStr">
        <is>
          <t>서원구</t>
        </is>
      </c>
      <c r="AE147" s="0" t="inlineStr">
        <is>
          <t>모충동</t>
        </is>
      </c>
      <c r="AG147" s="0" t="inlineStr">
        <is>
          <t>충청북도 청주시 서원구</t>
        </is>
      </c>
      <c r="AH147" s="0" t="n">
        <v>412</v>
      </c>
      <c r="AI147" s="0" t="n">
        <v>195</v>
      </c>
      <c r="AJ147" s="0" t="n">
        <v>17</v>
      </c>
      <c r="AK147" s="0" t="n">
        <v>0</v>
      </c>
      <c r="AL147" s="0" t="n">
        <v>0</v>
      </c>
    </row>
    <row r="148">
      <c r="A148" s="0" t="inlineStr">
        <is>
          <t>[모충동]</t>
        </is>
      </c>
      <c r="B148" s="0" t="n">
        <v>7295</v>
      </c>
      <c r="C148" s="0" t="n">
        <v>1</v>
      </c>
      <c r="D148" s="0" t="inlineStr">
        <is>
          <t>두산한솔</t>
        </is>
      </c>
      <c r="E148" s="0" t="inlineStr">
        <is>
          <t>1994.10.</t>
        </is>
      </c>
      <c r="F148" s="0" t="n">
        <v>392</v>
      </c>
      <c r="G148" s="0" t="n">
        <v>23.84</v>
      </c>
      <c r="H148" s="0" t="n">
        <v>78.84</v>
      </c>
      <c r="I148" s="0" t="n">
        <v>18.15</v>
      </c>
      <c r="J148" s="0" t="n">
        <v>60</v>
      </c>
      <c r="K148" s="0" t="n">
        <v>178</v>
      </c>
      <c r="T148" s="0" t="n">
        <v>3</v>
      </c>
      <c r="U148" s="0" t="n">
        <v>1</v>
      </c>
      <c r="V148" s="0" t="inlineStr">
        <is>
          <t>계단식</t>
        </is>
      </c>
      <c r="W148" s="0" t="n">
        <v>78</v>
      </c>
      <c r="X148" s="0" t="n">
        <v>15</v>
      </c>
      <c r="Y148" s="0" t="n">
        <v>8</v>
      </c>
      <c r="Z148" s="0" t="inlineStr">
        <is>
          <t>https://new.land.naver.com/complexes/7295?tab=detail&amp;rf=Y</t>
        </is>
      </c>
      <c r="AA148" s="0" t="inlineStr">
        <is>
          <t>충청북도 청주시 서원구 모충동 473</t>
        </is>
      </c>
      <c r="AB148" s="0" t="inlineStr">
        <is>
          <t>충청북도</t>
        </is>
      </c>
      <c r="AC148" s="0" t="inlineStr">
        <is>
          <t>청주시</t>
        </is>
      </c>
      <c r="AD148" s="0" t="inlineStr">
        <is>
          <t>서원구</t>
        </is>
      </c>
      <c r="AE148" s="0" t="inlineStr">
        <is>
          <t>모충동</t>
        </is>
      </c>
      <c r="AG148" s="0" t="inlineStr">
        <is>
          <t>충청북도 청주시 서원구 모충로124번길 53</t>
        </is>
      </c>
      <c r="AH148" s="0" t="n">
        <v>0</v>
      </c>
      <c r="AI148" s="0" t="n">
        <v>0</v>
      </c>
      <c r="AJ148" s="0" t="n">
        <v>0</v>
      </c>
      <c r="AK148" s="0" t="n">
        <v>429</v>
      </c>
      <c r="AL148" s="0" t="n">
        <v>1.09</v>
      </c>
    </row>
    <row r="149">
      <c r="A149" s="0" t="inlineStr">
        <is>
          <t>[모충동]</t>
        </is>
      </c>
      <c r="B149" s="0" t="n">
        <v>7295</v>
      </c>
      <c r="C149" s="0" t="n">
        <v>2</v>
      </c>
      <c r="D149" s="0" t="inlineStr">
        <is>
          <t>두산한솔</t>
        </is>
      </c>
      <c r="E149" s="0" t="inlineStr">
        <is>
          <t>1994.10.</t>
        </is>
      </c>
      <c r="F149" s="0" t="n">
        <v>392</v>
      </c>
      <c r="G149" s="0" t="n">
        <v>31.84</v>
      </c>
      <c r="H149" s="0" t="n">
        <v>105.28</v>
      </c>
      <c r="I149" s="0" t="n">
        <v>25.7</v>
      </c>
      <c r="J149" s="0" t="n">
        <v>84.98999999999999</v>
      </c>
      <c r="K149" s="0" t="n">
        <v>124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105</v>
      </c>
      <c r="X149" s="0" t="n">
        <v>15</v>
      </c>
      <c r="Y149" s="0" t="n">
        <v>8</v>
      </c>
      <c r="Z149" s="0" t="inlineStr">
        <is>
          <t>https://new.land.naver.com/complexes/7295?tab=detail&amp;rf=Y</t>
        </is>
      </c>
      <c r="AA149" s="0" t="inlineStr">
        <is>
          <t>충청북도 청주시 서원구 모충동 473</t>
        </is>
      </c>
      <c r="AB149" s="0" t="inlineStr">
        <is>
          <t>충청북도</t>
        </is>
      </c>
      <c r="AC149" s="0" t="inlineStr">
        <is>
          <t>청주시</t>
        </is>
      </c>
      <c r="AD149" s="0" t="inlineStr">
        <is>
          <t>서원구</t>
        </is>
      </c>
      <c r="AE149" s="0" t="inlineStr">
        <is>
          <t>모충동</t>
        </is>
      </c>
      <c r="AG149" s="0" t="inlineStr">
        <is>
          <t>충청북도 청주시 서원구 모충로124번길 53</t>
        </is>
      </c>
      <c r="AH149" s="0" t="n">
        <v>0</v>
      </c>
      <c r="AI149" s="0" t="n">
        <v>0</v>
      </c>
      <c r="AJ149" s="0" t="n">
        <v>0</v>
      </c>
      <c r="AK149" s="0" t="n">
        <v>429</v>
      </c>
      <c r="AL149" s="0" t="n">
        <v>1.09</v>
      </c>
    </row>
    <row r="150">
      <c r="A150" s="0" t="inlineStr">
        <is>
          <t>[모충동]</t>
        </is>
      </c>
      <c r="B150" s="0" t="n">
        <v>7295</v>
      </c>
      <c r="C150" s="0" t="n">
        <v>3</v>
      </c>
      <c r="D150" s="0" t="inlineStr">
        <is>
          <t>두산한솔</t>
        </is>
      </c>
      <c r="E150" s="0" t="inlineStr">
        <is>
          <t>1994.10.</t>
        </is>
      </c>
      <c r="F150" s="0" t="n">
        <v>392</v>
      </c>
      <c r="G150" s="0" t="n">
        <v>36.71</v>
      </c>
      <c r="H150" s="0" t="n">
        <v>121.36</v>
      </c>
      <c r="I150" s="0" t="n">
        <v>30.24</v>
      </c>
      <c r="J150" s="0" t="n">
        <v>99.97</v>
      </c>
      <c r="K150" s="0" t="n">
        <v>90</v>
      </c>
      <c r="T150" s="0" t="n">
        <v>3</v>
      </c>
      <c r="U150" s="0" t="n">
        <v>2</v>
      </c>
      <c r="V150" s="0" t="inlineStr">
        <is>
          <t>계단식</t>
        </is>
      </c>
      <c r="W150" s="0" t="n">
        <v>121</v>
      </c>
      <c r="X150" s="0" t="n">
        <v>15</v>
      </c>
      <c r="Y150" s="0" t="n">
        <v>8</v>
      </c>
      <c r="Z150" s="0" t="inlineStr">
        <is>
          <t>https://new.land.naver.com/complexes/7295?tab=detail&amp;rf=Y</t>
        </is>
      </c>
      <c r="AA150" s="0" t="inlineStr">
        <is>
          <t>충청북도 청주시 서원구 모충동 473</t>
        </is>
      </c>
      <c r="AB150" s="0" t="inlineStr">
        <is>
          <t>충청북도</t>
        </is>
      </c>
      <c r="AC150" s="0" t="inlineStr">
        <is>
          <t>청주시</t>
        </is>
      </c>
      <c r="AD150" s="0" t="inlineStr">
        <is>
          <t>서원구</t>
        </is>
      </c>
      <c r="AE150" s="0" t="inlineStr">
        <is>
          <t>모충동</t>
        </is>
      </c>
      <c r="AG150" s="0" t="inlineStr">
        <is>
          <t>충청북도 청주시 서원구 모충로124번길 53</t>
        </is>
      </c>
      <c r="AH150" s="0" t="n">
        <v>0</v>
      </c>
      <c r="AI150" s="0" t="n">
        <v>0</v>
      </c>
      <c r="AJ150" s="0" t="n">
        <v>0</v>
      </c>
      <c r="AK150" s="0" t="n">
        <v>429</v>
      </c>
      <c r="AL150" s="0" t="n">
        <v>1.09</v>
      </c>
    </row>
    <row r="151">
      <c r="A151" s="0" t="inlineStr">
        <is>
          <t>[모충동]</t>
        </is>
      </c>
      <c r="B151" s="0" t="n">
        <v>129009</v>
      </c>
      <c r="C151" s="0" t="n">
        <v>1</v>
      </c>
      <c r="D151" s="0" t="inlineStr">
        <is>
          <t>보영</t>
        </is>
      </c>
      <c r="E151" s="0" t="inlineStr">
        <is>
          <t>1991.12.</t>
        </is>
      </c>
      <c r="F151" s="0" t="n">
        <v>30</v>
      </c>
      <c r="G151" s="0" t="n">
        <v>13.48</v>
      </c>
      <c r="H151" s="0" t="n">
        <v>44.59</v>
      </c>
      <c r="I151" s="0" t="n">
        <v>10.2</v>
      </c>
      <c r="J151" s="0" t="n">
        <v>33.72</v>
      </c>
      <c r="K151" s="0" t="n">
        <v>5</v>
      </c>
      <c r="T151" s="0" t="n">
        <v>1</v>
      </c>
      <c r="U151" s="0" t="n">
        <v>1</v>
      </c>
      <c r="V151" s="0" t="inlineStr">
        <is>
          <t>계단식</t>
        </is>
      </c>
      <c r="W151" s="0" t="n">
        <v>44</v>
      </c>
      <c r="X151" s="0" t="n">
        <v>5</v>
      </c>
      <c r="Y151" s="0" t="n">
        <v>5</v>
      </c>
      <c r="Z151" s="0" t="inlineStr">
        <is>
          <t>https://new.land.naver.com/complexes/129009?tab=detail&amp;rf=Y</t>
        </is>
      </c>
      <c r="AA151" s="0" t="inlineStr">
        <is>
          <t>충청북도 청주시 서원구 모충동 439-2</t>
        </is>
      </c>
      <c r="AB151" s="0" t="inlineStr">
        <is>
          <t>충청북도</t>
        </is>
      </c>
      <c r="AC151" s="0" t="inlineStr">
        <is>
          <t>청주시</t>
        </is>
      </c>
      <c r="AD151" s="0" t="inlineStr">
        <is>
          <t>서원구</t>
        </is>
      </c>
      <c r="AE151" s="0" t="inlineStr">
        <is>
          <t>모충동</t>
        </is>
      </c>
      <c r="AG151" s="0" t="inlineStr">
        <is>
          <t>충청북도 청주시 서원구 창직로96번길 25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[모충동]</t>
        </is>
      </c>
      <c r="B152" s="0" t="n">
        <v>129009</v>
      </c>
      <c r="C152" s="0" t="n">
        <v>2</v>
      </c>
      <c r="D152" s="0" t="inlineStr">
        <is>
          <t>보영</t>
        </is>
      </c>
      <c r="E152" s="0" t="inlineStr">
        <is>
          <t>1991.12.</t>
        </is>
      </c>
      <c r="F152" s="0" t="n">
        <v>30</v>
      </c>
      <c r="G152" s="0" t="n">
        <v>15.68</v>
      </c>
      <c r="H152" s="0" t="n">
        <v>51.86</v>
      </c>
      <c r="I152" s="0" t="n">
        <v>11.86</v>
      </c>
      <c r="J152" s="0" t="n">
        <v>39.22</v>
      </c>
      <c r="K152" s="0" t="n">
        <v>5</v>
      </c>
      <c r="T152" s="0" t="n">
        <v>2</v>
      </c>
      <c r="U152" s="0" t="n">
        <v>1</v>
      </c>
      <c r="V152" s="0" t="inlineStr">
        <is>
          <t>계단식</t>
        </is>
      </c>
      <c r="W152" s="0" t="n">
        <v>51</v>
      </c>
      <c r="X152" s="0" t="n">
        <v>5</v>
      </c>
      <c r="Y152" s="0" t="n">
        <v>5</v>
      </c>
      <c r="Z152" s="0" t="inlineStr">
        <is>
          <t>https://new.land.naver.com/complexes/129009?tab=detail&amp;rf=Y</t>
        </is>
      </c>
      <c r="AA152" s="0" t="inlineStr">
        <is>
          <t>충청북도 청주시 서원구 모충동 439-2</t>
        </is>
      </c>
      <c r="AB152" s="0" t="inlineStr">
        <is>
          <t>충청북도</t>
        </is>
      </c>
      <c r="AC152" s="0" t="inlineStr">
        <is>
          <t>청주시</t>
        </is>
      </c>
      <c r="AD152" s="0" t="inlineStr">
        <is>
          <t>서원구</t>
        </is>
      </c>
      <c r="AE152" s="0" t="inlineStr">
        <is>
          <t>모충동</t>
        </is>
      </c>
      <c r="AG152" s="0" t="inlineStr">
        <is>
          <t>충청북도 청주시 서원구 창직로96번길 25</t>
        </is>
      </c>
      <c r="AH152" s="0" t="n">
        <v>0</v>
      </c>
      <c r="AI152" s="0" t="n">
        <v>0</v>
      </c>
      <c r="AJ152" s="0" t="n">
        <v>0</v>
      </c>
      <c r="AK152" s="0" t="n">
        <v>0</v>
      </c>
      <c r="AL152" s="0" t="n">
        <v>0</v>
      </c>
    </row>
    <row r="153">
      <c r="A153" s="0" t="inlineStr">
        <is>
          <t>[모충동]</t>
        </is>
      </c>
      <c r="B153" s="0" t="n">
        <v>129009</v>
      </c>
      <c r="C153" s="0" t="n">
        <v>3</v>
      </c>
      <c r="D153" s="0" t="inlineStr">
        <is>
          <t>보영</t>
        </is>
      </c>
      <c r="E153" s="0" t="inlineStr">
        <is>
          <t>1991.12.</t>
        </is>
      </c>
      <c r="F153" s="0" t="n">
        <v>30</v>
      </c>
      <c r="G153" s="0" t="n">
        <v>17.51</v>
      </c>
      <c r="H153" s="0" t="n">
        <v>57.91</v>
      </c>
      <c r="I153" s="0" t="n">
        <v>13.24</v>
      </c>
      <c r="J153" s="0" t="n">
        <v>43.8</v>
      </c>
      <c r="K153" s="0" t="n">
        <v>10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57A</t>
        </is>
      </c>
      <c r="X153" s="0" t="n">
        <v>5</v>
      </c>
      <c r="Y153" s="0" t="n">
        <v>5</v>
      </c>
      <c r="Z153" s="0" t="inlineStr">
        <is>
          <t>https://new.land.naver.com/complexes/129009?tab=detail&amp;rf=Y</t>
        </is>
      </c>
      <c r="AA153" s="0" t="inlineStr">
        <is>
          <t>충청북도 청주시 서원구 모충동 439-2</t>
        </is>
      </c>
      <c r="AB153" s="0" t="inlineStr">
        <is>
          <t>충청북도</t>
        </is>
      </c>
      <c r="AC153" s="0" t="inlineStr">
        <is>
          <t>청주시</t>
        </is>
      </c>
      <c r="AD153" s="0" t="inlineStr">
        <is>
          <t>서원구</t>
        </is>
      </c>
      <c r="AE153" s="0" t="inlineStr">
        <is>
          <t>모충동</t>
        </is>
      </c>
      <c r="AG153" s="0" t="inlineStr">
        <is>
          <t>충청북도 청주시 서원구 창직로96번길 25</t>
        </is>
      </c>
      <c r="AH153" s="0" t="n">
        <v>0</v>
      </c>
      <c r="AI153" s="0" t="n">
        <v>0</v>
      </c>
      <c r="AJ153" s="0" t="n">
        <v>0</v>
      </c>
      <c r="AK153" s="0" t="n">
        <v>0</v>
      </c>
      <c r="AL153" s="0" t="n">
        <v>0</v>
      </c>
    </row>
    <row r="154">
      <c r="A154" s="0" t="inlineStr">
        <is>
          <t>[모충동]</t>
        </is>
      </c>
      <c r="B154" s="0" t="n">
        <v>129009</v>
      </c>
      <c r="C154" s="0" t="n">
        <v>4</v>
      </c>
      <c r="D154" s="0" t="inlineStr">
        <is>
          <t>보영</t>
        </is>
      </c>
      <c r="E154" s="0" t="inlineStr">
        <is>
          <t>1991.12.</t>
        </is>
      </c>
      <c r="F154" s="0" t="n">
        <v>30</v>
      </c>
      <c r="G154" s="0" t="n">
        <v>17.9</v>
      </c>
      <c r="H154" s="0" t="n">
        <v>59.19</v>
      </c>
      <c r="I154" s="0" t="n">
        <v>13.53</v>
      </c>
      <c r="J154" s="0" t="n">
        <v>44.76</v>
      </c>
      <c r="K154" s="0" t="n">
        <v>5</v>
      </c>
      <c r="T154" s="0" t="n">
        <v>2</v>
      </c>
      <c r="U154" s="0" t="n">
        <v>1</v>
      </c>
      <c r="V154" s="0" t="inlineStr">
        <is>
          <t>계단식</t>
        </is>
      </c>
      <c r="W154" s="0" t="inlineStr">
        <is>
          <t>59B</t>
        </is>
      </c>
      <c r="X154" s="0" t="n">
        <v>5</v>
      </c>
      <c r="Y154" s="0" t="n">
        <v>5</v>
      </c>
      <c r="Z154" s="0" t="inlineStr">
        <is>
          <t>https://new.land.naver.com/complexes/129009?tab=detail&amp;rf=Y</t>
        </is>
      </c>
      <c r="AA154" s="0" t="inlineStr">
        <is>
          <t>충청북도 청주시 서원구 모충동 439-2</t>
        </is>
      </c>
      <c r="AB154" s="0" t="inlineStr">
        <is>
          <t>충청북도</t>
        </is>
      </c>
      <c r="AC154" s="0" t="inlineStr">
        <is>
          <t>청주시</t>
        </is>
      </c>
      <c r="AD154" s="0" t="inlineStr">
        <is>
          <t>서원구</t>
        </is>
      </c>
      <c r="AE154" s="0" t="inlineStr">
        <is>
          <t>모충동</t>
        </is>
      </c>
      <c r="AG154" s="0" t="inlineStr">
        <is>
          <t>충청북도 청주시 서원구 창직로96번길 25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[모충동]</t>
        </is>
      </c>
      <c r="B155" s="0" t="n">
        <v>129009</v>
      </c>
      <c r="C155" s="0" t="n">
        <v>5</v>
      </c>
      <c r="D155" s="0" t="inlineStr">
        <is>
          <t>보영</t>
        </is>
      </c>
      <c r="E155" s="0" t="inlineStr">
        <is>
          <t>1991.12.</t>
        </is>
      </c>
      <c r="F155" s="0" t="n">
        <v>30</v>
      </c>
      <c r="G155" s="0" t="n">
        <v>21.16</v>
      </c>
      <c r="H155" s="0" t="n">
        <v>69.98</v>
      </c>
      <c r="I155" s="0" t="n">
        <v>16</v>
      </c>
      <c r="J155" s="0" t="n">
        <v>52.92</v>
      </c>
      <c r="K155" s="0" t="n">
        <v>5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69</v>
      </c>
      <c r="X155" s="0" t="n">
        <v>5</v>
      </c>
      <c r="Y155" s="0" t="n">
        <v>5</v>
      </c>
      <c r="Z155" s="0" t="inlineStr">
        <is>
          <t>https://new.land.naver.com/complexes/129009?tab=detail&amp;rf=Y</t>
        </is>
      </c>
      <c r="AA155" s="0" t="inlineStr">
        <is>
          <t>충청북도 청주시 서원구 모충동 439-2</t>
        </is>
      </c>
      <c r="AB155" s="0" t="inlineStr">
        <is>
          <t>충청북도</t>
        </is>
      </c>
      <c r="AC155" s="0" t="inlineStr">
        <is>
          <t>청주시</t>
        </is>
      </c>
      <c r="AD155" s="0" t="inlineStr">
        <is>
          <t>서원구</t>
        </is>
      </c>
      <c r="AE155" s="0" t="inlineStr">
        <is>
          <t>모충동</t>
        </is>
      </c>
      <c r="AG155" s="0" t="inlineStr">
        <is>
          <t>충청북도 청주시 서원구 창직로96번길 25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[모충동]</t>
        </is>
      </c>
      <c r="B156" s="0" t="n">
        <v>7292</v>
      </c>
      <c r="C156" s="0" t="n">
        <v>1</v>
      </c>
      <c r="D156" s="0" t="inlineStr">
        <is>
          <t>금호타운</t>
        </is>
      </c>
      <c r="E156" s="0" t="inlineStr">
        <is>
          <t>1995.02.</t>
        </is>
      </c>
      <c r="F156" s="0" t="n">
        <v>418</v>
      </c>
      <c r="G156" s="0" t="n">
        <v>27.62</v>
      </c>
      <c r="H156" s="0" t="n">
        <v>91.33</v>
      </c>
      <c r="I156" s="0" t="n">
        <v>22.12</v>
      </c>
      <c r="J156" s="0" t="n">
        <v>73.13</v>
      </c>
      <c r="K156" s="0" t="n">
        <v>90</v>
      </c>
      <c r="T156" s="0" t="n">
        <v>3</v>
      </c>
      <c r="U156" s="0" t="n">
        <v>2</v>
      </c>
      <c r="V156" s="0" t="inlineStr">
        <is>
          <t>계단식</t>
        </is>
      </c>
      <c r="W156" s="0" t="n">
        <v>91</v>
      </c>
      <c r="X156" s="0" t="n">
        <v>15</v>
      </c>
      <c r="Y156" s="0" t="n">
        <v>10</v>
      </c>
      <c r="Z156" s="0" t="inlineStr">
        <is>
          <t>https://new.land.naver.com/complexes/7292?tab=detail&amp;rf=Y</t>
        </is>
      </c>
      <c r="AA156" s="0" t="inlineStr">
        <is>
          <t>충청북도 청주시 서원구 모충동 492</t>
        </is>
      </c>
      <c r="AB156" s="0" t="inlineStr">
        <is>
          <t>충청북도</t>
        </is>
      </c>
      <c r="AC156" s="0" t="inlineStr">
        <is>
          <t>청주시</t>
        </is>
      </c>
      <c r="AD156" s="0" t="inlineStr">
        <is>
          <t>서원구</t>
        </is>
      </c>
      <c r="AE156" s="0" t="inlineStr">
        <is>
          <t>모충동</t>
        </is>
      </c>
      <c r="AG156" s="0" t="inlineStr">
        <is>
          <t>충청북도 청주시 서원구 쌍샘로107번길 12</t>
        </is>
      </c>
      <c r="AH156" s="0" t="n">
        <v>0</v>
      </c>
      <c r="AI156" s="0" t="n">
        <v>0</v>
      </c>
      <c r="AJ156" s="0" t="n">
        <v>0</v>
      </c>
      <c r="AK156" s="0" t="n">
        <v>418</v>
      </c>
      <c r="AL156" s="0" t="n">
        <v>1</v>
      </c>
    </row>
    <row r="157">
      <c r="A157" s="0" t="inlineStr">
        <is>
          <t>[모충동]</t>
        </is>
      </c>
      <c r="B157" s="0" t="n">
        <v>7292</v>
      </c>
      <c r="C157" s="0" t="n">
        <v>2</v>
      </c>
      <c r="D157" s="0" t="inlineStr">
        <is>
          <t>금호타운</t>
        </is>
      </c>
      <c r="E157" s="0" t="inlineStr">
        <is>
          <t>1995.02.</t>
        </is>
      </c>
      <c r="F157" s="0" t="n">
        <v>418</v>
      </c>
      <c r="G157" s="0" t="n">
        <v>31.08</v>
      </c>
      <c r="H157" s="0" t="n">
        <v>102.75</v>
      </c>
      <c r="I157" s="0" t="n">
        <v>25.27</v>
      </c>
      <c r="J157" s="0" t="n">
        <v>83.54000000000001</v>
      </c>
      <c r="K157" s="0" t="n">
        <v>328</v>
      </c>
      <c r="T157" s="0" t="n">
        <v>3</v>
      </c>
      <c r="U157" s="0" t="n">
        <v>2</v>
      </c>
      <c r="V157" s="0" t="inlineStr">
        <is>
          <t>계단식</t>
        </is>
      </c>
      <c r="W157" s="0" t="n">
        <v>102</v>
      </c>
      <c r="X157" s="0" t="n">
        <v>15</v>
      </c>
      <c r="Y157" s="0" t="n">
        <v>10</v>
      </c>
      <c r="Z157" s="0" t="inlineStr">
        <is>
          <t>https://new.land.naver.com/complexes/7292?tab=detail&amp;rf=Y</t>
        </is>
      </c>
      <c r="AA157" s="0" t="inlineStr">
        <is>
          <t>충청북도 청주시 서원구 모충동 492</t>
        </is>
      </c>
      <c r="AB157" s="0" t="inlineStr">
        <is>
          <t>충청북도</t>
        </is>
      </c>
      <c r="AC157" s="0" t="inlineStr">
        <is>
          <t>청주시</t>
        </is>
      </c>
      <c r="AD157" s="0" t="inlineStr">
        <is>
          <t>서원구</t>
        </is>
      </c>
      <c r="AE157" s="0" t="inlineStr">
        <is>
          <t>모충동</t>
        </is>
      </c>
      <c r="AG157" s="0" t="inlineStr">
        <is>
          <t>충청북도 청주시 서원구 쌍샘로107번길 12</t>
        </is>
      </c>
      <c r="AH157" s="0" t="n">
        <v>0</v>
      </c>
      <c r="AI157" s="0" t="n">
        <v>0</v>
      </c>
      <c r="AJ157" s="0" t="n">
        <v>0</v>
      </c>
      <c r="AK157" s="0" t="n">
        <v>418</v>
      </c>
      <c r="AL157" s="0" t="n">
        <v>1</v>
      </c>
    </row>
    <row r="158">
      <c r="A158" s="0" t="inlineStr">
        <is>
          <t>[모충동]</t>
        </is>
      </c>
      <c r="B158" s="0" t="n">
        <v>7309</v>
      </c>
      <c r="C158" s="0" t="n">
        <v>1</v>
      </c>
      <c r="D158" s="0" t="inlineStr">
        <is>
          <t>주공2단지</t>
        </is>
      </c>
      <c r="E158" s="0" t="inlineStr">
        <is>
          <t>1989.08.</t>
        </is>
      </c>
      <c r="F158" s="0" t="n">
        <v>640</v>
      </c>
      <c r="G158" s="0" t="n">
        <v>14.96</v>
      </c>
      <c r="H158" s="0" t="n">
        <v>49.48</v>
      </c>
      <c r="I158" s="0" t="n">
        <v>11.88</v>
      </c>
      <c r="J158" s="0" t="n">
        <v>39.3</v>
      </c>
      <c r="K158" s="0" t="n">
        <v>130</v>
      </c>
      <c r="T158" s="0" t="n">
        <v>2</v>
      </c>
      <c r="U158" s="0" t="n">
        <v>1</v>
      </c>
      <c r="V158" s="0" t="inlineStr">
        <is>
          <t>계단식</t>
        </is>
      </c>
      <c r="W158" s="0" t="inlineStr">
        <is>
          <t>49A</t>
        </is>
      </c>
      <c r="X158" s="0" t="n">
        <v>5</v>
      </c>
      <c r="Y158" s="0" t="n">
        <v>5</v>
      </c>
      <c r="Z158" s="0" t="inlineStr">
        <is>
          <t>https://new.land.naver.com/complexes/7309?tab=detail&amp;rf=Y</t>
        </is>
      </c>
      <c r="AA158" s="0" t="inlineStr">
        <is>
          <t>충청북도 청주시 서원구 모충동 516</t>
        </is>
      </c>
      <c r="AB158" s="0" t="inlineStr">
        <is>
          <t>충청북도</t>
        </is>
      </c>
      <c r="AC158" s="0" t="inlineStr">
        <is>
          <t>청주시</t>
        </is>
      </c>
      <c r="AD158" s="0" t="inlineStr">
        <is>
          <t>서원구</t>
        </is>
      </c>
      <c r="AE158" s="0" t="inlineStr">
        <is>
          <t>모충동</t>
        </is>
      </c>
      <c r="AG158" s="0" t="inlineStr">
        <is>
          <t>충청북도 청주시 서원구 모충로 61</t>
        </is>
      </c>
      <c r="AH158" s="0" t="n">
        <v>0</v>
      </c>
      <c r="AI158" s="0" t="n">
        <v>0</v>
      </c>
      <c r="AJ158" s="0" t="n">
        <v>0</v>
      </c>
      <c r="AK158" s="0" t="n">
        <v>448</v>
      </c>
      <c r="AL158" s="0" t="n">
        <v>0.7</v>
      </c>
    </row>
    <row r="159">
      <c r="A159" s="0" t="inlineStr">
        <is>
          <t>[모충동]</t>
        </is>
      </c>
      <c r="B159" s="0" t="n">
        <v>7309</v>
      </c>
      <c r="C159" s="0" t="n">
        <v>2</v>
      </c>
      <c r="D159" s="0" t="inlineStr">
        <is>
          <t>주공2단지</t>
        </is>
      </c>
      <c r="E159" s="0" t="inlineStr">
        <is>
          <t>1989.08.</t>
        </is>
      </c>
      <c r="F159" s="0" t="n">
        <v>640</v>
      </c>
      <c r="G159" s="0" t="n">
        <v>15.09</v>
      </c>
      <c r="H159" s="0" t="n">
        <v>49.91</v>
      </c>
      <c r="I159" s="0" t="n">
        <v>12</v>
      </c>
      <c r="J159" s="0" t="n">
        <v>39.69</v>
      </c>
      <c r="K159" s="0" t="n">
        <v>100</v>
      </c>
      <c r="T159" s="0" t="n">
        <v>2</v>
      </c>
      <c r="U159" s="0" t="n">
        <v>1</v>
      </c>
      <c r="V159" s="0" t="inlineStr">
        <is>
          <t>계단식</t>
        </is>
      </c>
      <c r="W159" s="0" t="inlineStr">
        <is>
          <t>49B</t>
        </is>
      </c>
      <c r="X159" s="0" t="n">
        <v>5</v>
      </c>
      <c r="Y159" s="0" t="n">
        <v>5</v>
      </c>
      <c r="Z159" s="0" t="inlineStr">
        <is>
          <t>https://new.land.naver.com/complexes/7309?tab=detail&amp;rf=Y</t>
        </is>
      </c>
      <c r="AA159" s="0" t="inlineStr">
        <is>
          <t>충청북도 청주시 서원구 모충동 516</t>
        </is>
      </c>
      <c r="AB159" s="0" t="inlineStr">
        <is>
          <t>충청북도</t>
        </is>
      </c>
      <c r="AC159" s="0" t="inlineStr">
        <is>
          <t>청주시</t>
        </is>
      </c>
      <c r="AD159" s="0" t="inlineStr">
        <is>
          <t>서원구</t>
        </is>
      </c>
      <c r="AE159" s="0" t="inlineStr">
        <is>
          <t>모충동</t>
        </is>
      </c>
      <c r="AG159" s="0" t="inlineStr">
        <is>
          <t>충청북도 청주시 서원구 모충로 61</t>
        </is>
      </c>
      <c r="AH159" s="0" t="n">
        <v>0</v>
      </c>
      <c r="AI159" s="0" t="n">
        <v>0</v>
      </c>
      <c r="AJ159" s="0" t="n">
        <v>0</v>
      </c>
      <c r="AK159" s="0" t="n">
        <v>448</v>
      </c>
      <c r="AL159" s="0" t="n">
        <v>0.7</v>
      </c>
    </row>
    <row r="160">
      <c r="A160" s="0" t="inlineStr">
        <is>
          <t>[모충동]</t>
        </is>
      </c>
      <c r="B160" s="0" t="n">
        <v>7309</v>
      </c>
      <c r="C160" s="0" t="n">
        <v>3</v>
      </c>
      <c r="D160" s="0" t="inlineStr">
        <is>
          <t>주공2단지</t>
        </is>
      </c>
      <c r="E160" s="0" t="inlineStr">
        <is>
          <t>1989.08.</t>
        </is>
      </c>
      <c r="F160" s="0" t="n">
        <v>640</v>
      </c>
      <c r="G160" s="0" t="n">
        <v>18.92</v>
      </c>
      <c r="H160" s="0" t="n">
        <v>62.56</v>
      </c>
      <c r="I160" s="0" t="n">
        <v>15.43</v>
      </c>
      <c r="J160" s="0" t="n">
        <v>51.02</v>
      </c>
      <c r="K160" s="0" t="n">
        <v>227</v>
      </c>
      <c r="T160" s="0" t="n">
        <v>2</v>
      </c>
      <c r="U160" s="0" t="n">
        <v>1</v>
      </c>
      <c r="V160" s="0" t="inlineStr">
        <is>
          <t>계단식</t>
        </is>
      </c>
      <c r="W160" s="0" t="n">
        <v>62</v>
      </c>
      <c r="X160" s="0" t="n">
        <v>5</v>
      </c>
      <c r="Y160" s="0" t="n">
        <v>5</v>
      </c>
      <c r="Z160" s="0" t="inlineStr">
        <is>
          <t>https://new.land.naver.com/complexes/7309?tab=detail&amp;rf=Y</t>
        </is>
      </c>
      <c r="AA160" s="0" t="inlineStr">
        <is>
          <t>충청북도 청주시 서원구 모충동 516</t>
        </is>
      </c>
      <c r="AB160" s="0" t="inlineStr">
        <is>
          <t>충청북도</t>
        </is>
      </c>
      <c r="AC160" s="0" t="inlineStr">
        <is>
          <t>청주시</t>
        </is>
      </c>
      <c r="AD160" s="0" t="inlineStr">
        <is>
          <t>서원구</t>
        </is>
      </c>
      <c r="AE160" s="0" t="inlineStr">
        <is>
          <t>모충동</t>
        </is>
      </c>
      <c r="AG160" s="0" t="inlineStr">
        <is>
          <t>충청북도 청주시 서원구 모충로 61</t>
        </is>
      </c>
      <c r="AH160" s="0" t="n">
        <v>0</v>
      </c>
      <c r="AI160" s="0" t="n">
        <v>0</v>
      </c>
      <c r="AJ160" s="0" t="n">
        <v>0</v>
      </c>
      <c r="AK160" s="0" t="n">
        <v>448</v>
      </c>
      <c r="AL160" s="0" t="n">
        <v>0.7</v>
      </c>
    </row>
    <row r="161">
      <c r="A161" s="0" t="inlineStr">
        <is>
          <t>[모충동]</t>
        </is>
      </c>
      <c r="B161" s="0" t="n">
        <v>7309</v>
      </c>
      <c r="C161" s="0" t="n">
        <v>4</v>
      </c>
      <c r="D161" s="0" t="inlineStr">
        <is>
          <t>주공2단지</t>
        </is>
      </c>
      <c r="E161" s="0" t="inlineStr">
        <is>
          <t>1989.08.</t>
        </is>
      </c>
      <c r="F161" s="0" t="n">
        <v>640</v>
      </c>
      <c r="G161" s="0" t="n">
        <v>21.92</v>
      </c>
      <c r="H161" s="0" t="n">
        <v>72.48999999999999</v>
      </c>
      <c r="I161" s="0" t="n">
        <v>17.88</v>
      </c>
      <c r="J161" s="0" t="n">
        <v>59.12</v>
      </c>
      <c r="K161" s="0" t="n">
        <v>183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72</v>
      </c>
      <c r="X161" s="0" t="n">
        <v>5</v>
      </c>
      <c r="Y161" s="0" t="n">
        <v>5</v>
      </c>
      <c r="Z161" s="0" t="inlineStr">
        <is>
          <t>https://new.land.naver.com/complexes/7309?tab=detail&amp;rf=Y</t>
        </is>
      </c>
      <c r="AA161" s="0" t="inlineStr">
        <is>
          <t>충청북도 청주시 서원구 모충동 516</t>
        </is>
      </c>
      <c r="AB161" s="0" t="inlineStr">
        <is>
          <t>충청북도</t>
        </is>
      </c>
      <c r="AC161" s="0" t="inlineStr">
        <is>
          <t>청주시</t>
        </is>
      </c>
      <c r="AD161" s="0" t="inlineStr">
        <is>
          <t>서원구</t>
        </is>
      </c>
      <c r="AE161" s="0" t="inlineStr">
        <is>
          <t>모충동</t>
        </is>
      </c>
      <c r="AG161" s="0" t="inlineStr">
        <is>
          <t>충청북도 청주시 서원구 모충로 61</t>
        </is>
      </c>
      <c r="AH161" s="0" t="n">
        <v>0</v>
      </c>
      <c r="AI161" s="0" t="n">
        <v>0</v>
      </c>
      <c r="AJ161" s="0" t="n">
        <v>0</v>
      </c>
      <c r="AK161" s="0" t="n">
        <v>448</v>
      </c>
      <c r="AL161" s="0" t="n">
        <v>0.7</v>
      </c>
    </row>
    <row r="162">
      <c r="A162" s="0" t="inlineStr">
        <is>
          <t>[모충동]</t>
        </is>
      </c>
      <c r="B162" s="0" t="n">
        <v>115030</v>
      </c>
      <c r="C162" s="0" t="n">
        <v>1</v>
      </c>
      <c r="D162" s="0" t="inlineStr">
        <is>
          <t>세진</t>
        </is>
      </c>
      <c r="E162" s="0" t="inlineStr">
        <is>
          <t>1986.11.</t>
        </is>
      </c>
      <c r="F162" s="0" t="n">
        <v>35</v>
      </c>
      <c r="G162" s="0" t="n">
        <v>19.76</v>
      </c>
      <c r="H162" s="0" t="n">
        <v>65.34</v>
      </c>
      <c r="I162" s="0" t="n">
        <v>18.13</v>
      </c>
      <c r="J162" s="0" t="n">
        <v>59.94</v>
      </c>
      <c r="K162" s="0" t="n">
        <v>25</v>
      </c>
      <c r="T162" s="0" t="n">
        <v>2</v>
      </c>
      <c r="U162" s="0" t="n">
        <v>1</v>
      </c>
      <c r="V162" s="0" t="inlineStr">
        <is>
          <t>계단식</t>
        </is>
      </c>
      <c r="W162" s="0" t="n">
        <v>65</v>
      </c>
      <c r="X162" s="0" t="n">
        <v>5</v>
      </c>
      <c r="Y162" s="0" t="n">
        <v>5</v>
      </c>
      <c r="Z162" s="0" t="inlineStr">
        <is>
          <t>https://new.land.naver.com/complexes/115030?tab=detail&amp;rf=Y</t>
        </is>
      </c>
      <c r="AA162" s="0" t="inlineStr">
        <is>
          <t>충청북도 청주시 서원구 모충동 387-1</t>
        </is>
      </c>
      <c r="AB162" s="0" t="inlineStr">
        <is>
          <t>충청북도</t>
        </is>
      </c>
      <c r="AC162" s="0" t="inlineStr">
        <is>
          <t>청주시</t>
        </is>
      </c>
      <c r="AD162" s="0" t="inlineStr">
        <is>
          <t>서원구</t>
        </is>
      </c>
      <c r="AE162" s="0" t="inlineStr">
        <is>
          <t>모충동</t>
        </is>
      </c>
      <c r="AG162" s="0" t="inlineStr">
        <is>
          <t>충청북도 청주시 서원구 쌍샘로 56</t>
        </is>
      </c>
      <c r="AH162" s="0" t="n">
        <v>0</v>
      </c>
      <c r="AI162" s="0" t="n">
        <v>0</v>
      </c>
      <c r="AJ162" s="0" t="n">
        <v>0</v>
      </c>
      <c r="AK162" s="0" t="n">
        <v>0</v>
      </c>
      <c r="AL162" s="0" t="n">
        <v>0</v>
      </c>
    </row>
    <row r="163">
      <c r="A163" s="0" t="inlineStr">
        <is>
          <t>[모충동]</t>
        </is>
      </c>
      <c r="B163" s="0" t="n">
        <v>115030</v>
      </c>
      <c r="C163" s="0" t="n">
        <v>2</v>
      </c>
      <c r="D163" s="0" t="inlineStr">
        <is>
          <t>세진</t>
        </is>
      </c>
      <c r="E163" s="0" t="inlineStr">
        <is>
          <t>1986.11.</t>
        </is>
      </c>
      <c r="F163" s="0" t="n">
        <v>35</v>
      </c>
      <c r="G163" s="0" t="n">
        <v>20.66</v>
      </c>
      <c r="H163" s="0" t="n">
        <v>68.31</v>
      </c>
      <c r="I163" s="0" t="n">
        <v>19.03</v>
      </c>
      <c r="J163" s="0" t="n">
        <v>62.91</v>
      </c>
      <c r="K163" s="0" t="n">
        <v>5</v>
      </c>
      <c r="T163" s="0" t="n">
        <v>2</v>
      </c>
      <c r="U163" s="0" t="n">
        <v>1</v>
      </c>
      <c r="V163" s="0" t="inlineStr">
        <is>
          <t>계단식</t>
        </is>
      </c>
      <c r="W163" s="0" t="n">
        <v>68</v>
      </c>
      <c r="X163" s="0" t="n">
        <v>5</v>
      </c>
      <c r="Y163" s="0" t="n">
        <v>5</v>
      </c>
      <c r="Z163" s="0" t="inlineStr">
        <is>
          <t>https://new.land.naver.com/complexes/115030?tab=detail&amp;rf=Y</t>
        </is>
      </c>
      <c r="AA163" s="0" t="inlineStr">
        <is>
          <t>충청북도 청주시 서원구 모충동 387-1</t>
        </is>
      </c>
      <c r="AB163" s="0" t="inlineStr">
        <is>
          <t>충청북도</t>
        </is>
      </c>
      <c r="AC163" s="0" t="inlineStr">
        <is>
          <t>청주시</t>
        </is>
      </c>
      <c r="AD163" s="0" t="inlineStr">
        <is>
          <t>서원구</t>
        </is>
      </c>
      <c r="AE163" s="0" t="inlineStr">
        <is>
          <t>모충동</t>
        </is>
      </c>
      <c r="AG163" s="0" t="inlineStr">
        <is>
          <t>충청북도 청주시 서원구 쌍샘로 56</t>
        </is>
      </c>
      <c r="AH163" s="0" t="n">
        <v>0</v>
      </c>
      <c r="AI163" s="0" t="n">
        <v>0</v>
      </c>
      <c r="AJ163" s="0" t="n">
        <v>0</v>
      </c>
      <c r="AK163" s="0" t="n">
        <v>0</v>
      </c>
      <c r="AL163" s="0" t="n">
        <v>0</v>
      </c>
    </row>
    <row r="164">
      <c r="A164" s="0" t="inlineStr">
        <is>
          <t>[모충동]</t>
        </is>
      </c>
      <c r="B164" s="0" t="n">
        <v>115030</v>
      </c>
      <c r="C164" s="0" t="n">
        <v>3</v>
      </c>
      <c r="D164" s="0" t="inlineStr">
        <is>
          <t>세진</t>
        </is>
      </c>
      <c r="E164" s="0" t="inlineStr">
        <is>
          <t>1986.11.</t>
        </is>
      </c>
      <c r="F164" s="0" t="n">
        <v>35</v>
      </c>
      <c r="G164" s="0" t="n">
        <v>23.35</v>
      </c>
      <c r="H164" s="0" t="n">
        <v>77.22</v>
      </c>
      <c r="I164" s="0" t="n">
        <v>19.54</v>
      </c>
      <c r="J164" s="0" t="n">
        <v>64.62</v>
      </c>
      <c r="K164" s="0" t="n">
        <v>5</v>
      </c>
      <c r="T164" s="0" t="n">
        <v>3</v>
      </c>
      <c r="U164" s="0" t="n">
        <v>1</v>
      </c>
      <c r="V164" s="0" t="inlineStr">
        <is>
          <t>계단식</t>
        </is>
      </c>
      <c r="W164" s="0" t="n">
        <v>77</v>
      </c>
      <c r="X164" s="0" t="n">
        <v>5</v>
      </c>
      <c r="Y164" s="0" t="n">
        <v>5</v>
      </c>
      <c r="Z164" s="0" t="inlineStr">
        <is>
          <t>https://new.land.naver.com/complexes/115030?tab=detail&amp;rf=Y</t>
        </is>
      </c>
      <c r="AA164" s="0" t="inlineStr">
        <is>
          <t>충청북도 청주시 서원구 모충동 387-1</t>
        </is>
      </c>
      <c r="AB164" s="0" t="inlineStr">
        <is>
          <t>충청북도</t>
        </is>
      </c>
      <c r="AC164" s="0" t="inlineStr">
        <is>
          <t>청주시</t>
        </is>
      </c>
      <c r="AD164" s="0" t="inlineStr">
        <is>
          <t>서원구</t>
        </is>
      </c>
      <c r="AE164" s="0" t="inlineStr">
        <is>
          <t>모충동</t>
        </is>
      </c>
      <c r="AG164" s="0" t="inlineStr">
        <is>
          <t>충청북도 청주시 서원구 쌍샘로 56</t>
        </is>
      </c>
      <c r="AH164" s="0" t="n">
        <v>0</v>
      </c>
      <c r="AI164" s="0" t="n">
        <v>0</v>
      </c>
      <c r="AJ164" s="0" t="n">
        <v>0</v>
      </c>
      <c r="AK164" s="0" t="n">
        <v>0</v>
      </c>
      <c r="AL164" s="0" t="n">
        <v>0</v>
      </c>
    </row>
    <row r="165">
      <c r="A165" s="0" t="inlineStr">
        <is>
          <t>[분평동]</t>
        </is>
      </c>
      <c r="B165" s="0" t="n">
        <v>13988</v>
      </c>
      <c r="C165" s="0" t="n">
        <v>1</v>
      </c>
      <c r="D165" s="0" t="inlineStr">
        <is>
          <t>보성</t>
        </is>
      </c>
      <c r="E165" s="0" t="inlineStr">
        <is>
          <t>1992.12.</t>
        </is>
      </c>
      <c r="F165" s="0" t="n">
        <v>155</v>
      </c>
      <c r="G165" s="0" t="n">
        <v>28.8</v>
      </c>
      <c r="H165" s="0" t="n">
        <v>95.22</v>
      </c>
      <c r="I165" s="0" t="n">
        <v>25.69</v>
      </c>
      <c r="J165" s="0" t="n">
        <v>84.93000000000001</v>
      </c>
      <c r="K165" s="0" t="n">
        <v>96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95</v>
      </c>
      <c r="X165" s="0" t="n">
        <v>14</v>
      </c>
      <c r="Y165" s="0" t="n">
        <v>8</v>
      </c>
      <c r="Z165" s="0" t="inlineStr">
        <is>
          <t>https://new.land.naver.com/complexes/13988?tab=detail&amp;rf=Y</t>
        </is>
      </c>
      <c r="AA165" s="0" t="inlineStr">
        <is>
          <t>충청북도 청주시 서원구 분평동 301-2</t>
        </is>
      </c>
      <c r="AB165" s="0" t="inlineStr">
        <is>
          <t>충청북도</t>
        </is>
      </c>
      <c r="AC165" s="0" t="inlineStr">
        <is>
          <t>청주시</t>
        </is>
      </c>
      <c r="AD165" s="0" t="inlineStr">
        <is>
          <t>서원구</t>
        </is>
      </c>
      <c r="AE165" s="0" t="inlineStr">
        <is>
          <t>분평동</t>
        </is>
      </c>
      <c r="AG165" s="0" t="inlineStr">
        <is>
          <t>충청북도 청주시 서원구 매봉로2번길 55</t>
        </is>
      </c>
      <c r="AH165" s="0" t="n">
        <v>0</v>
      </c>
      <c r="AI165" s="0" t="n">
        <v>0</v>
      </c>
      <c r="AJ165" s="0" t="n">
        <v>0</v>
      </c>
      <c r="AK165" s="0" t="n">
        <v>0</v>
      </c>
      <c r="AL165" s="0" t="n">
        <v>0</v>
      </c>
    </row>
    <row r="166">
      <c r="A166" s="0" t="inlineStr">
        <is>
          <t>[분평동]</t>
        </is>
      </c>
      <c r="B166" s="0" t="n">
        <v>13988</v>
      </c>
      <c r="C166" s="0" t="n">
        <v>2</v>
      </c>
      <c r="D166" s="0" t="inlineStr">
        <is>
          <t>보성</t>
        </is>
      </c>
      <c r="E166" s="0" t="inlineStr">
        <is>
          <t>1992.12.</t>
        </is>
      </c>
      <c r="F166" s="0" t="n">
        <v>155</v>
      </c>
      <c r="G166" s="0" t="n">
        <v>41.78</v>
      </c>
      <c r="H166" s="0" t="n">
        <v>138.14</v>
      </c>
      <c r="I166" s="0" t="n">
        <v>38.47</v>
      </c>
      <c r="J166" s="0" t="n">
        <v>127.2</v>
      </c>
      <c r="K166" s="0" t="n">
        <v>39</v>
      </c>
      <c r="T166" s="0" t="n">
        <v>4</v>
      </c>
      <c r="U166" s="0" t="n">
        <v>2</v>
      </c>
      <c r="V166" s="0" t="inlineStr">
        <is>
          <t>계단식</t>
        </is>
      </c>
      <c r="W166" s="0" t="n">
        <v>138</v>
      </c>
      <c r="X166" s="0" t="n">
        <v>14</v>
      </c>
      <c r="Y166" s="0" t="n">
        <v>8</v>
      </c>
      <c r="Z166" s="0" t="inlineStr">
        <is>
          <t>https://new.land.naver.com/complexes/13988?tab=detail&amp;rf=Y</t>
        </is>
      </c>
      <c r="AA166" s="0" t="inlineStr">
        <is>
          <t>충청북도 청주시 서원구 분평동 301-2</t>
        </is>
      </c>
      <c r="AB166" s="0" t="inlineStr">
        <is>
          <t>충청북도</t>
        </is>
      </c>
      <c r="AC166" s="0" t="inlineStr">
        <is>
          <t>청주시</t>
        </is>
      </c>
      <c r="AD166" s="0" t="inlineStr">
        <is>
          <t>서원구</t>
        </is>
      </c>
      <c r="AE166" s="0" t="inlineStr">
        <is>
          <t>분평동</t>
        </is>
      </c>
      <c r="AG166" s="0" t="inlineStr">
        <is>
          <t>충청북도 청주시 서원구 매봉로2번길 55</t>
        </is>
      </c>
      <c r="AH166" s="0" t="n">
        <v>0</v>
      </c>
      <c r="AI166" s="0" t="n">
        <v>0</v>
      </c>
      <c r="AJ166" s="0" t="n">
        <v>0</v>
      </c>
      <c r="AK166" s="0" t="n">
        <v>0</v>
      </c>
      <c r="AL166" s="0" t="n">
        <v>0</v>
      </c>
    </row>
    <row r="167">
      <c r="A167" s="0" t="inlineStr">
        <is>
          <t>[분평동]</t>
        </is>
      </c>
      <c r="B167" s="0" t="n">
        <v>13988</v>
      </c>
      <c r="C167" s="0" t="n">
        <v>3</v>
      </c>
      <c r="D167" s="0" t="inlineStr">
        <is>
          <t>보성</t>
        </is>
      </c>
      <c r="E167" s="0" t="inlineStr">
        <is>
          <t>1992.12.</t>
        </is>
      </c>
      <c r="F167" s="0" t="n">
        <v>155</v>
      </c>
      <c r="G167" s="0" t="n">
        <v>50.74</v>
      </c>
      <c r="H167" s="0" t="n">
        <v>167.75</v>
      </c>
      <c r="I167" s="0" t="n">
        <v>47.41</v>
      </c>
      <c r="J167" s="0" t="n">
        <v>156.74</v>
      </c>
      <c r="K167" s="0" t="n">
        <v>20</v>
      </c>
      <c r="T167" s="0" t="n">
        <v>4</v>
      </c>
      <c r="U167" s="0" t="n">
        <v>2</v>
      </c>
      <c r="V167" s="0" t="inlineStr">
        <is>
          <t>계단식</t>
        </is>
      </c>
      <c r="W167" s="0" t="n">
        <v>167</v>
      </c>
      <c r="X167" s="0" t="n">
        <v>14</v>
      </c>
      <c r="Y167" s="0" t="n">
        <v>8</v>
      </c>
      <c r="Z167" s="0" t="inlineStr">
        <is>
          <t>https://new.land.naver.com/complexes/13988?tab=detail&amp;rf=Y</t>
        </is>
      </c>
      <c r="AA167" s="0" t="inlineStr">
        <is>
          <t>충청북도 청주시 서원구 분평동 301-2</t>
        </is>
      </c>
      <c r="AB167" s="0" t="inlineStr">
        <is>
          <t>충청북도</t>
        </is>
      </c>
      <c r="AC167" s="0" t="inlineStr">
        <is>
          <t>청주시</t>
        </is>
      </c>
      <c r="AD167" s="0" t="inlineStr">
        <is>
          <t>서원구</t>
        </is>
      </c>
      <c r="AE167" s="0" t="inlineStr">
        <is>
          <t>분평동</t>
        </is>
      </c>
      <c r="AG167" s="0" t="inlineStr">
        <is>
          <t>충청북도 청주시 서원구 매봉로2번길 55</t>
        </is>
      </c>
      <c r="AH167" s="0" t="n">
        <v>0</v>
      </c>
      <c r="AI167" s="0" t="n">
        <v>0</v>
      </c>
      <c r="AJ167" s="0" t="n">
        <v>0</v>
      </c>
      <c r="AK167" s="0" t="n">
        <v>0</v>
      </c>
      <c r="AL167" s="0" t="n">
        <v>0</v>
      </c>
    </row>
    <row r="168">
      <c r="A168" s="0" t="inlineStr">
        <is>
          <t>[분평동]</t>
        </is>
      </c>
      <c r="B168" s="0" t="n">
        <v>102106</v>
      </c>
      <c r="C168" s="0" t="n">
        <v>1</v>
      </c>
      <c r="D168" s="0" t="inlineStr">
        <is>
          <t>대승스카이빌</t>
        </is>
      </c>
      <c r="E168" s="0" t="inlineStr">
        <is>
          <t>2001.06.</t>
        </is>
      </c>
      <c r="F168" s="0" t="n">
        <v>306</v>
      </c>
      <c r="G168" s="0" t="n">
        <v>15.32</v>
      </c>
      <c r="H168" s="0" t="n">
        <v>50.66</v>
      </c>
      <c r="I168" s="0" t="n">
        <v>10.55</v>
      </c>
      <c r="J168" s="0" t="n">
        <v>34.88</v>
      </c>
      <c r="K168" s="0" t="n">
        <v>306</v>
      </c>
      <c r="T168" s="0" t="n">
        <v>2</v>
      </c>
      <c r="U168" s="0" t="n">
        <v>1</v>
      </c>
      <c r="V168" s="0" t="inlineStr">
        <is>
          <t>계단식</t>
        </is>
      </c>
      <c r="W168" s="0" t="n">
        <v>50</v>
      </c>
      <c r="X168" s="0" t="n">
        <v>15</v>
      </c>
      <c r="Y168" s="0" t="n">
        <v>15</v>
      </c>
      <c r="Z168" s="0" t="inlineStr">
        <is>
          <t>https://new.land.naver.com/complexes/102106?tab=detail&amp;rf=Y</t>
        </is>
      </c>
      <c r="AA168" s="0" t="inlineStr">
        <is>
          <t>충청북도 청주시 서원구 분평동 275-1</t>
        </is>
      </c>
      <c r="AB168" s="0" t="inlineStr">
        <is>
          <t>충청북도</t>
        </is>
      </c>
      <c r="AC168" s="0" t="inlineStr">
        <is>
          <t>청주시</t>
        </is>
      </c>
      <c r="AD168" s="0" t="inlineStr">
        <is>
          <t>서원구</t>
        </is>
      </c>
      <c r="AE168" s="0" t="inlineStr">
        <is>
          <t>분평동</t>
        </is>
      </c>
      <c r="AG168" s="0" t="inlineStr">
        <is>
          <t>충청북도 청주시 서원구 안뜸로12번길 13</t>
        </is>
      </c>
      <c r="AH168" s="0" t="n">
        <v>0</v>
      </c>
      <c r="AI168" s="0" t="n">
        <v>0</v>
      </c>
      <c r="AJ168" s="0" t="n">
        <v>0</v>
      </c>
      <c r="AK168" s="0" t="n">
        <v>0</v>
      </c>
      <c r="AL168" s="0" t="n">
        <v>0</v>
      </c>
    </row>
    <row r="169">
      <c r="A169" s="0" t="inlineStr">
        <is>
          <t>[분평동]</t>
        </is>
      </c>
      <c r="B169" s="0" t="n">
        <v>7487</v>
      </c>
      <c r="C169" s="0" t="n">
        <v>1</v>
      </c>
      <c r="D169" s="0" t="inlineStr">
        <is>
          <t>주공2단지</t>
        </is>
      </c>
      <c r="E169" s="0" t="inlineStr">
        <is>
          <t>1997.06.</t>
        </is>
      </c>
      <c r="F169" s="0" t="n">
        <v>1310</v>
      </c>
      <c r="G169" s="0" t="n">
        <v>17.49</v>
      </c>
      <c r="H169" s="0" t="n">
        <v>57.84</v>
      </c>
      <c r="I169" s="0" t="n">
        <v>12</v>
      </c>
      <c r="J169" s="0" t="n">
        <v>39.69</v>
      </c>
      <c r="K169" s="0" t="n">
        <v>120</v>
      </c>
      <c r="T169" s="0" t="n">
        <v>2</v>
      </c>
      <c r="U169" s="0" t="n">
        <v>1</v>
      </c>
      <c r="V169" s="0" t="inlineStr">
        <is>
          <t>복도식</t>
        </is>
      </c>
      <c r="W169" s="0" t="n">
        <v>57</v>
      </c>
      <c r="X169" s="0" t="n">
        <v>20</v>
      </c>
      <c r="Y169" s="0" t="n">
        <v>15</v>
      </c>
      <c r="Z169" s="0" t="inlineStr">
        <is>
          <t>https://new.land.naver.com/complexes/7487?tab=detail&amp;rf=Y</t>
        </is>
      </c>
      <c r="AA169" s="0" t="inlineStr">
        <is>
          <t>충청북도 청주시 서원구 분평동 1202</t>
        </is>
      </c>
      <c r="AB169" s="0" t="inlineStr">
        <is>
          <t>충청북도</t>
        </is>
      </c>
      <c r="AC169" s="0" t="inlineStr">
        <is>
          <t>청주시</t>
        </is>
      </c>
      <c r="AD169" s="0" t="inlineStr">
        <is>
          <t>서원구</t>
        </is>
      </c>
      <c r="AE169" s="0" t="inlineStr">
        <is>
          <t>분평동</t>
        </is>
      </c>
      <c r="AG169" s="0" t="inlineStr">
        <is>
          <t>충청북도 청주시 서원구 1순환로1137번길 129</t>
        </is>
      </c>
      <c r="AH169" s="0" t="n">
        <v>0</v>
      </c>
      <c r="AI169" s="0" t="n">
        <v>0</v>
      </c>
      <c r="AJ169" s="0" t="n">
        <v>0</v>
      </c>
      <c r="AK169" s="0" t="n">
        <v>793</v>
      </c>
      <c r="AL169" s="0" t="n">
        <v>0.61</v>
      </c>
    </row>
    <row r="170">
      <c r="A170" s="0" t="inlineStr">
        <is>
          <t>[분평동]</t>
        </is>
      </c>
      <c r="B170" s="0" t="n">
        <v>7487</v>
      </c>
      <c r="C170" s="0" t="n">
        <v>2</v>
      </c>
      <c r="D170" s="0" t="inlineStr">
        <is>
          <t>주공2단지</t>
        </is>
      </c>
      <c r="E170" s="0" t="inlineStr">
        <is>
          <t>1997.06.</t>
        </is>
      </c>
      <c r="F170" s="0" t="n">
        <v>1310</v>
      </c>
      <c r="G170" s="0" t="n">
        <v>21.51</v>
      </c>
      <c r="H170" s="0" t="n">
        <v>71.12</v>
      </c>
      <c r="I170" s="0" t="n">
        <v>15.05</v>
      </c>
      <c r="J170" s="0" t="n">
        <v>49.77</v>
      </c>
      <c r="K170" s="0" t="n">
        <v>120</v>
      </c>
      <c r="T170" s="0" t="n">
        <v>2</v>
      </c>
      <c r="U170" s="0" t="n">
        <v>1</v>
      </c>
      <c r="V170" s="0" t="inlineStr">
        <is>
          <t>복도식</t>
        </is>
      </c>
      <c r="W170" s="0" t="n">
        <v>71</v>
      </c>
      <c r="X170" s="0" t="n">
        <v>20</v>
      </c>
      <c r="Y170" s="0" t="n">
        <v>15</v>
      </c>
      <c r="Z170" s="0" t="inlineStr">
        <is>
          <t>https://new.land.naver.com/complexes/7487?tab=detail&amp;rf=Y</t>
        </is>
      </c>
      <c r="AA170" s="0" t="inlineStr">
        <is>
          <t>충청북도 청주시 서원구 분평동 1202</t>
        </is>
      </c>
      <c r="AB170" s="0" t="inlineStr">
        <is>
          <t>충청북도</t>
        </is>
      </c>
      <c r="AC170" s="0" t="inlineStr">
        <is>
          <t>청주시</t>
        </is>
      </c>
      <c r="AD170" s="0" t="inlineStr">
        <is>
          <t>서원구</t>
        </is>
      </c>
      <c r="AE170" s="0" t="inlineStr">
        <is>
          <t>분평동</t>
        </is>
      </c>
      <c r="AG170" s="0" t="inlineStr">
        <is>
          <t>충청북도 청주시 서원구 1순환로1137번길 129</t>
        </is>
      </c>
      <c r="AH170" s="0" t="n">
        <v>0</v>
      </c>
      <c r="AI170" s="0" t="n">
        <v>0</v>
      </c>
      <c r="AJ170" s="0" t="n">
        <v>0</v>
      </c>
      <c r="AK170" s="0" t="n">
        <v>793</v>
      </c>
      <c r="AL170" s="0" t="n">
        <v>0.61</v>
      </c>
    </row>
    <row r="171">
      <c r="A171" s="0" t="inlineStr">
        <is>
          <t>[분평동]</t>
        </is>
      </c>
      <c r="B171" s="0" t="n">
        <v>7487</v>
      </c>
      <c r="C171" s="0" t="n">
        <v>3</v>
      </c>
      <c r="D171" s="0" t="inlineStr">
        <is>
          <t>주공2단지</t>
        </is>
      </c>
      <c r="E171" s="0" t="inlineStr">
        <is>
          <t>1997.06.</t>
        </is>
      </c>
      <c r="F171" s="0" t="n">
        <v>1310</v>
      </c>
      <c r="G171" s="0" t="n">
        <v>23.21</v>
      </c>
      <c r="H171" s="0" t="n">
        <v>76.73999999999999</v>
      </c>
      <c r="I171" s="0" t="n">
        <v>18.06</v>
      </c>
      <c r="J171" s="0" t="n">
        <v>59.71</v>
      </c>
      <c r="K171" s="0" t="n">
        <v>390</v>
      </c>
      <c r="T171" s="0" t="n">
        <v>3</v>
      </c>
      <c r="U171" s="0" t="n">
        <v>1</v>
      </c>
      <c r="V171" s="0" t="inlineStr">
        <is>
          <t>계단식</t>
        </is>
      </c>
      <c r="W171" s="0" t="n">
        <v>76</v>
      </c>
      <c r="X171" s="0" t="n">
        <v>20</v>
      </c>
      <c r="Y171" s="0" t="n">
        <v>15</v>
      </c>
      <c r="Z171" s="0" t="inlineStr">
        <is>
          <t>https://new.land.naver.com/complexes/7487?tab=detail&amp;rf=Y</t>
        </is>
      </c>
      <c r="AA171" s="0" t="inlineStr">
        <is>
          <t>충청북도 청주시 서원구 분평동 1202</t>
        </is>
      </c>
      <c r="AB171" s="0" t="inlineStr">
        <is>
          <t>충청북도</t>
        </is>
      </c>
      <c r="AC171" s="0" t="inlineStr">
        <is>
          <t>청주시</t>
        </is>
      </c>
      <c r="AD171" s="0" t="inlineStr">
        <is>
          <t>서원구</t>
        </is>
      </c>
      <c r="AE171" s="0" t="inlineStr">
        <is>
          <t>분평동</t>
        </is>
      </c>
      <c r="AG171" s="0" t="inlineStr">
        <is>
          <t>충청북도 청주시 서원구 1순환로1137번길 129</t>
        </is>
      </c>
      <c r="AH171" s="0" t="n">
        <v>0</v>
      </c>
      <c r="AI171" s="0" t="n">
        <v>0</v>
      </c>
      <c r="AJ171" s="0" t="n">
        <v>0</v>
      </c>
      <c r="AK171" s="0" t="n">
        <v>793</v>
      </c>
      <c r="AL171" s="0" t="n">
        <v>0.61</v>
      </c>
    </row>
    <row r="172">
      <c r="A172" s="0" t="inlineStr">
        <is>
          <t>[분평동]</t>
        </is>
      </c>
      <c r="B172" s="0" t="n">
        <v>7487</v>
      </c>
      <c r="C172" s="0" t="n">
        <v>4</v>
      </c>
      <c r="D172" s="0" t="inlineStr">
        <is>
          <t>주공2단지</t>
        </is>
      </c>
      <c r="E172" s="0" t="inlineStr">
        <is>
          <t>1997.06.</t>
        </is>
      </c>
      <c r="F172" s="0" t="n">
        <v>1310</v>
      </c>
      <c r="G172" s="0" t="n">
        <v>24.59</v>
      </c>
      <c r="H172" s="0" t="n">
        <v>81.31</v>
      </c>
      <c r="I172" s="0" t="n">
        <v>18.14</v>
      </c>
      <c r="J172" s="0" t="n">
        <v>59.99</v>
      </c>
      <c r="K172" s="0" t="n">
        <v>680</v>
      </c>
      <c r="T172" s="0" t="n">
        <v>3</v>
      </c>
      <c r="U172" s="0" t="n">
        <v>1</v>
      </c>
      <c r="V172" s="0" t="inlineStr">
        <is>
          <t>계단식</t>
        </is>
      </c>
      <c r="W172" s="0" t="n">
        <v>81</v>
      </c>
      <c r="X172" s="0" t="n">
        <v>20</v>
      </c>
      <c r="Y172" s="0" t="n">
        <v>15</v>
      </c>
      <c r="Z172" s="0" t="inlineStr">
        <is>
          <t>https://new.land.naver.com/complexes/7487?tab=detail&amp;rf=Y</t>
        </is>
      </c>
      <c r="AA172" s="0" t="inlineStr">
        <is>
          <t>충청북도 청주시 서원구 분평동 1202</t>
        </is>
      </c>
      <c r="AB172" s="0" t="inlineStr">
        <is>
          <t>충청북도</t>
        </is>
      </c>
      <c r="AC172" s="0" t="inlineStr">
        <is>
          <t>청주시</t>
        </is>
      </c>
      <c r="AD172" s="0" t="inlineStr">
        <is>
          <t>서원구</t>
        </is>
      </c>
      <c r="AE172" s="0" t="inlineStr">
        <is>
          <t>분평동</t>
        </is>
      </c>
      <c r="AG172" s="0" t="inlineStr">
        <is>
          <t>충청북도 청주시 서원구 1순환로1137번길 129</t>
        </is>
      </c>
      <c r="AH172" s="0" t="n">
        <v>0</v>
      </c>
      <c r="AI172" s="0" t="n">
        <v>0</v>
      </c>
      <c r="AJ172" s="0" t="n">
        <v>0</v>
      </c>
      <c r="AK172" s="0" t="n">
        <v>793</v>
      </c>
      <c r="AL172" s="0" t="n">
        <v>0.61</v>
      </c>
    </row>
    <row r="173">
      <c r="A173" s="0" t="inlineStr">
        <is>
          <t>[분평동]</t>
        </is>
      </c>
      <c r="B173" s="0" t="n">
        <v>7516</v>
      </c>
      <c r="C173" s="0" t="n">
        <v>1</v>
      </c>
      <c r="D173" s="0" t="inlineStr">
        <is>
          <t>주공6단지</t>
        </is>
      </c>
      <c r="E173" s="0" t="inlineStr">
        <is>
          <t>1999.09.</t>
        </is>
      </c>
      <c r="F173" s="0" t="n">
        <v>1120</v>
      </c>
      <c r="G173" s="0" t="n">
        <v>32.31</v>
      </c>
      <c r="H173" s="0" t="n">
        <v>106.83</v>
      </c>
      <c r="I173" s="0" t="n">
        <v>25.51</v>
      </c>
      <c r="J173" s="0" t="n">
        <v>84.34</v>
      </c>
      <c r="K173" s="0" t="n">
        <v>1094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106</v>
      </c>
      <c r="X173" s="0" t="n">
        <v>20</v>
      </c>
      <c r="Y173" s="0" t="n">
        <v>15</v>
      </c>
      <c r="Z173" s="0" t="inlineStr">
        <is>
          <t>https://new.land.naver.com/complexes/7516?tab=detail&amp;rf=Y</t>
        </is>
      </c>
      <c r="AA173" s="0" t="inlineStr">
        <is>
          <t>충청북도 청주시 서원구 분평동 1366</t>
        </is>
      </c>
      <c r="AB173" s="0" t="inlineStr">
        <is>
          <t>충청북도</t>
        </is>
      </c>
      <c r="AC173" s="0" t="inlineStr">
        <is>
          <t>청주시</t>
        </is>
      </c>
      <c r="AD173" s="0" t="inlineStr">
        <is>
          <t>서원구</t>
        </is>
      </c>
      <c r="AE173" s="0" t="inlineStr">
        <is>
          <t>분평동</t>
        </is>
      </c>
      <c r="AG173" s="0" t="inlineStr">
        <is>
          <t>충청북도 청주시 서원구 1순환로1137번길 19</t>
        </is>
      </c>
      <c r="AH173" s="0" t="n">
        <v>0</v>
      </c>
      <c r="AI173" s="0" t="n">
        <v>221</v>
      </c>
      <c r="AJ173" s="0" t="n">
        <v>19</v>
      </c>
      <c r="AK173" s="0" t="n">
        <v>1196</v>
      </c>
      <c r="AL173" s="0" t="n">
        <v>1.07</v>
      </c>
    </row>
    <row r="174">
      <c r="A174" s="0" t="inlineStr">
        <is>
          <t>[분평동]</t>
        </is>
      </c>
      <c r="B174" s="0" t="n">
        <v>7516</v>
      </c>
      <c r="C174" s="0" t="n">
        <v>2</v>
      </c>
      <c r="D174" s="0" t="inlineStr">
        <is>
          <t>주공6단지</t>
        </is>
      </c>
      <c r="E174" s="0" t="inlineStr">
        <is>
          <t>1999.09.</t>
        </is>
      </c>
      <c r="F174" s="0" t="n">
        <v>1120</v>
      </c>
      <c r="G174" s="0" t="n">
        <v>33.17</v>
      </c>
      <c r="H174" s="0" t="n">
        <v>109.67</v>
      </c>
      <c r="I174" s="0" t="n">
        <v>25.55</v>
      </c>
      <c r="J174" s="0" t="n">
        <v>84.48999999999999</v>
      </c>
      <c r="K174" s="0" t="n">
        <v>23</v>
      </c>
      <c r="T174" s="0" t="n">
        <v>3</v>
      </c>
      <c r="U174" s="0" t="n">
        <v>2</v>
      </c>
      <c r="V174" s="0" t="inlineStr">
        <is>
          <t>계단식</t>
        </is>
      </c>
      <c r="W174" s="0" t="inlineStr">
        <is>
          <t>109B</t>
        </is>
      </c>
      <c r="X174" s="0" t="n">
        <v>20</v>
      </c>
      <c r="Y174" s="0" t="n">
        <v>15</v>
      </c>
      <c r="Z174" s="0" t="inlineStr">
        <is>
          <t>https://new.land.naver.com/complexes/7516?tab=detail&amp;rf=Y</t>
        </is>
      </c>
      <c r="AA174" s="0" t="inlineStr">
        <is>
          <t>충청북도 청주시 서원구 분평동 1366</t>
        </is>
      </c>
      <c r="AB174" s="0" t="inlineStr">
        <is>
          <t>충청북도</t>
        </is>
      </c>
      <c r="AC174" s="0" t="inlineStr">
        <is>
          <t>청주시</t>
        </is>
      </c>
      <c r="AD174" s="0" t="inlineStr">
        <is>
          <t>서원구</t>
        </is>
      </c>
      <c r="AE174" s="0" t="inlineStr">
        <is>
          <t>분평동</t>
        </is>
      </c>
      <c r="AG174" s="0" t="inlineStr">
        <is>
          <t>충청북도 청주시 서원구 1순환로1137번길 19</t>
        </is>
      </c>
      <c r="AH174" s="0" t="n">
        <v>0</v>
      </c>
      <c r="AI174" s="0" t="n">
        <v>221</v>
      </c>
      <c r="AJ174" s="0" t="n">
        <v>19</v>
      </c>
      <c r="AK174" s="0" t="n">
        <v>1196</v>
      </c>
      <c r="AL174" s="0" t="n">
        <v>1.07</v>
      </c>
    </row>
    <row r="175">
      <c r="A175" s="0" t="inlineStr">
        <is>
          <t>[분평동]</t>
        </is>
      </c>
      <c r="B175" s="0" t="n">
        <v>7516</v>
      </c>
      <c r="C175" s="0" t="n">
        <v>3</v>
      </c>
      <c r="D175" s="0" t="inlineStr">
        <is>
          <t>주공6단지</t>
        </is>
      </c>
      <c r="E175" s="0" t="inlineStr">
        <is>
          <t>1999.09.</t>
        </is>
      </c>
      <c r="F175" s="0" t="n">
        <v>1120</v>
      </c>
      <c r="G175" s="0" t="n">
        <v>33.13</v>
      </c>
      <c r="H175" s="0" t="n">
        <v>109.53</v>
      </c>
      <c r="I175" s="0" t="n">
        <v>25.53</v>
      </c>
      <c r="J175" s="0" t="n">
        <v>84.40000000000001</v>
      </c>
      <c r="K175" s="0" t="n">
        <v>3</v>
      </c>
      <c r="T175" s="0" t="n">
        <v>3</v>
      </c>
      <c r="U175" s="0" t="n">
        <v>2</v>
      </c>
      <c r="V175" s="0" t="inlineStr">
        <is>
          <t>계단식</t>
        </is>
      </c>
      <c r="W175" s="0" t="inlineStr">
        <is>
          <t>109A</t>
        </is>
      </c>
      <c r="X175" s="0" t="n">
        <v>20</v>
      </c>
      <c r="Y175" s="0" t="n">
        <v>15</v>
      </c>
      <c r="Z175" s="0" t="inlineStr">
        <is>
          <t>https://new.land.naver.com/complexes/7516?tab=detail&amp;rf=Y</t>
        </is>
      </c>
      <c r="AA175" s="0" t="inlineStr">
        <is>
          <t>충청북도 청주시 서원구 분평동 1366</t>
        </is>
      </c>
      <c r="AB175" s="0" t="inlineStr">
        <is>
          <t>충청북도</t>
        </is>
      </c>
      <c r="AC175" s="0" t="inlineStr">
        <is>
          <t>청주시</t>
        </is>
      </c>
      <c r="AD175" s="0" t="inlineStr">
        <is>
          <t>서원구</t>
        </is>
      </c>
      <c r="AE175" s="0" t="inlineStr">
        <is>
          <t>분평동</t>
        </is>
      </c>
      <c r="AG175" s="0" t="inlineStr">
        <is>
          <t>충청북도 청주시 서원구 1순환로1137번길 19</t>
        </is>
      </c>
      <c r="AH175" s="0" t="n">
        <v>0</v>
      </c>
      <c r="AI175" s="0" t="n">
        <v>221</v>
      </c>
      <c r="AJ175" s="0" t="n">
        <v>19</v>
      </c>
      <c r="AK175" s="0" t="n">
        <v>1196</v>
      </c>
      <c r="AL175" s="0" t="n">
        <v>1.07</v>
      </c>
    </row>
    <row r="176">
      <c r="A176" s="0" t="inlineStr">
        <is>
          <t>[분평동]</t>
        </is>
      </c>
      <c r="B176" s="0" t="n">
        <v>23894</v>
      </c>
      <c r="C176" s="0" t="n">
        <v>1</v>
      </c>
      <c r="D176" s="0" t="inlineStr">
        <is>
          <t>청주분평뜨란채1단지</t>
        </is>
      </c>
      <c r="E176" s="0" t="inlineStr">
        <is>
          <t>2000.10.</t>
        </is>
      </c>
      <c r="F176" s="0" t="n">
        <v>982</v>
      </c>
      <c r="G176" s="0" t="n">
        <v>20.63</v>
      </c>
      <c r="H176" s="0" t="n">
        <v>68.23</v>
      </c>
      <c r="I176" s="0" t="n">
        <v>14.89</v>
      </c>
      <c r="J176" s="0" t="n">
        <v>49.24</v>
      </c>
      <c r="K176" s="0" t="n">
        <v>143</v>
      </c>
      <c r="T176" s="0" t="n">
        <v>2</v>
      </c>
      <c r="U176" s="0" t="n">
        <v>1</v>
      </c>
      <c r="V176" s="0" t="inlineStr">
        <is>
          <t>계단식</t>
        </is>
      </c>
      <c r="W176" s="0" t="inlineStr">
        <is>
          <t>68A</t>
        </is>
      </c>
      <c r="X176" s="0" t="n">
        <v>20</v>
      </c>
      <c r="Y176" s="0" t="n">
        <v>14</v>
      </c>
      <c r="Z176" s="0" t="inlineStr">
        <is>
          <t>https://new.land.naver.com/complexes/23894?tab=detail&amp;rf=Y</t>
        </is>
      </c>
      <c r="AA176" s="0" t="inlineStr">
        <is>
          <t>충청북도 청주시 서원구 분평동 1211</t>
        </is>
      </c>
      <c r="AB176" s="0" t="inlineStr">
        <is>
          <t>충청북도</t>
        </is>
      </c>
      <c r="AC176" s="0" t="inlineStr">
        <is>
          <t>청주시</t>
        </is>
      </c>
      <c r="AD176" s="0" t="inlineStr">
        <is>
          <t>서원구</t>
        </is>
      </c>
      <c r="AE176" s="0" t="inlineStr">
        <is>
          <t>분평동</t>
        </is>
      </c>
      <c r="AG176" s="0" t="inlineStr">
        <is>
          <t>충청북도 청주시 서원구 월평로 25</t>
        </is>
      </c>
      <c r="AH176" s="0" t="n">
        <v>0</v>
      </c>
      <c r="AI176" s="0" t="n">
        <v>215</v>
      </c>
      <c r="AJ176" s="0" t="n">
        <v>16</v>
      </c>
      <c r="AK176" s="0" t="n">
        <v>721</v>
      </c>
      <c r="AL176" s="0" t="n">
        <v>0.73</v>
      </c>
    </row>
    <row r="177">
      <c r="A177" s="0" t="inlineStr">
        <is>
          <t>[분평동]</t>
        </is>
      </c>
      <c r="B177" s="0" t="n">
        <v>23894</v>
      </c>
      <c r="C177" s="0" t="n">
        <v>2</v>
      </c>
      <c r="D177" s="0" t="inlineStr">
        <is>
          <t>청주분평뜨란채1단지</t>
        </is>
      </c>
      <c r="E177" s="0" t="inlineStr">
        <is>
          <t>2000.10.</t>
        </is>
      </c>
      <c r="F177" s="0" t="n">
        <v>982</v>
      </c>
      <c r="G177" s="0" t="n">
        <v>20.65</v>
      </c>
      <c r="H177" s="0" t="n">
        <v>68.27</v>
      </c>
      <c r="I177" s="0" t="n">
        <v>14.9</v>
      </c>
      <c r="J177" s="0" t="n">
        <v>49.27</v>
      </c>
      <c r="K177" s="0" t="n">
        <v>83</v>
      </c>
      <c r="T177" s="0" t="n">
        <v>2</v>
      </c>
      <c r="U177" s="0" t="n">
        <v>1</v>
      </c>
      <c r="V177" s="0" t="inlineStr">
        <is>
          <t>계단식</t>
        </is>
      </c>
      <c r="W177" s="0" t="inlineStr">
        <is>
          <t>68B</t>
        </is>
      </c>
      <c r="X177" s="0" t="n">
        <v>20</v>
      </c>
      <c r="Y177" s="0" t="n">
        <v>14</v>
      </c>
      <c r="Z177" s="0" t="inlineStr">
        <is>
          <t>https://new.land.naver.com/complexes/23894?tab=detail&amp;rf=Y</t>
        </is>
      </c>
      <c r="AA177" s="0" t="inlineStr">
        <is>
          <t>충청북도 청주시 서원구 분평동 1211</t>
        </is>
      </c>
      <c r="AB177" s="0" t="inlineStr">
        <is>
          <t>충청북도</t>
        </is>
      </c>
      <c r="AC177" s="0" t="inlineStr">
        <is>
          <t>청주시</t>
        </is>
      </c>
      <c r="AD177" s="0" t="inlineStr">
        <is>
          <t>서원구</t>
        </is>
      </c>
      <c r="AE177" s="0" t="inlineStr">
        <is>
          <t>분평동</t>
        </is>
      </c>
      <c r="AG177" s="0" t="inlineStr">
        <is>
          <t>충청북도 청주시 서원구 월평로 25</t>
        </is>
      </c>
      <c r="AH177" s="0" t="n">
        <v>0</v>
      </c>
      <c r="AI177" s="0" t="n">
        <v>215</v>
      </c>
      <c r="AJ177" s="0" t="n">
        <v>16</v>
      </c>
      <c r="AK177" s="0" t="n">
        <v>721</v>
      </c>
      <c r="AL177" s="0" t="n">
        <v>0.73</v>
      </c>
    </row>
    <row r="178">
      <c r="A178" s="0" t="inlineStr">
        <is>
          <t>[분평동]</t>
        </is>
      </c>
      <c r="B178" s="0" t="n">
        <v>23894</v>
      </c>
      <c r="C178" s="0" t="n">
        <v>3</v>
      </c>
      <c r="D178" s="0" t="inlineStr">
        <is>
          <t>청주분평뜨란채1단지</t>
        </is>
      </c>
      <c r="E178" s="0" t="inlineStr">
        <is>
          <t>2000.10.</t>
        </is>
      </c>
      <c r="F178" s="0" t="n">
        <v>982</v>
      </c>
      <c r="G178" s="0" t="n">
        <v>20.68</v>
      </c>
      <c r="H178" s="0" t="n">
        <v>68.39</v>
      </c>
      <c r="I178" s="0" t="n">
        <v>14.93</v>
      </c>
      <c r="J178" s="0" t="n">
        <v>49.36</v>
      </c>
      <c r="K178" s="0" t="n">
        <v>22</v>
      </c>
      <c r="T178" s="0" t="n">
        <v>2</v>
      </c>
      <c r="U178" s="0" t="n">
        <v>1</v>
      </c>
      <c r="V178" s="0" t="inlineStr">
        <is>
          <t>계단식</t>
        </is>
      </c>
      <c r="W178" s="0" t="inlineStr">
        <is>
          <t>68C</t>
        </is>
      </c>
      <c r="X178" s="0" t="n">
        <v>20</v>
      </c>
      <c r="Y178" s="0" t="n">
        <v>14</v>
      </c>
      <c r="Z178" s="0" t="inlineStr">
        <is>
          <t>https://new.land.naver.com/complexes/23894?tab=detail&amp;rf=Y</t>
        </is>
      </c>
      <c r="AA178" s="0" t="inlineStr">
        <is>
          <t>충청북도 청주시 서원구 분평동 1211</t>
        </is>
      </c>
      <c r="AB178" s="0" t="inlineStr">
        <is>
          <t>충청북도</t>
        </is>
      </c>
      <c r="AC178" s="0" t="inlineStr">
        <is>
          <t>청주시</t>
        </is>
      </c>
      <c r="AD178" s="0" t="inlineStr">
        <is>
          <t>서원구</t>
        </is>
      </c>
      <c r="AE178" s="0" t="inlineStr">
        <is>
          <t>분평동</t>
        </is>
      </c>
      <c r="AG178" s="0" t="inlineStr">
        <is>
          <t>충청북도 청주시 서원구 월평로 25</t>
        </is>
      </c>
      <c r="AH178" s="0" t="n">
        <v>0</v>
      </c>
      <c r="AI178" s="0" t="n">
        <v>215</v>
      </c>
      <c r="AJ178" s="0" t="n">
        <v>16</v>
      </c>
      <c r="AK178" s="0" t="n">
        <v>721</v>
      </c>
      <c r="AL178" s="0" t="n">
        <v>0.73</v>
      </c>
    </row>
    <row r="179">
      <c r="A179" s="0" t="inlineStr">
        <is>
          <t>[분평동]</t>
        </is>
      </c>
      <c r="B179" s="0" t="n">
        <v>23894</v>
      </c>
      <c r="C179" s="0" t="n">
        <v>4</v>
      </c>
      <c r="D179" s="0" t="inlineStr">
        <is>
          <t>청주분평뜨란채1단지</t>
        </is>
      </c>
      <c r="E179" s="0" t="inlineStr">
        <is>
          <t>2000.10.</t>
        </is>
      </c>
      <c r="F179" s="0" t="n">
        <v>982</v>
      </c>
      <c r="G179" s="0" t="n">
        <v>20.87</v>
      </c>
      <c r="H179" s="0" t="n">
        <v>69.02</v>
      </c>
      <c r="I179" s="0" t="n">
        <v>15.06</v>
      </c>
      <c r="J179" s="0" t="n">
        <v>49.81</v>
      </c>
      <c r="K179" s="0" t="n">
        <v>28</v>
      </c>
      <c r="T179" s="0" t="n">
        <v>2</v>
      </c>
      <c r="U179" s="0" t="n">
        <v>1</v>
      </c>
      <c r="V179" s="0" t="inlineStr">
        <is>
          <t>계단식</t>
        </is>
      </c>
      <c r="W179" s="0" t="inlineStr">
        <is>
          <t>69D</t>
        </is>
      </c>
      <c r="X179" s="0" t="n">
        <v>20</v>
      </c>
      <c r="Y179" s="0" t="n">
        <v>14</v>
      </c>
      <c r="Z179" s="0" t="inlineStr">
        <is>
          <t>https://new.land.naver.com/complexes/23894?tab=detail&amp;rf=Y</t>
        </is>
      </c>
      <c r="AA179" s="0" t="inlineStr">
        <is>
          <t>충청북도 청주시 서원구 분평동 1211</t>
        </is>
      </c>
      <c r="AB179" s="0" t="inlineStr">
        <is>
          <t>충청북도</t>
        </is>
      </c>
      <c r="AC179" s="0" t="inlineStr">
        <is>
          <t>청주시</t>
        </is>
      </c>
      <c r="AD179" s="0" t="inlineStr">
        <is>
          <t>서원구</t>
        </is>
      </c>
      <c r="AE179" s="0" t="inlineStr">
        <is>
          <t>분평동</t>
        </is>
      </c>
      <c r="AG179" s="0" t="inlineStr">
        <is>
          <t>충청북도 청주시 서원구 월평로 25</t>
        </is>
      </c>
      <c r="AH179" s="0" t="n">
        <v>0</v>
      </c>
      <c r="AI179" s="0" t="n">
        <v>215</v>
      </c>
      <c r="AJ179" s="0" t="n">
        <v>16</v>
      </c>
      <c r="AK179" s="0" t="n">
        <v>721</v>
      </c>
      <c r="AL179" s="0" t="n">
        <v>0.73</v>
      </c>
    </row>
    <row r="180">
      <c r="A180" s="0" t="inlineStr">
        <is>
          <t>[분평동]</t>
        </is>
      </c>
      <c r="B180" s="0" t="n">
        <v>23894</v>
      </c>
      <c r="C180" s="0" t="n">
        <v>5</v>
      </c>
      <c r="D180" s="0" t="inlineStr">
        <is>
          <t>청주분평뜨란채1단지</t>
        </is>
      </c>
      <c r="E180" s="0" t="inlineStr">
        <is>
          <t>2000.10.</t>
        </is>
      </c>
      <c r="F180" s="0" t="n">
        <v>982</v>
      </c>
      <c r="G180" s="0" t="n">
        <v>24.91</v>
      </c>
      <c r="H180" s="0" t="n">
        <v>82.38</v>
      </c>
      <c r="I180" s="0" t="n">
        <v>17.98</v>
      </c>
      <c r="J180" s="0" t="n">
        <v>59.45</v>
      </c>
      <c r="K180" s="0" t="n">
        <v>356</v>
      </c>
      <c r="T180" s="0" t="n">
        <v>3</v>
      </c>
      <c r="U180" s="0" t="n">
        <v>1</v>
      </c>
      <c r="V180" s="0" t="inlineStr">
        <is>
          <t>계단식</t>
        </is>
      </c>
      <c r="W180" s="0" t="inlineStr">
        <is>
          <t>82B</t>
        </is>
      </c>
      <c r="X180" s="0" t="n">
        <v>20</v>
      </c>
      <c r="Y180" s="0" t="n">
        <v>14</v>
      </c>
      <c r="Z180" s="0" t="inlineStr">
        <is>
          <t>https://new.land.naver.com/complexes/23894?tab=detail&amp;rf=Y</t>
        </is>
      </c>
      <c r="AA180" s="0" t="inlineStr">
        <is>
          <t>충청북도 청주시 서원구 분평동 1211</t>
        </is>
      </c>
      <c r="AB180" s="0" t="inlineStr">
        <is>
          <t>충청북도</t>
        </is>
      </c>
      <c r="AC180" s="0" t="inlineStr">
        <is>
          <t>청주시</t>
        </is>
      </c>
      <c r="AD180" s="0" t="inlineStr">
        <is>
          <t>서원구</t>
        </is>
      </c>
      <c r="AE180" s="0" t="inlineStr">
        <is>
          <t>분평동</t>
        </is>
      </c>
      <c r="AG180" s="0" t="inlineStr">
        <is>
          <t>충청북도 청주시 서원구 월평로 25</t>
        </is>
      </c>
      <c r="AH180" s="0" t="n">
        <v>0</v>
      </c>
      <c r="AI180" s="0" t="n">
        <v>215</v>
      </c>
      <c r="AJ180" s="0" t="n">
        <v>16</v>
      </c>
      <c r="AK180" s="0" t="n">
        <v>721</v>
      </c>
      <c r="AL180" s="0" t="n">
        <v>0.73</v>
      </c>
    </row>
    <row r="181">
      <c r="A181" s="0" t="inlineStr">
        <is>
          <t>[분평동]</t>
        </is>
      </c>
      <c r="B181" s="0" t="n">
        <v>23894</v>
      </c>
      <c r="C181" s="0" t="n">
        <v>6</v>
      </c>
      <c r="D181" s="0" t="inlineStr">
        <is>
          <t>청주분평뜨란채1단지</t>
        </is>
      </c>
      <c r="E181" s="0" t="inlineStr">
        <is>
          <t>2000.10.</t>
        </is>
      </c>
      <c r="F181" s="0" t="n">
        <v>982</v>
      </c>
      <c r="G181" s="0" t="n">
        <v>24.91</v>
      </c>
      <c r="H181" s="0" t="n">
        <v>82.38</v>
      </c>
      <c r="I181" s="0" t="n">
        <v>17.98</v>
      </c>
      <c r="J181" s="0" t="n">
        <v>59.45</v>
      </c>
      <c r="K181" s="0" t="n">
        <v>168</v>
      </c>
      <c r="T181" s="0" t="n">
        <v>3</v>
      </c>
      <c r="U181" s="0" t="n">
        <v>1</v>
      </c>
      <c r="V181" s="0" t="inlineStr">
        <is>
          <t>계단식</t>
        </is>
      </c>
      <c r="W181" s="0" t="inlineStr">
        <is>
          <t>82A</t>
        </is>
      </c>
      <c r="X181" s="0" t="n">
        <v>20</v>
      </c>
      <c r="Y181" s="0" t="n">
        <v>14</v>
      </c>
      <c r="Z181" s="0" t="inlineStr">
        <is>
          <t>https://new.land.naver.com/complexes/23894?tab=detail&amp;rf=Y</t>
        </is>
      </c>
      <c r="AA181" s="0" t="inlineStr">
        <is>
          <t>충청북도 청주시 서원구 분평동 1211</t>
        </is>
      </c>
      <c r="AB181" s="0" t="inlineStr">
        <is>
          <t>충청북도</t>
        </is>
      </c>
      <c r="AC181" s="0" t="inlineStr">
        <is>
          <t>청주시</t>
        </is>
      </c>
      <c r="AD181" s="0" t="inlineStr">
        <is>
          <t>서원구</t>
        </is>
      </c>
      <c r="AE181" s="0" t="inlineStr">
        <is>
          <t>분평동</t>
        </is>
      </c>
      <c r="AG181" s="0" t="inlineStr">
        <is>
          <t>충청북도 청주시 서원구 월평로 25</t>
        </is>
      </c>
      <c r="AH181" s="0" t="n">
        <v>0</v>
      </c>
      <c r="AI181" s="0" t="n">
        <v>215</v>
      </c>
      <c r="AJ181" s="0" t="n">
        <v>16</v>
      </c>
      <c r="AK181" s="0" t="n">
        <v>721</v>
      </c>
      <c r="AL181" s="0" t="n">
        <v>0.73</v>
      </c>
    </row>
    <row r="182">
      <c r="A182" s="0" t="inlineStr">
        <is>
          <t>[분평동]</t>
        </is>
      </c>
      <c r="B182" s="0" t="n">
        <v>23894</v>
      </c>
      <c r="C182" s="0" t="n">
        <v>7</v>
      </c>
      <c r="D182" s="0" t="inlineStr">
        <is>
          <t>청주분평뜨란채1단지</t>
        </is>
      </c>
      <c r="E182" s="0" t="inlineStr">
        <is>
          <t>2000.10.</t>
        </is>
      </c>
      <c r="F182" s="0" t="n">
        <v>982</v>
      </c>
      <c r="G182" s="0" t="n">
        <v>24.91</v>
      </c>
      <c r="H182" s="0" t="n">
        <v>82.38</v>
      </c>
      <c r="I182" s="0" t="n">
        <v>17.98</v>
      </c>
      <c r="J182" s="0" t="n">
        <v>59.45</v>
      </c>
      <c r="K182" s="0" t="n">
        <v>91</v>
      </c>
      <c r="T182" s="0" t="n">
        <v>3</v>
      </c>
      <c r="U182" s="0" t="n">
        <v>1</v>
      </c>
      <c r="V182" s="0" t="inlineStr">
        <is>
          <t>계단식</t>
        </is>
      </c>
      <c r="W182" s="0" t="inlineStr">
        <is>
          <t>82C</t>
        </is>
      </c>
      <c r="X182" s="0" t="n">
        <v>20</v>
      </c>
      <c r="Y182" s="0" t="n">
        <v>14</v>
      </c>
      <c r="Z182" s="0" t="inlineStr">
        <is>
          <t>https://new.land.naver.com/complexes/23894?tab=detail&amp;rf=Y</t>
        </is>
      </c>
      <c r="AA182" s="0" t="inlineStr">
        <is>
          <t>충청북도 청주시 서원구 분평동 1211</t>
        </is>
      </c>
      <c r="AB182" s="0" t="inlineStr">
        <is>
          <t>충청북도</t>
        </is>
      </c>
      <c r="AC182" s="0" t="inlineStr">
        <is>
          <t>청주시</t>
        </is>
      </c>
      <c r="AD182" s="0" t="inlineStr">
        <is>
          <t>서원구</t>
        </is>
      </c>
      <c r="AE182" s="0" t="inlineStr">
        <is>
          <t>분평동</t>
        </is>
      </c>
      <c r="AG182" s="0" t="inlineStr">
        <is>
          <t>충청북도 청주시 서원구 월평로 25</t>
        </is>
      </c>
      <c r="AH182" s="0" t="n">
        <v>0</v>
      </c>
      <c r="AI182" s="0" t="n">
        <v>215</v>
      </c>
      <c r="AJ182" s="0" t="n">
        <v>16</v>
      </c>
      <c r="AK182" s="0" t="n">
        <v>721</v>
      </c>
      <c r="AL182" s="0" t="n">
        <v>0.73</v>
      </c>
    </row>
    <row r="183">
      <c r="A183" s="0" t="inlineStr">
        <is>
          <t>[분평동]</t>
        </is>
      </c>
      <c r="B183" s="0" t="n">
        <v>23894</v>
      </c>
      <c r="C183" s="0" t="n">
        <v>8</v>
      </c>
      <c r="D183" s="0" t="inlineStr">
        <is>
          <t>청주분평뜨란채1단지</t>
        </is>
      </c>
      <c r="E183" s="0" t="inlineStr">
        <is>
          <t>2000.10.</t>
        </is>
      </c>
      <c r="F183" s="0" t="n">
        <v>982</v>
      </c>
      <c r="G183" s="0" t="n">
        <v>24.85</v>
      </c>
      <c r="H183" s="0" t="n">
        <v>82.16</v>
      </c>
      <c r="I183" s="0" t="n">
        <v>17.93</v>
      </c>
      <c r="J183" s="0" t="n">
        <v>59.29</v>
      </c>
      <c r="K183" s="0" t="n">
        <v>91</v>
      </c>
      <c r="T183" s="0" t="n">
        <v>3</v>
      </c>
      <c r="U183" s="0" t="n">
        <v>1</v>
      </c>
      <c r="V183" s="0" t="inlineStr">
        <is>
          <t>계단식</t>
        </is>
      </c>
      <c r="W183" s="0" t="inlineStr">
        <is>
          <t>82D</t>
        </is>
      </c>
      <c r="X183" s="0" t="n">
        <v>20</v>
      </c>
      <c r="Y183" s="0" t="n">
        <v>14</v>
      </c>
      <c r="Z183" s="0" t="inlineStr">
        <is>
          <t>https://new.land.naver.com/complexes/23894?tab=detail&amp;rf=Y</t>
        </is>
      </c>
      <c r="AA183" s="0" t="inlineStr">
        <is>
          <t>충청북도 청주시 서원구 분평동 1211</t>
        </is>
      </c>
      <c r="AB183" s="0" t="inlineStr">
        <is>
          <t>충청북도</t>
        </is>
      </c>
      <c r="AC183" s="0" t="inlineStr">
        <is>
          <t>청주시</t>
        </is>
      </c>
      <c r="AD183" s="0" t="inlineStr">
        <is>
          <t>서원구</t>
        </is>
      </c>
      <c r="AE183" s="0" t="inlineStr">
        <is>
          <t>분평동</t>
        </is>
      </c>
      <c r="AG183" s="0" t="inlineStr">
        <is>
          <t>충청북도 청주시 서원구 월평로 25</t>
        </is>
      </c>
      <c r="AH183" s="0" t="n">
        <v>0</v>
      </c>
      <c r="AI183" s="0" t="n">
        <v>215</v>
      </c>
      <c r="AJ183" s="0" t="n">
        <v>16</v>
      </c>
      <c r="AK183" s="0" t="n">
        <v>721</v>
      </c>
      <c r="AL183" s="0" t="n">
        <v>0.73</v>
      </c>
    </row>
    <row r="184">
      <c r="A184" s="0" t="inlineStr">
        <is>
          <t>[분평동]</t>
        </is>
      </c>
      <c r="B184" s="0" t="n">
        <v>26495</v>
      </c>
      <c r="C184" s="0" t="n">
        <v>1</v>
      </c>
      <c r="D184" s="0" t="inlineStr">
        <is>
          <t>분평계룡리슈빌2단지</t>
        </is>
      </c>
      <c r="E184" s="0" t="inlineStr">
        <is>
          <t>2008.07.</t>
        </is>
      </c>
      <c r="F184" s="0" t="n">
        <v>150</v>
      </c>
      <c r="G184" s="0" t="n">
        <v>39.48</v>
      </c>
      <c r="H184" s="0" t="n">
        <v>130.54</v>
      </c>
      <c r="I184" s="0" t="n">
        <v>29.88</v>
      </c>
      <c r="J184" s="0" t="n">
        <v>98.78</v>
      </c>
      <c r="K184" s="0" t="n">
        <v>120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130</v>
      </c>
      <c r="X184" s="0" t="n">
        <v>15</v>
      </c>
      <c r="Y184" s="0" t="n">
        <v>15</v>
      </c>
      <c r="Z184" s="0" t="inlineStr">
        <is>
          <t>https://new.land.naver.com/complexes/26495?tab=detail&amp;rf=Y</t>
        </is>
      </c>
      <c r="AA184" s="0" t="inlineStr">
        <is>
          <t>충청북도 청주시 서원구 분평동 262</t>
        </is>
      </c>
      <c r="AB184" s="0" t="inlineStr">
        <is>
          <t>충청북도</t>
        </is>
      </c>
      <c r="AC184" s="0" t="inlineStr">
        <is>
          <t>청주시</t>
        </is>
      </c>
      <c r="AD184" s="0" t="inlineStr">
        <is>
          <t>서원구</t>
        </is>
      </c>
      <c r="AE184" s="0" t="inlineStr">
        <is>
          <t>분평동</t>
        </is>
      </c>
      <c r="AG184" s="0" t="inlineStr">
        <is>
          <t>충청북도 청주시 서원구 매봉로 28</t>
        </is>
      </c>
      <c r="AH184" s="0" t="n">
        <v>0</v>
      </c>
      <c r="AI184" s="0" t="n">
        <v>218</v>
      </c>
      <c r="AJ184" s="0" t="n">
        <v>19</v>
      </c>
      <c r="AK184" s="0" t="n">
        <v>224</v>
      </c>
      <c r="AL184" s="0" t="n">
        <v>1.49</v>
      </c>
    </row>
    <row r="185">
      <c r="A185" s="0" t="inlineStr">
        <is>
          <t>[분평동]</t>
        </is>
      </c>
      <c r="B185" s="0" t="n">
        <v>26495</v>
      </c>
      <c r="C185" s="0" t="n">
        <v>2</v>
      </c>
      <c r="D185" s="0" t="inlineStr">
        <is>
          <t>분평계룡리슈빌2단지</t>
        </is>
      </c>
      <c r="E185" s="0" t="inlineStr">
        <is>
          <t>2008.07.</t>
        </is>
      </c>
      <c r="F185" s="0" t="n">
        <v>150</v>
      </c>
      <c r="G185" s="0" t="n">
        <v>51.36</v>
      </c>
      <c r="H185" s="0" t="n">
        <v>169.8</v>
      </c>
      <c r="I185" s="0" t="n">
        <v>42.51</v>
      </c>
      <c r="J185" s="0" t="n">
        <v>140.53</v>
      </c>
      <c r="K185" s="0" t="n">
        <v>30</v>
      </c>
      <c r="T185" s="0" t="n">
        <v>4</v>
      </c>
      <c r="U185" s="0" t="n">
        <v>2</v>
      </c>
      <c r="V185" s="0" t="inlineStr">
        <is>
          <t>계단식</t>
        </is>
      </c>
      <c r="W185" s="0" t="n">
        <v>169</v>
      </c>
      <c r="X185" s="0" t="n">
        <v>15</v>
      </c>
      <c r="Y185" s="0" t="n">
        <v>15</v>
      </c>
      <c r="Z185" s="0" t="inlineStr">
        <is>
          <t>https://new.land.naver.com/complexes/26495?tab=detail&amp;rf=Y</t>
        </is>
      </c>
      <c r="AA185" s="0" t="inlineStr">
        <is>
          <t>충청북도 청주시 서원구 분평동 262</t>
        </is>
      </c>
      <c r="AB185" s="0" t="inlineStr">
        <is>
          <t>충청북도</t>
        </is>
      </c>
      <c r="AC185" s="0" t="inlineStr">
        <is>
          <t>청주시</t>
        </is>
      </c>
      <c r="AD185" s="0" t="inlineStr">
        <is>
          <t>서원구</t>
        </is>
      </c>
      <c r="AE185" s="0" t="inlineStr">
        <is>
          <t>분평동</t>
        </is>
      </c>
      <c r="AG185" s="0" t="inlineStr">
        <is>
          <t>충청북도 청주시 서원구 매봉로 28</t>
        </is>
      </c>
      <c r="AH185" s="0" t="n">
        <v>0</v>
      </c>
      <c r="AI185" s="0" t="n">
        <v>218</v>
      </c>
      <c r="AJ185" s="0" t="n">
        <v>19</v>
      </c>
      <c r="AK185" s="0" t="n">
        <v>224</v>
      </c>
      <c r="AL185" s="0" t="n">
        <v>1.49</v>
      </c>
    </row>
    <row r="186">
      <c r="A186" s="0" t="inlineStr">
        <is>
          <t>[분평동]</t>
        </is>
      </c>
      <c r="B186" s="0" t="n">
        <v>7513</v>
      </c>
      <c r="C186" s="0" t="n">
        <v>1</v>
      </c>
      <c r="D186" s="0" t="inlineStr">
        <is>
          <t>대원</t>
        </is>
      </c>
      <c r="E186" s="0" t="inlineStr">
        <is>
          <t>2000.10.</t>
        </is>
      </c>
      <c r="F186" s="0" t="n">
        <v>731</v>
      </c>
      <c r="G186" s="0" t="n">
        <v>25.04</v>
      </c>
      <c r="H186" s="0" t="n">
        <v>82.8</v>
      </c>
      <c r="I186" s="0" t="n">
        <v>18.13</v>
      </c>
      <c r="J186" s="0" t="n">
        <v>59.94</v>
      </c>
      <c r="K186" s="0" t="n">
        <v>390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82B</t>
        </is>
      </c>
      <c r="X186" s="0" t="n">
        <v>15</v>
      </c>
      <c r="Y186" s="0" t="n">
        <v>11</v>
      </c>
      <c r="Z186" s="0" t="inlineStr">
        <is>
          <t>https://new.land.naver.com/complexes/7513?tab=detail&amp;rf=Y</t>
        </is>
      </c>
      <c r="AA186" s="0" t="inlineStr">
        <is>
          <t>충청북도 청주시 서원구 분평동 1255</t>
        </is>
      </c>
      <c r="AB186" s="0" t="inlineStr">
        <is>
          <t>충청북도</t>
        </is>
      </c>
      <c r="AC186" s="0" t="inlineStr">
        <is>
          <t>청주시</t>
        </is>
      </c>
      <c r="AD186" s="0" t="inlineStr">
        <is>
          <t>서원구</t>
        </is>
      </c>
      <c r="AE186" s="0" t="inlineStr">
        <is>
          <t>분평동</t>
        </is>
      </c>
      <c r="AG186" s="0" t="inlineStr">
        <is>
          <t>충청북도 청주시 서원구 1순환로1137번길 83</t>
        </is>
      </c>
      <c r="AH186" s="0" t="n">
        <v>0</v>
      </c>
      <c r="AI186" s="0" t="n">
        <v>228</v>
      </c>
      <c r="AJ186" s="0" t="n">
        <v>20</v>
      </c>
      <c r="AK186" s="0" t="n">
        <v>1326</v>
      </c>
      <c r="AL186" s="0" t="n">
        <v>1.81</v>
      </c>
    </row>
    <row r="187">
      <c r="A187" s="0" t="inlineStr">
        <is>
          <t>[분평동]</t>
        </is>
      </c>
      <c r="B187" s="0" t="n">
        <v>7513</v>
      </c>
      <c r="C187" s="0" t="n">
        <v>2</v>
      </c>
      <c r="D187" s="0" t="inlineStr">
        <is>
          <t>대원</t>
        </is>
      </c>
      <c r="E187" s="0" t="inlineStr">
        <is>
          <t>2000.10.</t>
        </is>
      </c>
      <c r="F187" s="0" t="n">
        <v>731</v>
      </c>
      <c r="G187" s="0" t="n">
        <v>25.02</v>
      </c>
      <c r="H187" s="0" t="n">
        <v>82.73999999999999</v>
      </c>
      <c r="I187" s="0" t="n">
        <v>18.06</v>
      </c>
      <c r="J187" s="0" t="n">
        <v>59.72</v>
      </c>
      <c r="K187" s="0" t="n">
        <v>341</v>
      </c>
      <c r="T187" s="0" t="n">
        <v>3</v>
      </c>
      <c r="U187" s="0" t="n">
        <v>1</v>
      </c>
      <c r="V187" s="0" t="inlineStr">
        <is>
          <t>계단식</t>
        </is>
      </c>
      <c r="W187" s="0" t="inlineStr">
        <is>
          <t>82A</t>
        </is>
      </c>
      <c r="X187" s="0" t="n">
        <v>15</v>
      </c>
      <c r="Y187" s="0" t="n">
        <v>11</v>
      </c>
      <c r="Z187" s="0" t="inlineStr">
        <is>
          <t>https://new.land.naver.com/complexes/7513?tab=detail&amp;rf=Y</t>
        </is>
      </c>
      <c r="AA187" s="0" t="inlineStr">
        <is>
          <t>충청북도 청주시 서원구 분평동 1255</t>
        </is>
      </c>
      <c r="AB187" s="0" t="inlineStr">
        <is>
          <t>충청북도</t>
        </is>
      </c>
      <c r="AC187" s="0" t="inlineStr">
        <is>
          <t>청주시</t>
        </is>
      </c>
      <c r="AD187" s="0" t="inlineStr">
        <is>
          <t>서원구</t>
        </is>
      </c>
      <c r="AE187" s="0" t="inlineStr">
        <is>
          <t>분평동</t>
        </is>
      </c>
      <c r="AG187" s="0" t="inlineStr">
        <is>
          <t>충청북도 청주시 서원구 1순환로1137번길 83</t>
        </is>
      </c>
      <c r="AH187" s="0" t="n">
        <v>0</v>
      </c>
      <c r="AI187" s="0" t="n">
        <v>228</v>
      </c>
      <c r="AJ187" s="0" t="n">
        <v>20</v>
      </c>
      <c r="AK187" s="0" t="n">
        <v>1326</v>
      </c>
      <c r="AL187" s="0" t="n">
        <v>1.81</v>
      </c>
    </row>
    <row r="188">
      <c r="A188" s="0" t="inlineStr">
        <is>
          <t>[분평동]</t>
        </is>
      </c>
      <c r="B188" s="0" t="n">
        <v>7511</v>
      </c>
      <c r="C188" s="0" t="n">
        <v>1</v>
      </c>
      <c r="D188" s="0" t="inlineStr">
        <is>
          <t>현대대우</t>
        </is>
      </c>
      <c r="E188" s="0" t="inlineStr">
        <is>
          <t>1999.07.</t>
        </is>
      </c>
      <c r="F188" s="0" t="n">
        <v>1179</v>
      </c>
      <c r="G188" s="0" t="n">
        <v>31.5</v>
      </c>
      <c r="H188" s="0" t="n">
        <v>104.14</v>
      </c>
      <c r="I188" s="0" t="n">
        <v>25.69</v>
      </c>
      <c r="J188" s="0" t="n">
        <v>84.95</v>
      </c>
      <c r="K188" s="0" t="n">
        <v>485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104</v>
      </c>
      <c r="X188" s="0" t="n">
        <v>25</v>
      </c>
      <c r="Y188" s="0" t="n">
        <v>18</v>
      </c>
      <c r="Z188" s="0" t="inlineStr">
        <is>
          <t>https://new.land.naver.com/complexes/7511?tab=detail&amp;rf=Y</t>
        </is>
      </c>
      <c r="AA188" s="0" t="inlineStr">
        <is>
          <t>충청북도 청주시 서원구 분평동 1249</t>
        </is>
      </c>
      <c r="AB188" s="0" t="inlineStr">
        <is>
          <t>충청북도</t>
        </is>
      </c>
      <c r="AC188" s="0" t="inlineStr">
        <is>
          <t>청주시</t>
        </is>
      </c>
      <c r="AD188" s="0" t="inlineStr">
        <is>
          <t>서원구</t>
        </is>
      </c>
      <c r="AE188" s="0" t="inlineStr">
        <is>
          <t>분평동</t>
        </is>
      </c>
      <c r="AG188" s="0" t="inlineStr">
        <is>
          <t>충청북도 청주시 서원구 월평로 24</t>
        </is>
      </c>
      <c r="AH188" s="0" t="n">
        <v>0</v>
      </c>
      <c r="AI188" s="0" t="n">
        <v>242</v>
      </c>
      <c r="AJ188" s="0" t="n">
        <v>16</v>
      </c>
      <c r="AK188" s="0" t="n">
        <v>1557</v>
      </c>
      <c r="AL188" s="0" t="n">
        <v>1.32</v>
      </c>
    </row>
    <row r="189">
      <c r="A189" s="0" t="inlineStr">
        <is>
          <t>[분평동]</t>
        </is>
      </c>
      <c r="B189" s="0" t="n">
        <v>7511</v>
      </c>
      <c r="C189" s="0" t="n">
        <v>2</v>
      </c>
      <c r="D189" s="0" t="inlineStr">
        <is>
          <t>현대대우</t>
        </is>
      </c>
      <c r="E189" s="0" t="inlineStr">
        <is>
          <t>1999.07.</t>
        </is>
      </c>
      <c r="F189" s="0" t="n">
        <v>1179</v>
      </c>
      <c r="G189" s="0" t="n">
        <v>36.92</v>
      </c>
      <c r="H189" s="0" t="n">
        <v>122.05</v>
      </c>
      <c r="I189" s="0" t="n">
        <v>30.04</v>
      </c>
      <c r="J189" s="0" t="n">
        <v>99.33</v>
      </c>
      <c r="K189" s="0" t="n">
        <v>334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122A</t>
        </is>
      </c>
      <c r="X189" s="0" t="n">
        <v>25</v>
      </c>
      <c r="Y189" s="0" t="n">
        <v>18</v>
      </c>
      <c r="Z189" s="0" t="inlineStr">
        <is>
          <t>https://new.land.naver.com/complexes/7511?tab=detail&amp;rf=Y</t>
        </is>
      </c>
      <c r="AA189" s="0" t="inlineStr">
        <is>
          <t>충청북도 청주시 서원구 분평동 1249</t>
        </is>
      </c>
      <c r="AB189" s="0" t="inlineStr">
        <is>
          <t>충청북도</t>
        </is>
      </c>
      <c r="AC189" s="0" t="inlineStr">
        <is>
          <t>청주시</t>
        </is>
      </c>
      <c r="AD189" s="0" t="inlineStr">
        <is>
          <t>서원구</t>
        </is>
      </c>
      <c r="AE189" s="0" t="inlineStr">
        <is>
          <t>분평동</t>
        </is>
      </c>
      <c r="AG189" s="0" t="inlineStr">
        <is>
          <t>충청북도 청주시 서원구 월평로 24</t>
        </is>
      </c>
      <c r="AH189" s="0" t="n">
        <v>0</v>
      </c>
      <c r="AI189" s="0" t="n">
        <v>242</v>
      </c>
      <c r="AJ189" s="0" t="n">
        <v>16</v>
      </c>
      <c r="AK189" s="0" t="n">
        <v>1557</v>
      </c>
      <c r="AL189" s="0" t="n">
        <v>1.32</v>
      </c>
    </row>
    <row r="190">
      <c r="A190" s="0" t="inlineStr">
        <is>
          <t>[분평동]</t>
        </is>
      </c>
      <c r="B190" s="0" t="n">
        <v>7511</v>
      </c>
      <c r="C190" s="0" t="n">
        <v>3</v>
      </c>
      <c r="D190" s="0" t="inlineStr">
        <is>
          <t>현대대우</t>
        </is>
      </c>
      <c r="E190" s="0" t="inlineStr">
        <is>
          <t>1999.07.</t>
        </is>
      </c>
      <c r="F190" s="0" t="n">
        <v>1179</v>
      </c>
      <c r="G190" s="0" t="n">
        <v>37.19</v>
      </c>
      <c r="H190" s="0" t="n">
        <v>122.96</v>
      </c>
      <c r="I190" s="0" t="n">
        <v>30.21</v>
      </c>
      <c r="J190" s="0" t="n">
        <v>99.88</v>
      </c>
      <c r="K190" s="0" t="n">
        <v>100</v>
      </c>
      <c r="T190" s="0" t="n">
        <v>4</v>
      </c>
      <c r="U190" s="0" t="n">
        <v>2</v>
      </c>
      <c r="V190" s="0" t="inlineStr">
        <is>
          <t>계단식</t>
        </is>
      </c>
      <c r="W190" s="0" t="inlineStr">
        <is>
          <t>122B</t>
        </is>
      </c>
      <c r="X190" s="0" t="n">
        <v>25</v>
      </c>
      <c r="Y190" s="0" t="n">
        <v>18</v>
      </c>
      <c r="Z190" s="0" t="inlineStr">
        <is>
          <t>https://new.land.naver.com/complexes/7511?tab=detail&amp;rf=Y</t>
        </is>
      </c>
      <c r="AA190" s="0" t="inlineStr">
        <is>
          <t>충청북도 청주시 서원구 분평동 1249</t>
        </is>
      </c>
      <c r="AB190" s="0" t="inlineStr">
        <is>
          <t>충청북도</t>
        </is>
      </c>
      <c r="AC190" s="0" t="inlineStr">
        <is>
          <t>청주시</t>
        </is>
      </c>
      <c r="AD190" s="0" t="inlineStr">
        <is>
          <t>서원구</t>
        </is>
      </c>
      <c r="AE190" s="0" t="inlineStr">
        <is>
          <t>분평동</t>
        </is>
      </c>
      <c r="AG190" s="0" t="inlineStr">
        <is>
          <t>충청북도 청주시 서원구 월평로 24</t>
        </is>
      </c>
      <c r="AH190" s="0" t="n">
        <v>0</v>
      </c>
      <c r="AI190" s="0" t="n">
        <v>242</v>
      </c>
      <c r="AJ190" s="0" t="n">
        <v>16</v>
      </c>
      <c r="AK190" s="0" t="n">
        <v>1557</v>
      </c>
      <c r="AL190" s="0" t="n">
        <v>1.32</v>
      </c>
    </row>
    <row r="191">
      <c r="A191" s="0" t="inlineStr">
        <is>
          <t>[분평동]</t>
        </is>
      </c>
      <c r="B191" s="0" t="n">
        <v>7511</v>
      </c>
      <c r="C191" s="0" t="n">
        <v>4</v>
      </c>
      <c r="D191" s="0" t="inlineStr">
        <is>
          <t>현대대우</t>
        </is>
      </c>
      <c r="E191" s="0" t="inlineStr">
        <is>
          <t>1999.07.</t>
        </is>
      </c>
      <c r="F191" s="0" t="n">
        <v>1179</v>
      </c>
      <c r="G191" s="0" t="n">
        <v>48.38</v>
      </c>
      <c r="H191" s="0" t="n">
        <v>159.94</v>
      </c>
      <c r="I191" s="0" t="n">
        <v>40.72</v>
      </c>
      <c r="J191" s="0" t="n">
        <v>134.64</v>
      </c>
      <c r="K191" s="0" t="n">
        <v>179</v>
      </c>
      <c r="T191" s="0" t="n">
        <v>4</v>
      </c>
      <c r="U191" s="0" t="n">
        <v>2</v>
      </c>
      <c r="V191" s="0" t="inlineStr">
        <is>
          <t>계단식</t>
        </is>
      </c>
      <c r="W191" s="0" t="inlineStr">
        <is>
          <t>159B</t>
        </is>
      </c>
      <c r="X191" s="0" t="n">
        <v>25</v>
      </c>
      <c r="Y191" s="0" t="n">
        <v>18</v>
      </c>
      <c r="Z191" s="0" t="inlineStr">
        <is>
          <t>https://new.land.naver.com/complexes/7511?tab=detail&amp;rf=Y</t>
        </is>
      </c>
      <c r="AA191" s="0" t="inlineStr">
        <is>
          <t>충청북도 청주시 서원구 분평동 1249</t>
        </is>
      </c>
      <c r="AB191" s="0" t="inlineStr">
        <is>
          <t>충청북도</t>
        </is>
      </c>
      <c r="AC191" s="0" t="inlineStr">
        <is>
          <t>청주시</t>
        </is>
      </c>
      <c r="AD191" s="0" t="inlineStr">
        <is>
          <t>서원구</t>
        </is>
      </c>
      <c r="AE191" s="0" t="inlineStr">
        <is>
          <t>분평동</t>
        </is>
      </c>
      <c r="AG191" s="0" t="inlineStr">
        <is>
          <t>충청북도 청주시 서원구 월평로 24</t>
        </is>
      </c>
      <c r="AH191" s="0" t="n">
        <v>0</v>
      </c>
      <c r="AI191" s="0" t="n">
        <v>242</v>
      </c>
      <c r="AJ191" s="0" t="n">
        <v>16</v>
      </c>
      <c r="AK191" s="0" t="n">
        <v>1557</v>
      </c>
      <c r="AL191" s="0" t="n">
        <v>1.32</v>
      </c>
    </row>
    <row r="192">
      <c r="A192" s="0" t="inlineStr">
        <is>
          <t>[분평동]</t>
        </is>
      </c>
      <c r="B192" s="0" t="n">
        <v>7511</v>
      </c>
      <c r="C192" s="0" t="n">
        <v>5</v>
      </c>
      <c r="D192" s="0" t="inlineStr">
        <is>
          <t>현대대우</t>
        </is>
      </c>
      <c r="E192" s="0" t="inlineStr">
        <is>
          <t>1999.07.</t>
        </is>
      </c>
      <c r="F192" s="0" t="n">
        <v>1179</v>
      </c>
      <c r="G192" s="0" t="n">
        <v>48.39</v>
      </c>
      <c r="H192" s="0" t="n">
        <v>159.97</v>
      </c>
      <c r="I192" s="0" t="n">
        <v>40.72</v>
      </c>
      <c r="J192" s="0" t="n">
        <v>134.62</v>
      </c>
      <c r="K192" s="0" t="n">
        <v>1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159A</t>
        </is>
      </c>
      <c r="X192" s="0" t="n">
        <v>25</v>
      </c>
      <c r="Y192" s="0" t="n">
        <v>18</v>
      </c>
      <c r="Z192" s="0" t="inlineStr">
        <is>
          <t>https://new.land.naver.com/complexes/7511?tab=detail&amp;rf=Y</t>
        </is>
      </c>
      <c r="AA192" s="0" t="inlineStr">
        <is>
          <t>충청북도 청주시 서원구 분평동 1249</t>
        </is>
      </c>
      <c r="AB192" s="0" t="inlineStr">
        <is>
          <t>충청북도</t>
        </is>
      </c>
      <c r="AC192" s="0" t="inlineStr">
        <is>
          <t>청주시</t>
        </is>
      </c>
      <c r="AD192" s="0" t="inlineStr">
        <is>
          <t>서원구</t>
        </is>
      </c>
      <c r="AE192" s="0" t="inlineStr">
        <is>
          <t>분평동</t>
        </is>
      </c>
      <c r="AG192" s="0" t="inlineStr">
        <is>
          <t>충청북도 청주시 서원구 월평로 24</t>
        </is>
      </c>
      <c r="AH192" s="0" t="n">
        <v>0</v>
      </c>
      <c r="AI192" s="0" t="n">
        <v>242</v>
      </c>
      <c r="AJ192" s="0" t="n">
        <v>16</v>
      </c>
      <c r="AK192" s="0" t="n">
        <v>1557</v>
      </c>
      <c r="AL192" s="0" t="n">
        <v>1.32</v>
      </c>
    </row>
    <row r="193">
      <c r="A193" s="0" t="inlineStr">
        <is>
          <t>[분평동]</t>
        </is>
      </c>
      <c r="B193" s="0" t="n">
        <v>7511</v>
      </c>
      <c r="C193" s="0" t="n">
        <v>6</v>
      </c>
      <c r="D193" s="0" t="inlineStr">
        <is>
          <t>현대대우</t>
        </is>
      </c>
      <c r="E193" s="0" t="inlineStr">
        <is>
          <t>1999.07.</t>
        </is>
      </c>
      <c r="F193" s="0" t="n">
        <v>1179</v>
      </c>
      <c r="G193" s="0" t="n">
        <v>62.81</v>
      </c>
      <c r="H193" s="0" t="n">
        <v>207.64</v>
      </c>
      <c r="I193" s="0" t="n">
        <v>54.94</v>
      </c>
      <c r="J193" s="0" t="n">
        <v>181.62</v>
      </c>
      <c r="K193" s="0" t="n">
        <v>80</v>
      </c>
      <c r="T193" s="0" t="n">
        <v>5</v>
      </c>
      <c r="U193" s="0" t="n">
        <v>2</v>
      </c>
      <c r="V193" s="0" t="inlineStr">
        <is>
          <t>계단식</t>
        </is>
      </c>
      <c r="W193" s="0" t="n">
        <v>207</v>
      </c>
      <c r="X193" s="0" t="n">
        <v>25</v>
      </c>
      <c r="Y193" s="0" t="n">
        <v>18</v>
      </c>
      <c r="Z193" s="0" t="inlineStr">
        <is>
          <t>https://new.land.naver.com/complexes/7511?tab=detail&amp;rf=Y</t>
        </is>
      </c>
      <c r="AA193" s="0" t="inlineStr">
        <is>
          <t>충청북도 청주시 서원구 분평동 1249</t>
        </is>
      </c>
      <c r="AB193" s="0" t="inlineStr">
        <is>
          <t>충청북도</t>
        </is>
      </c>
      <c r="AC193" s="0" t="inlineStr">
        <is>
          <t>청주시</t>
        </is>
      </c>
      <c r="AD193" s="0" t="inlineStr">
        <is>
          <t>서원구</t>
        </is>
      </c>
      <c r="AE193" s="0" t="inlineStr">
        <is>
          <t>분평동</t>
        </is>
      </c>
      <c r="AG193" s="0" t="inlineStr">
        <is>
          <t>충청북도 청주시 서원구 월평로 24</t>
        </is>
      </c>
      <c r="AH193" s="0" t="n">
        <v>0</v>
      </c>
      <c r="AI193" s="0" t="n">
        <v>242</v>
      </c>
      <c r="AJ193" s="0" t="n">
        <v>16</v>
      </c>
      <c r="AK193" s="0" t="n">
        <v>1557</v>
      </c>
      <c r="AL193" s="0" t="n">
        <v>1.32</v>
      </c>
    </row>
    <row r="194">
      <c r="A194" s="0" t="inlineStr">
        <is>
          <t>[분평동]</t>
        </is>
      </c>
      <c r="B194" s="0" t="n">
        <v>7485</v>
      </c>
      <c r="C194" s="0" t="n">
        <v>1</v>
      </c>
      <c r="D194" s="0" t="inlineStr">
        <is>
          <t>우성2차</t>
        </is>
      </c>
      <c r="E194" s="0" t="inlineStr">
        <is>
          <t>1990.11.</t>
        </is>
      </c>
      <c r="F194" s="0" t="n">
        <v>388</v>
      </c>
      <c r="G194" s="0" t="n">
        <v>31.96</v>
      </c>
      <c r="H194" s="0" t="n">
        <v>105.67</v>
      </c>
      <c r="I194" s="0" t="n">
        <v>25.69</v>
      </c>
      <c r="J194" s="0" t="n">
        <v>84.95</v>
      </c>
      <c r="K194" s="0" t="n">
        <v>268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105</v>
      </c>
      <c r="X194" s="0" t="n">
        <v>15</v>
      </c>
      <c r="Y194" s="0" t="n">
        <v>10</v>
      </c>
      <c r="Z194" s="0" t="inlineStr">
        <is>
          <t>https://new.land.naver.com/complexes/7485?tab=detail&amp;rf=Y</t>
        </is>
      </c>
      <c r="AA194" s="0" t="inlineStr">
        <is>
          <t>충청북도 청주시 서원구 분평동 237</t>
        </is>
      </c>
      <c r="AB194" s="0" t="inlineStr">
        <is>
          <t>충청북도</t>
        </is>
      </c>
      <c r="AC194" s="0" t="inlineStr">
        <is>
          <t>청주시</t>
        </is>
      </c>
      <c r="AD194" s="0" t="inlineStr">
        <is>
          <t>서원구</t>
        </is>
      </c>
      <c r="AE194" s="0" t="inlineStr">
        <is>
          <t>분평동</t>
        </is>
      </c>
      <c r="AG194" s="0" t="inlineStr">
        <is>
          <t>충청북도 청주시 서원구 청남로2005번길 45</t>
        </is>
      </c>
      <c r="AH194" s="0" t="n">
        <v>0</v>
      </c>
      <c r="AI194" s="0" t="n">
        <v>220</v>
      </c>
      <c r="AJ194" s="0" t="n">
        <v>33</v>
      </c>
      <c r="AK194" s="0" t="n">
        <v>0</v>
      </c>
      <c r="AL194" s="0" t="n">
        <v>0</v>
      </c>
    </row>
    <row r="195">
      <c r="A195" s="0" t="inlineStr">
        <is>
          <t>[분평동]</t>
        </is>
      </c>
      <c r="B195" s="0" t="n">
        <v>7485</v>
      </c>
      <c r="C195" s="0" t="n">
        <v>2</v>
      </c>
      <c r="D195" s="0" t="inlineStr">
        <is>
          <t>우성2차</t>
        </is>
      </c>
      <c r="E195" s="0" t="inlineStr">
        <is>
          <t>1990.11.</t>
        </is>
      </c>
      <c r="F195" s="0" t="n">
        <v>388</v>
      </c>
      <c r="G195" s="0" t="n">
        <v>46.27</v>
      </c>
      <c r="H195" s="0" t="n">
        <v>152.97</v>
      </c>
      <c r="I195" s="0" t="n">
        <v>38.48</v>
      </c>
      <c r="J195" s="0" t="n">
        <v>127.22</v>
      </c>
      <c r="K195" s="0" t="n">
        <v>72</v>
      </c>
      <c r="T195" s="0" t="n">
        <v>4</v>
      </c>
      <c r="U195" s="0" t="n">
        <v>2</v>
      </c>
      <c r="V195" s="0" t="inlineStr">
        <is>
          <t>계단식</t>
        </is>
      </c>
      <c r="W195" s="0" t="n">
        <v>152</v>
      </c>
      <c r="X195" s="0" t="n">
        <v>15</v>
      </c>
      <c r="Y195" s="0" t="n">
        <v>10</v>
      </c>
      <c r="Z195" s="0" t="inlineStr">
        <is>
          <t>https://new.land.naver.com/complexes/7485?tab=detail&amp;rf=Y</t>
        </is>
      </c>
      <c r="AA195" s="0" t="inlineStr">
        <is>
          <t>충청북도 청주시 서원구 분평동 237</t>
        </is>
      </c>
      <c r="AB195" s="0" t="inlineStr">
        <is>
          <t>충청북도</t>
        </is>
      </c>
      <c r="AC195" s="0" t="inlineStr">
        <is>
          <t>청주시</t>
        </is>
      </c>
      <c r="AD195" s="0" t="inlineStr">
        <is>
          <t>서원구</t>
        </is>
      </c>
      <c r="AE195" s="0" t="inlineStr">
        <is>
          <t>분평동</t>
        </is>
      </c>
      <c r="AG195" s="0" t="inlineStr">
        <is>
          <t>충청북도 청주시 서원구 청남로2005번길 45</t>
        </is>
      </c>
      <c r="AH195" s="0" t="n">
        <v>0</v>
      </c>
      <c r="AI195" s="0" t="n">
        <v>220</v>
      </c>
      <c r="AJ195" s="0" t="n">
        <v>33</v>
      </c>
      <c r="AK195" s="0" t="n">
        <v>0</v>
      </c>
      <c r="AL195" s="0" t="n">
        <v>0</v>
      </c>
    </row>
    <row r="196">
      <c r="A196" s="0" t="inlineStr">
        <is>
          <t>[분평동]</t>
        </is>
      </c>
      <c r="B196" s="0" t="n">
        <v>7485</v>
      </c>
      <c r="C196" s="0" t="n">
        <v>3</v>
      </c>
      <c r="D196" s="0" t="inlineStr">
        <is>
          <t>우성2차</t>
        </is>
      </c>
      <c r="E196" s="0" t="inlineStr">
        <is>
          <t>1990.11.</t>
        </is>
      </c>
      <c r="F196" s="0" t="n">
        <v>388</v>
      </c>
      <c r="G196" s="0" t="n">
        <v>56.56</v>
      </c>
      <c r="H196" s="0" t="n">
        <v>186.98</v>
      </c>
      <c r="I196" s="0" t="n">
        <v>47.41</v>
      </c>
      <c r="J196" s="0" t="n">
        <v>156.76</v>
      </c>
      <c r="K196" s="0" t="n">
        <v>48</v>
      </c>
      <c r="T196" s="0" t="n">
        <v>5</v>
      </c>
      <c r="U196" s="0" t="n">
        <v>2</v>
      </c>
      <c r="V196" s="0" t="inlineStr">
        <is>
          <t>계단식</t>
        </is>
      </c>
      <c r="W196" s="0" t="n">
        <v>186</v>
      </c>
      <c r="X196" s="0" t="n">
        <v>15</v>
      </c>
      <c r="Y196" s="0" t="n">
        <v>10</v>
      </c>
      <c r="Z196" s="0" t="inlineStr">
        <is>
          <t>https://new.land.naver.com/complexes/7485?tab=detail&amp;rf=Y</t>
        </is>
      </c>
      <c r="AA196" s="0" t="inlineStr">
        <is>
          <t>충청북도 청주시 서원구 분평동 237</t>
        </is>
      </c>
      <c r="AB196" s="0" t="inlineStr">
        <is>
          <t>충청북도</t>
        </is>
      </c>
      <c r="AC196" s="0" t="inlineStr">
        <is>
          <t>청주시</t>
        </is>
      </c>
      <c r="AD196" s="0" t="inlineStr">
        <is>
          <t>서원구</t>
        </is>
      </c>
      <c r="AE196" s="0" t="inlineStr">
        <is>
          <t>분평동</t>
        </is>
      </c>
      <c r="AG196" s="0" t="inlineStr">
        <is>
          <t>충청북도 청주시 서원구 청남로2005번길 45</t>
        </is>
      </c>
      <c r="AH196" s="0" t="n">
        <v>0</v>
      </c>
      <c r="AI196" s="0" t="n">
        <v>220</v>
      </c>
      <c r="AJ196" s="0" t="n">
        <v>33</v>
      </c>
      <c r="AK196" s="0" t="n">
        <v>0</v>
      </c>
      <c r="AL196" s="0" t="n">
        <v>0</v>
      </c>
    </row>
    <row r="197">
      <c r="A197" s="0" t="inlineStr">
        <is>
          <t>[분평동]</t>
        </is>
      </c>
      <c r="B197" s="0" t="n">
        <v>7500</v>
      </c>
      <c r="C197" s="0" t="n">
        <v>1</v>
      </c>
      <c r="D197" s="0" t="inlineStr">
        <is>
          <t>주공5단지</t>
        </is>
      </c>
      <c r="E197" s="0" t="inlineStr">
        <is>
          <t>1998.02.</t>
        </is>
      </c>
      <c r="F197" s="0" t="n">
        <v>1350</v>
      </c>
      <c r="G197" s="0" t="n">
        <v>17.07</v>
      </c>
      <c r="H197" s="0" t="n">
        <v>56.44</v>
      </c>
      <c r="I197" s="0" t="n">
        <v>12</v>
      </c>
      <c r="J197" s="0" t="n">
        <v>39.69</v>
      </c>
      <c r="K197" s="0" t="n">
        <v>180</v>
      </c>
      <c r="T197" s="0" t="n">
        <v>2</v>
      </c>
      <c r="U197" s="0" t="n">
        <v>1</v>
      </c>
      <c r="V197" s="0" t="inlineStr">
        <is>
          <t>복도식</t>
        </is>
      </c>
      <c r="W197" s="0" t="n">
        <v>56</v>
      </c>
      <c r="X197" s="0" t="n">
        <v>15</v>
      </c>
      <c r="Y197" s="0" t="n">
        <v>15</v>
      </c>
      <c r="Z197" s="0" t="inlineStr">
        <is>
          <t>https://new.land.naver.com/complexes/7500?tab=detail&amp;rf=Y</t>
        </is>
      </c>
      <c r="AA197" s="0" t="inlineStr">
        <is>
          <t>충청북도 청주시 서원구 분평동 1360</t>
        </is>
      </c>
      <c r="AB197" s="0" t="inlineStr">
        <is>
          <t>충청북도</t>
        </is>
      </c>
      <c r="AC197" s="0" t="inlineStr">
        <is>
          <t>청주시</t>
        </is>
      </c>
      <c r="AD197" s="0" t="inlineStr">
        <is>
          <t>서원구</t>
        </is>
      </c>
      <c r="AE197" s="0" t="inlineStr">
        <is>
          <t>분평동</t>
        </is>
      </c>
      <c r="AG197" s="0" t="inlineStr">
        <is>
          <t>충청북도 청주시 서원구 분평로 88-1</t>
        </is>
      </c>
      <c r="AH197" s="0" t="n">
        <v>0</v>
      </c>
      <c r="AI197" s="0" t="n">
        <v>202</v>
      </c>
      <c r="AJ197" s="0" t="n">
        <v>18</v>
      </c>
      <c r="AK197" s="0" t="n">
        <v>853</v>
      </c>
      <c r="AL197" s="0" t="n">
        <v>0.63</v>
      </c>
    </row>
    <row r="198">
      <c r="A198" s="0" t="inlineStr">
        <is>
          <t>[분평동]</t>
        </is>
      </c>
      <c r="B198" s="0" t="n">
        <v>7500</v>
      </c>
      <c r="C198" s="0" t="n">
        <v>2</v>
      </c>
      <c r="D198" s="0" t="inlineStr">
        <is>
          <t>주공5단지</t>
        </is>
      </c>
      <c r="E198" s="0" t="inlineStr">
        <is>
          <t>1998.02.</t>
        </is>
      </c>
      <c r="F198" s="0" t="n">
        <v>1350</v>
      </c>
      <c r="G198" s="0" t="n">
        <v>21.08</v>
      </c>
      <c r="H198" s="0" t="n">
        <v>69.69</v>
      </c>
      <c r="I198" s="0" t="n">
        <v>15.05</v>
      </c>
      <c r="J198" s="0" t="n">
        <v>49.77</v>
      </c>
      <c r="K198" s="0" t="n">
        <v>510</v>
      </c>
      <c r="T198" s="0" t="n">
        <v>2</v>
      </c>
      <c r="U198" s="0" t="n">
        <v>1</v>
      </c>
      <c r="V198" s="0" t="inlineStr">
        <is>
          <t>복도식</t>
        </is>
      </c>
      <c r="W198" s="0" t="n">
        <v>69</v>
      </c>
      <c r="X198" s="0" t="n">
        <v>15</v>
      </c>
      <c r="Y198" s="0" t="n">
        <v>15</v>
      </c>
      <c r="Z198" s="0" t="inlineStr">
        <is>
          <t>https://new.land.naver.com/complexes/7500?tab=detail&amp;rf=Y</t>
        </is>
      </c>
      <c r="AA198" s="0" t="inlineStr">
        <is>
          <t>충청북도 청주시 서원구 분평동 1360</t>
        </is>
      </c>
      <c r="AB198" s="0" t="inlineStr">
        <is>
          <t>충청북도</t>
        </is>
      </c>
      <c r="AC198" s="0" t="inlineStr">
        <is>
          <t>청주시</t>
        </is>
      </c>
      <c r="AD198" s="0" t="inlineStr">
        <is>
          <t>서원구</t>
        </is>
      </c>
      <c r="AE198" s="0" t="inlineStr">
        <is>
          <t>분평동</t>
        </is>
      </c>
      <c r="AG198" s="0" t="inlineStr">
        <is>
          <t>충청북도 청주시 서원구 분평로 88-1</t>
        </is>
      </c>
      <c r="AH198" s="0" t="n">
        <v>0</v>
      </c>
      <c r="AI198" s="0" t="n">
        <v>202</v>
      </c>
      <c r="AJ198" s="0" t="n">
        <v>18</v>
      </c>
      <c r="AK198" s="0" t="n">
        <v>853</v>
      </c>
      <c r="AL198" s="0" t="n">
        <v>0.63</v>
      </c>
    </row>
    <row r="199">
      <c r="A199" s="0" t="inlineStr">
        <is>
          <t>[분평동]</t>
        </is>
      </c>
      <c r="B199" s="0" t="n">
        <v>7500</v>
      </c>
      <c r="C199" s="0" t="n">
        <v>3</v>
      </c>
      <c r="D199" s="0" t="inlineStr">
        <is>
          <t>주공5단지</t>
        </is>
      </c>
      <c r="E199" s="0" t="inlineStr">
        <is>
          <t>1998.02.</t>
        </is>
      </c>
      <c r="F199" s="0" t="n">
        <v>1350</v>
      </c>
      <c r="G199" s="0" t="n">
        <v>23.21</v>
      </c>
      <c r="H199" s="0" t="n">
        <v>76.73</v>
      </c>
      <c r="I199" s="0" t="n">
        <v>18.06</v>
      </c>
      <c r="J199" s="0" t="n">
        <v>59.71</v>
      </c>
      <c r="K199" s="0" t="n">
        <v>660</v>
      </c>
      <c r="T199" s="0" t="n">
        <v>3</v>
      </c>
      <c r="U199" s="0" t="n">
        <v>1</v>
      </c>
      <c r="V199" s="0" t="inlineStr">
        <is>
          <t>계단식</t>
        </is>
      </c>
      <c r="W199" s="0" t="n">
        <v>76</v>
      </c>
      <c r="X199" s="0" t="n">
        <v>15</v>
      </c>
      <c r="Y199" s="0" t="n">
        <v>15</v>
      </c>
      <c r="Z199" s="0" t="inlineStr">
        <is>
          <t>https://new.land.naver.com/complexes/7500?tab=detail&amp;rf=Y</t>
        </is>
      </c>
      <c r="AA199" s="0" t="inlineStr">
        <is>
          <t>충청북도 청주시 서원구 분평동 1360</t>
        </is>
      </c>
      <c r="AB199" s="0" t="inlineStr">
        <is>
          <t>충청북도</t>
        </is>
      </c>
      <c r="AC199" s="0" t="inlineStr">
        <is>
          <t>청주시</t>
        </is>
      </c>
      <c r="AD199" s="0" t="inlineStr">
        <is>
          <t>서원구</t>
        </is>
      </c>
      <c r="AE199" s="0" t="inlineStr">
        <is>
          <t>분평동</t>
        </is>
      </c>
      <c r="AG199" s="0" t="inlineStr">
        <is>
          <t>충청북도 청주시 서원구 분평로 88-1</t>
        </is>
      </c>
      <c r="AH199" s="0" t="n">
        <v>0</v>
      </c>
      <c r="AI199" s="0" t="n">
        <v>202</v>
      </c>
      <c r="AJ199" s="0" t="n">
        <v>18</v>
      </c>
      <c r="AK199" s="0" t="n">
        <v>853</v>
      </c>
      <c r="AL199" s="0" t="n">
        <v>0.63</v>
      </c>
    </row>
    <row r="200">
      <c r="A200" s="0" t="inlineStr">
        <is>
          <t>[분평동]</t>
        </is>
      </c>
      <c r="B200" s="0" t="n">
        <v>7498</v>
      </c>
      <c r="C200" s="0" t="n">
        <v>1</v>
      </c>
      <c r="D200" s="0" t="inlineStr">
        <is>
          <t>주공4단지</t>
        </is>
      </c>
      <c r="E200" s="0" t="inlineStr">
        <is>
          <t>1999.06.</t>
        </is>
      </c>
      <c r="F200" s="0" t="n">
        <v>1314</v>
      </c>
      <c r="G200" s="0" t="n">
        <v>17.01</v>
      </c>
      <c r="H200" s="0" t="n">
        <v>56.26</v>
      </c>
      <c r="I200" s="0" t="n">
        <v>12</v>
      </c>
      <c r="J200" s="0" t="n">
        <v>39.69</v>
      </c>
      <c r="K200" s="0" t="n">
        <v>150</v>
      </c>
      <c r="T200" s="0" t="n">
        <v>2</v>
      </c>
      <c r="U200" s="0" t="n">
        <v>1</v>
      </c>
      <c r="V200" s="0" t="inlineStr">
        <is>
          <t>계단식</t>
        </is>
      </c>
      <c r="W200" s="0" t="n">
        <v>56</v>
      </c>
      <c r="X200" s="0" t="n">
        <v>20</v>
      </c>
      <c r="Y200" s="0" t="n">
        <v>15</v>
      </c>
      <c r="Z200" s="0" t="inlineStr">
        <is>
          <t>https://new.land.naver.com/complexes/7498?tab=detail&amp;rf=Y</t>
        </is>
      </c>
      <c r="AA200" s="0" t="inlineStr">
        <is>
          <t>충청북도 청주시 서원구 분평동 1261</t>
        </is>
      </c>
      <c r="AB200" s="0" t="inlineStr">
        <is>
          <t>충청북도</t>
        </is>
      </c>
      <c r="AC200" s="0" t="inlineStr">
        <is>
          <t>청주시</t>
        </is>
      </c>
      <c r="AD200" s="0" t="inlineStr">
        <is>
          <t>서원구</t>
        </is>
      </c>
      <c r="AE200" s="0" t="inlineStr">
        <is>
          <t>분평동</t>
        </is>
      </c>
      <c r="AG200" s="0" t="inlineStr">
        <is>
          <t>충청북도 청주시 서원구 1순환로1137번길 80</t>
        </is>
      </c>
      <c r="AH200" s="0" t="n">
        <v>0</v>
      </c>
      <c r="AI200" s="0" t="n">
        <v>453</v>
      </c>
      <c r="AJ200" s="0" t="n">
        <v>0</v>
      </c>
      <c r="AK200" s="0" t="n">
        <v>482</v>
      </c>
      <c r="AL200" s="0" t="n">
        <v>0.37</v>
      </c>
    </row>
    <row r="201">
      <c r="A201" s="0" t="inlineStr">
        <is>
          <t>[분평동]</t>
        </is>
      </c>
      <c r="B201" s="0" t="n">
        <v>7498</v>
      </c>
      <c r="C201" s="0" t="n">
        <v>2</v>
      </c>
      <c r="D201" s="0" t="inlineStr">
        <is>
          <t>주공4단지</t>
        </is>
      </c>
      <c r="E201" s="0" t="inlineStr">
        <is>
          <t>1999.06.</t>
        </is>
      </c>
      <c r="F201" s="0" t="n">
        <v>1314</v>
      </c>
      <c r="G201" s="0" t="n">
        <v>20.54</v>
      </c>
      <c r="H201" s="0" t="n">
        <v>67.91</v>
      </c>
      <c r="I201" s="0" t="n">
        <v>15.05</v>
      </c>
      <c r="J201" s="0" t="n">
        <v>49.76</v>
      </c>
      <c r="K201" s="0" t="n">
        <v>221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67</v>
      </c>
      <c r="X201" s="0" t="n">
        <v>20</v>
      </c>
      <c r="Y201" s="0" t="n">
        <v>15</v>
      </c>
      <c r="Z201" s="0" t="inlineStr">
        <is>
          <t>https://new.land.naver.com/complexes/7498?tab=detail&amp;rf=Y</t>
        </is>
      </c>
      <c r="AA201" s="0" t="inlineStr">
        <is>
          <t>충청북도 청주시 서원구 분평동 1261</t>
        </is>
      </c>
      <c r="AB201" s="0" t="inlineStr">
        <is>
          <t>충청북도</t>
        </is>
      </c>
      <c r="AC201" s="0" t="inlineStr">
        <is>
          <t>청주시</t>
        </is>
      </c>
      <c r="AD201" s="0" t="inlineStr">
        <is>
          <t>서원구</t>
        </is>
      </c>
      <c r="AE201" s="0" t="inlineStr">
        <is>
          <t>분평동</t>
        </is>
      </c>
      <c r="AG201" s="0" t="inlineStr">
        <is>
          <t>충청북도 청주시 서원구 1순환로1137번길 80</t>
        </is>
      </c>
      <c r="AH201" s="0" t="n">
        <v>0</v>
      </c>
      <c r="AI201" s="0" t="n">
        <v>453</v>
      </c>
      <c r="AJ201" s="0" t="n">
        <v>0</v>
      </c>
      <c r="AK201" s="0" t="n">
        <v>482</v>
      </c>
      <c r="AL201" s="0" t="n">
        <v>0.37</v>
      </c>
    </row>
    <row r="202">
      <c r="A202" s="0" t="inlineStr">
        <is>
          <t>[분평동]</t>
        </is>
      </c>
      <c r="B202" s="0" t="n">
        <v>7498</v>
      </c>
      <c r="C202" s="0" t="n">
        <v>3</v>
      </c>
      <c r="D202" s="0" t="inlineStr">
        <is>
          <t>주공4단지</t>
        </is>
      </c>
      <c r="E202" s="0" t="inlineStr">
        <is>
          <t>1999.06.</t>
        </is>
      </c>
      <c r="F202" s="0" t="n">
        <v>1314</v>
      </c>
      <c r="G202" s="0" t="n">
        <v>21.51</v>
      </c>
      <c r="H202" s="0" t="n">
        <v>71.12</v>
      </c>
      <c r="I202" s="0" t="n">
        <v>15.05</v>
      </c>
      <c r="J202" s="0" t="n">
        <v>49.77</v>
      </c>
      <c r="K202" s="0" t="n">
        <v>480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71</v>
      </c>
      <c r="X202" s="0" t="n">
        <v>20</v>
      </c>
      <c r="Y202" s="0" t="n">
        <v>15</v>
      </c>
      <c r="Z202" s="0" t="inlineStr">
        <is>
          <t>https://new.land.naver.com/complexes/7498?tab=detail&amp;rf=Y</t>
        </is>
      </c>
      <c r="AA202" s="0" t="inlineStr">
        <is>
          <t>충청북도 청주시 서원구 분평동 1261</t>
        </is>
      </c>
      <c r="AB202" s="0" t="inlineStr">
        <is>
          <t>충청북도</t>
        </is>
      </c>
      <c r="AC202" s="0" t="inlineStr">
        <is>
          <t>청주시</t>
        </is>
      </c>
      <c r="AD202" s="0" t="inlineStr">
        <is>
          <t>서원구</t>
        </is>
      </c>
      <c r="AE202" s="0" t="inlineStr">
        <is>
          <t>분평동</t>
        </is>
      </c>
      <c r="AG202" s="0" t="inlineStr">
        <is>
          <t>충청북도 청주시 서원구 1순환로1137번길 80</t>
        </is>
      </c>
      <c r="AH202" s="0" t="n">
        <v>0</v>
      </c>
      <c r="AI202" s="0" t="n">
        <v>453</v>
      </c>
      <c r="AJ202" s="0" t="n">
        <v>0</v>
      </c>
      <c r="AK202" s="0" t="n">
        <v>482</v>
      </c>
      <c r="AL202" s="0" t="n">
        <v>0.37</v>
      </c>
    </row>
    <row r="203">
      <c r="A203" s="0" t="inlineStr">
        <is>
          <t>[분평동]</t>
        </is>
      </c>
      <c r="B203" s="0" t="n">
        <v>7498</v>
      </c>
      <c r="C203" s="0" t="n">
        <v>4</v>
      </c>
      <c r="D203" s="0" t="inlineStr">
        <is>
          <t>주공4단지</t>
        </is>
      </c>
      <c r="E203" s="0" t="inlineStr">
        <is>
          <t>1999.06.</t>
        </is>
      </c>
      <c r="F203" s="0" t="n">
        <v>1314</v>
      </c>
      <c r="G203" s="0" t="n">
        <v>24.76</v>
      </c>
      <c r="H203" s="0" t="n">
        <v>81.87</v>
      </c>
      <c r="I203" s="0" t="n">
        <v>18.14</v>
      </c>
      <c r="J203" s="0" t="n">
        <v>59.99</v>
      </c>
      <c r="K203" s="0" t="n">
        <v>463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81</v>
      </c>
      <c r="X203" s="0" t="n">
        <v>20</v>
      </c>
      <c r="Y203" s="0" t="n">
        <v>15</v>
      </c>
      <c r="Z203" s="0" t="inlineStr">
        <is>
          <t>https://new.land.naver.com/complexes/7498?tab=detail&amp;rf=Y</t>
        </is>
      </c>
      <c r="AA203" s="0" t="inlineStr">
        <is>
          <t>충청북도 청주시 서원구 분평동 1261</t>
        </is>
      </c>
      <c r="AB203" s="0" t="inlineStr">
        <is>
          <t>충청북도</t>
        </is>
      </c>
      <c r="AC203" s="0" t="inlineStr">
        <is>
          <t>청주시</t>
        </is>
      </c>
      <c r="AD203" s="0" t="inlineStr">
        <is>
          <t>서원구</t>
        </is>
      </c>
      <c r="AE203" s="0" t="inlineStr">
        <is>
          <t>분평동</t>
        </is>
      </c>
      <c r="AG203" s="0" t="inlineStr">
        <is>
          <t>충청북도 청주시 서원구 1순환로1137번길 80</t>
        </is>
      </c>
      <c r="AH203" s="0" t="n">
        <v>0</v>
      </c>
      <c r="AI203" s="0" t="n">
        <v>453</v>
      </c>
      <c r="AJ203" s="0" t="n">
        <v>0</v>
      </c>
      <c r="AK203" s="0" t="n">
        <v>482</v>
      </c>
      <c r="AL203" s="0" t="n">
        <v>0.37</v>
      </c>
    </row>
    <row r="204">
      <c r="A204" s="0" t="inlineStr">
        <is>
          <t>[분평동]</t>
        </is>
      </c>
      <c r="B204" s="0" t="n">
        <v>11644</v>
      </c>
      <c r="C204" s="0" t="n">
        <v>1</v>
      </c>
      <c r="D204" s="0" t="inlineStr">
        <is>
          <t>주은프레지던트</t>
        </is>
      </c>
      <c r="E204" s="0" t="inlineStr">
        <is>
          <t>2001.11.</t>
        </is>
      </c>
      <c r="F204" s="0" t="n">
        <v>620</v>
      </c>
      <c r="G204" s="0" t="n">
        <v>34.01</v>
      </c>
      <c r="H204" s="0" t="n">
        <v>112.46</v>
      </c>
      <c r="I204" s="0" t="n">
        <v>25.65</v>
      </c>
      <c r="J204" s="0" t="n">
        <v>84.81999999999999</v>
      </c>
      <c r="K204" s="0" t="n">
        <v>300</v>
      </c>
      <c r="T204" s="0" t="n">
        <v>3</v>
      </c>
      <c r="U204" s="0" t="n">
        <v>2</v>
      </c>
      <c r="V204" s="0" t="inlineStr">
        <is>
          <t>계단식</t>
        </is>
      </c>
      <c r="W204" s="0" t="n">
        <v>112</v>
      </c>
      <c r="X204" s="0" t="n">
        <v>25</v>
      </c>
      <c r="Y204" s="0" t="n">
        <v>15</v>
      </c>
      <c r="Z204" s="0" t="inlineStr">
        <is>
          <t>https://new.land.naver.com/complexes/11644?tab=detail&amp;rf=Y</t>
        </is>
      </c>
      <c r="AA204" s="0" t="inlineStr">
        <is>
          <t>충청북도 청주시 서원구 분평동 1255</t>
        </is>
      </c>
      <c r="AB204" s="0" t="inlineStr">
        <is>
          <t>충청북도</t>
        </is>
      </c>
      <c r="AC204" s="0" t="inlineStr">
        <is>
          <t>청주시</t>
        </is>
      </c>
      <c r="AD204" s="0" t="inlineStr">
        <is>
          <t>서원구</t>
        </is>
      </c>
      <c r="AE204" s="0" t="inlineStr">
        <is>
          <t>분평동</t>
        </is>
      </c>
      <c r="AG204" s="0" t="inlineStr">
        <is>
          <t>충청북도 청주시 서원구 1순환로1137번길 79</t>
        </is>
      </c>
      <c r="AH204" s="0" t="n">
        <v>0</v>
      </c>
      <c r="AI204" s="0" t="n">
        <v>228</v>
      </c>
      <c r="AJ204" s="0" t="n">
        <v>20</v>
      </c>
      <c r="AK204" s="0" t="n">
        <v>1326</v>
      </c>
      <c r="AL204" s="0" t="n">
        <v>2.14</v>
      </c>
    </row>
    <row r="205">
      <c r="A205" s="0" t="inlineStr">
        <is>
          <t>[분평동]</t>
        </is>
      </c>
      <c r="B205" s="0" t="n">
        <v>11644</v>
      </c>
      <c r="C205" s="0" t="n">
        <v>2</v>
      </c>
      <c r="D205" s="0" t="inlineStr">
        <is>
          <t>주은프레지던트</t>
        </is>
      </c>
      <c r="E205" s="0" t="inlineStr">
        <is>
          <t>2001.11.</t>
        </is>
      </c>
      <c r="F205" s="0" t="n">
        <v>620</v>
      </c>
      <c r="G205" s="0" t="n">
        <v>44.97</v>
      </c>
      <c r="H205" s="0" t="n">
        <v>148.68</v>
      </c>
      <c r="I205" s="0" t="n">
        <v>35.29</v>
      </c>
      <c r="J205" s="0" t="n">
        <v>116.69</v>
      </c>
      <c r="K205" s="0" t="n">
        <v>120</v>
      </c>
      <c r="T205" s="0" t="n">
        <v>4</v>
      </c>
      <c r="U205" s="0" t="n">
        <v>2</v>
      </c>
      <c r="V205" s="0" t="inlineStr">
        <is>
          <t>계단식</t>
        </is>
      </c>
      <c r="W205" s="0" t="n">
        <v>148</v>
      </c>
      <c r="X205" s="0" t="n">
        <v>25</v>
      </c>
      <c r="Y205" s="0" t="n">
        <v>15</v>
      </c>
      <c r="Z205" s="0" t="inlineStr">
        <is>
          <t>https://new.land.naver.com/complexes/11644?tab=detail&amp;rf=Y</t>
        </is>
      </c>
      <c r="AA205" s="0" t="inlineStr">
        <is>
          <t>충청북도 청주시 서원구 분평동 1255</t>
        </is>
      </c>
      <c r="AB205" s="0" t="inlineStr">
        <is>
          <t>충청북도</t>
        </is>
      </c>
      <c r="AC205" s="0" t="inlineStr">
        <is>
          <t>청주시</t>
        </is>
      </c>
      <c r="AD205" s="0" t="inlineStr">
        <is>
          <t>서원구</t>
        </is>
      </c>
      <c r="AE205" s="0" t="inlineStr">
        <is>
          <t>분평동</t>
        </is>
      </c>
      <c r="AG205" s="0" t="inlineStr">
        <is>
          <t>충청북도 청주시 서원구 1순환로1137번길 79</t>
        </is>
      </c>
      <c r="AH205" s="0" t="n">
        <v>0</v>
      </c>
      <c r="AI205" s="0" t="n">
        <v>228</v>
      </c>
      <c r="AJ205" s="0" t="n">
        <v>20</v>
      </c>
      <c r="AK205" s="0" t="n">
        <v>1326</v>
      </c>
      <c r="AL205" s="0" t="n">
        <v>2.14</v>
      </c>
    </row>
    <row r="206">
      <c r="A206" s="0" t="inlineStr">
        <is>
          <t>[분평동]</t>
        </is>
      </c>
      <c r="B206" s="0" t="n">
        <v>11644</v>
      </c>
      <c r="C206" s="0" t="n">
        <v>3</v>
      </c>
      <c r="D206" s="0" t="inlineStr">
        <is>
          <t>주은프레지던트</t>
        </is>
      </c>
      <c r="E206" s="0" t="inlineStr">
        <is>
          <t>2001.11.</t>
        </is>
      </c>
      <c r="F206" s="0" t="n">
        <v>620</v>
      </c>
      <c r="G206" s="0" t="n">
        <v>53.18</v>
      </c>
      <c r="H206" s="0" t="n">
        <v>175.83</v>
      </c>
      <c r="I206" s="0" t="n">
        <v>41.59</v>
      </c>
      <c r="J206" s="0" t="n">
        <v>137.5</v>
      </c>
      <c r="K206" s="0" t="n">
        <v>200</v>
      </c>
      <c r="T206" s="0" t="n">
        <v>4</v>
      </c>
      <c r="U206" s="0" t="n">
        <v>2</v>
      </c>
      <c r="V206" s="0" t="inlineStr">
        <is>
          <t>계단식</t>
        </is>
      </c>
      <c r="W206" s="0" t="n">
        <v>175</v>
      </c>
      <c r="X206" s="0" t="n">
        <v>25</v>
      </c>
      <c r="Y206" s="0" t="n">
        <v>15</v>
      </c>
      <c r="Z206" s="0" t="inlineStr">
        <is>
          <t>https://new.land.naver.com/complexes/11644?tab=detail&amp;rf=Y</t>
        </is>
      </c>
      <c r="AA206" s="0" t="inlineStr">
        <is>
          <t>충청북도 청주시 서원구 분평동 1255</t>
        </is>
      </c>
      <c r="AB206" s="0" t="inlineStr">
        <is>
          <t>충청북도</t>
        </is>
      </c>
      <c r="AC206" s="0" t="inlineStr">
        <is>
          <t>청주시</t>
        </is>
      </c>
      <c r="AD206" s="0" t="inlineStr">
        <is>
          <t>서원구</t>
        </is>
      </c>
      <c r="AE206" s="0" t="inlineStr">
        <is>
          <t>분평동</t>
        </is>
      </c>
      <c r="AG206" s="0" t="inlineStr">
        <is>
          <t>충청북도 청주시 서원구 1순환로1137번길 79</t>
        </is>
      </c>
      <c r="AH206" s="0" t="n">
        <v>0</v>
      </c>
      <c r="AI206" s="0" t="n">
        <v>228</v>
      </c>
      <c r="AJ206" s="0" t="n">
        <v>20</v>
      </c>
      <c r="AK206" s="0" t="n">
        <v>1326</v>
      </c>
      <c r="AL206" s="0" t="n">
        <v>2.14</v>
      </c>
    </row>
    <row r="207">
      <c r="A207" s="0" t="inlineStr">
        <is>
          <t>[분평동]</t>
        </is>
      </c>
      <c r="B207" s="0" t="n">
        <v>7493</v>
      </c>
      <c r="C207" s="0" t="n">
        <v>1</v>
      </c>
      <c r="D207" s="0" t="inlineStr">
        <is>
          <t>주공3단지</t>
        </is>
      </c>
      <c r="E207" s="0" t="inlineStr">
        <is>
          <t>1997.06.</t>
        </is>
      </c>
      <c r="F207" s="0" t="n">
        <v>1330</v>
      </c>
      <c r="G207" s="0" t="n">
        <v>17.07</v>
      </c>
      <c r="H207" s="0" t="n">
        <v>56.44</v>
      </c>
      <c r="I207" s="0" t="n">
        <v>12</v>
      </c>
      <c r="J207" s="0" t="n">
        <v>39.69</v>
      </c>
      <c r="K207" s="0" t="n">
        <v>90</v>
      </c>
      <c r="T207" s="0" t="n">
        <v>2</v>
      </c>
      <c r="U207" s="0" t="n">
        <v>1</v>
      </c>
      <c r="V207" s="0" t="inlineStr">
        <is>
          <t>복도식</t>
        </is>
      </c>
      <c r="W207" s="0" t="n">
        <v>56</v>
      </c>
      <c r="X207" s="0" t="n">
        <v>20</v>
      </c>
      <c r="Y207" s="0" t="n">
        <v>15</v>
      </c>
      <c r="Z207" s="0" t="inlineStr">
        <is>
          <t>https://new.land.naver.com/complexes/7493?tab=detail&amp;rf=Y</t>
        </is>
      </c>
      <c r="AA207" s="0" t="inlineStr">
        <is>
          <t>충청북도 청주시 서원구 분평동 1200</t>
        </is>
      </c>
      <c r="AB207" s="0" t="inlineStr">
        <is>
          <t>충청북도</t>
        </is>
      </c>
      <c r="AC207" s="0" t="inlineStr">
        <is>
          <t>청주시</t>
        </is>
      </c>
      <c r="AD207" s="0" t="inlineStr">
        <is>
          <t>서원구</t>
        </is>
      </c>
      <c r="AE207" s="0" t="inlineStr">
        <is>
          <t>분평동</t>
        </is>
      </c>
      <c r="AG207" s="0" t="inlineStr">
        <is>
          <t>충청북도 청주시 서원구 1순환로1137번길 130</t>
        </is>
      </c>
      <c r="AH207" s="0" t="n">
        <v>0</v>
      </c>
      <c r="AI207" s="0" t="n">
        <v>0</v>
      </c>
      <c r="AJ207" s="0" t="n">
        <v>0</v>
      </c>
      <c r="AK207" s="0" t="n">
        <v>810</v>
      </c>
      <c r="AL207" s="0" t="n">
        <v>0.61</v>
      </c>
    </row>
    <row r="208">
      <c r="A208" s="0" t="inlineStr">
        <is>
          <t>[분평동]</t>
        </is>
      </c>
      <c r="B208" s="0" t="n">
        <v>7493</v>
      </c>
      <c r="C208" s="0" t="n">
        <v>2</v>
      </c>
      <c r="D208" s="0" t="inlineStr">
        <is>
          <t>주공3단지</t>
        </is>
      </c>
      <c r="E208" s="0" t="inlineStr">
        <is>
          <t>1997.06.</t>
        </is>
      </c>
      <c r="F208" s="0" t="n">
        <v>1330</v>
      </c>
      <c r="G208" s="0" t="n">
        <v>21.08</v>
      </c>
      <c r="H208" s="0" t="n">
        <v>69.69</v>
      </c>
      <c r="I208" s="0" t="n">
        <v>15.05</v>
      </c>
      <c r="J208" s="0" t="n">
        <v>49.77</v>
      </c>
      <c r="K208" s="0" t="n">
        <v>90</v>
      </c>
      <c r="T208" s="0" t="n">
        <v>2</v>
      </c>
      <c r="U208" s="0" t="n">
        <v>1</v>
      </c>
      <c r="V208" s="0" t="inlineStr">
        <is>
          <t>계단식</t>
        </is>
      </c>
      <c r="W208" s="0" t="n">
        <v>69</v>
      </c>
      <c r="X208" s="0" t="n">
        <v>20</v>
      </c>
      <c r="Y208" s="0" t="n">
        <v>15</v>
      </c>
      <c r="Z208" s="0" t="inlineStr">
        <is>
          <t>https://new.land.naver.com/complexes/7493?tab=detail&amp;rf=Y</t>
        </is>
      </c>
      <c r="AA208" s="0" t="inlineStr">
        <is>
          <t>충청북도 청주시 서원구 분평동 1200</t>
        </is>
      </c>
      <c r="AB208" s="0" t="inlineStr">
        <is>
          <t>충청북도</t>
        </is>
      </c>
      <c r="AC208" s="0" t="inlineStr">
        <is>
          <t>청주시</t>
        </is>
      </c>
      <c r="AD208" s="0" t="inlineStr">
        <is>
          <t>서원구</t>
        </is>
      </c>
      <c r="AE208" s="0" t="inlineStr">
        <is>
          <t>분평동</t>
        </is>
      </c>
      <c r="AG208" s="0" t="inlineStr">
        <is>
          <t>충청북도 청주시 서원구 1순환로1137번길 130</t>
        </is>
      </c>
      <c r="AH208" s="0" t="n">
        <v>0</v>
      </c>
      <c r="AI208" s="0" t="n">
        <v>0</v>
      </c>
      <c r="AJ208" s="0" t="n">
        <v>0</v>
      </c>
      <c r="AK208" s="0" t="n">
        <v>810</v>
      </c>
      <c r="AL208" s="0" t="n">
        <v>0.61</v>
      </c>
    </row>
    <row r="209">
      <c r="A209" s="0" t="inlineStr">
        <is>
          <t>[분평동]</t>
        </is>
      </c>
      <c r="B209" s="0" t="n">
        <v>7493</v>
      </c>
      <c r="C209" s="0" t="n">
        <v>3</v>
      </c>
      <c r="D209" s="0" t="inlineStr">
        <is>
          <t>주공3단지</t>
        </is>
      </c>
      <c r="E209" s="0" t="inlineStr">
        <is>
          <t>1997.06.</t>
        </is>
      </c>
      <c r="F209" s="0" t="n">
        <v>1330</v>
      </c>
      <c r="G209" s="0" t="n">
        <v>21.51</v>
      </c>
      <c r="H209" s="0" t="n">
        <v>71.12</v>
      </c>
      <c r="I209" s="0" t="n">
        <v>15.05</v>
      </c>
      <c r="J209" s="0" t="n">
        <v>49.77</v>
      </c>
      <c r="K209" s="0" t="n">
        <v>240</v>
      </c>
      <c r="T209" s="0" t="n">
        <v>2</v>
      </c>
      <c r="U209" s="0" t="n">
        <v>1</v>
      </c>
      <c r="V209" s="0" t="inlineStr">
        <is>
          <t>복도식</t>
        </is>
      </c>
      <c r="W209" s="0" t="inlineStr">
        <is>
          <t>71A</t>
        </is>
      </c>
      <c r="X209" s="0" t="n">
        <v>20</v>
      </c>
      <c r="Y209" s="0" t="n">
        <v>15</v>
      </c>
      <c r="Z209" s="0" t="inlineStr">
        <is>
          <t>https://new.land.naver.com/complexes/7493?tab=detail&amp;rf=Y</t>
        </is>
      </c>
      <c r="AA209" s="0" t="inlineStr">
        <is>
          <t>충청북도 청주시 서원구 분평동 1200</t>
        </is>
      </c>
      <c r="AB209" s="0" t="inlineStr">
        <is>
          <t>충청북도</t>
        </is>
      </c>
      <c r="AC209" s="0" t="inlineStr">
        <is>
          <t>청주시</t>
        </is>
      </c>
      <c r="AD209" s="0" t="inlineStr">
        <is>
          <t>서원구</t>
        </is>
      </c>
      <c r="AE209" s="0" t="inlineStr">
        <is>
          <t>분평동</t>
        </is>
      </c>
      <c r="AG209" s="0" t="inlineStr">
        <is>
          <t>충청북도 청주시 서원구 1순환로1137번길 130</t>
        </is>
      </c>
      <c r="AH209" s="0" t="n">
        <v>0</v>
      </c>
      <c r="AI209" s="0" t="n">
        <v>0</v>
      </c>
      <c r="AJ209" s="0" t="n">
        <v>0</v>
      </c>
      <c r="AK209" s="0" t="n">
        <v>810</v>
      </c>
      <c r="AL209" s="0" t="n">
        <v>0.61</v>
      </c>
    </row>
    <row r="210">
      <c r="A210" s="0" t="inlineStr">
        <is>
          <t>[분평동]</t>
        </is>
      </c>
      <c r="B210" s="0" t="n">
        <v>7493</v>
      </c>
      <c r="C210" s="0" t="n">
        <v>4</v>
      </c>
      <c r="D210" s="0" t="inlineStr">
        <is>
          <t>주공3단지</t>
        </is>
      </c>
      <c r="E210" s="0" t="inlineStr">
        <is>
          <t>1997.06.</t>
        </is>
      </c>
      <c r="F210" s="0" t="n">
        <v>1330</v>
      </c>
      <c r="G210" s="0" t="n">
        <v>22.07</v>
      </c>
      <c r="H210" s="0" t="n">
        <v>72.95999999999999</v>
      </c>
      <c r="I210" s="0" t="n">
        <v>15.05</v>
      </c>
      <c r="J210" s="0" t="n">
        <v>49.77</v>
      </c>
      <c r="K210" s="0" t="n">
        <v>60</v>
      </c>
      <c r="T210" s="0" t="n">
        <v>2</v>
      </c>
      <c r="U210" s="0" t="n">
        <v>1</v>
      </c>
      <c r="V210" s="0" t="inlineStr">
        <is>
          <t>복도식</t>
        </is>
      </c>
      <c r="W210" s="0" t="inlineStr">
        <is>
          <t>72B</t>
        </is>
      </c>
      <c r="X210" s="0" t="n">
        <v>20</v>
      </c>
      <c r="Y210" s="0" t="n">
        <v>15</v>
      </c>
      <c r="Z210" s="0" t="inlineStr">
        <is>
          <t>https://new.land.naver.com/complexes/7493?tab=detail&amp;rf=Y</t>
        </is>
      </c>
      <c r="AA210" s="0" t="inlineStr">
        <is>
          <t>충청북도 청주시 서원구 분평동 1200</t>
        </is>
      </c>
      <c r="AB210" s="0" t="inlineStr">
        <is>
          <t>충청북도</t>
        </is>
      </c>
      <c r="AC210" s="0" t="inlineStr">
        <is>
          <t>청주시</t>
        </is>
      </c>
      <c r="AD210" s="0" t="inlineStr">
        <is>
          <t>서원구</t>
        </is>
      </c>
      <c r="AE210" s="0" t="inlineStr">
        <is>
          <t>분평동</t>
        </is>
      </c>
      <c r="AG210" s="0" t="inlineStr">
        <is>
          <t>충청북도 청주시 서원구 1순환로1137번길 130</t>
        </is>
      </c>
      <c r="AH210" s="0" t="n">
        <v>0</v>
      </c>
      <c r="AI210" s="0" t="n">
        <v>0</v>
      </c>
      <c r="AJ210" s="0" t="n">
        <v>0</v>
      </c>
      <c r="AK210" s="0" t="n">
        <v>810</v>
      </c>
      <c r="AL210" s="0" t="n">
        <v>0.61</v>
      </c>
    </row>
    <row r="211">
      <c r="A211" s="0" t="inlineStr">
        <is>
          <t>[분평동]</t>
        </is>
      </c>
      <c r="B211" s="0" t="n">
        <v>7493</v>
      </c>
      <c r="C211" s="0" t="n">
        <v>5</v>
      </c>
      <c r="D211" s="0" t="inlineStr">
        <is>
          <t>주공3단지</t>
        </is>
      </c>
      <c r="E211" s="0" t="inlineStr">
        <is>
          <t>1997.06.</t>
        </is>
      </c>
      <c r="F211" s="0" t="n">
        <v>1330</v>
      </c>
      <c r="G211" s="0" t="n">
        <v>23.21</v>
      </c>
      <c r="H211" s="0" t="n">
        <v>76.73999999999999</v>
      </c>
      <c r="I211" s="0" t="n">
        <v>18.06</v>
      </c>
      <c r="J211" s="0" t="n">
        <v>59.71</v>
      </c>
      <c r="K211" s="0" t="n">
        <v>330</v>
      </c>
      <c r="T211" s="0" t="n">
        <v>3</v>
      </c>
      <c r="U211" s="0" t="n">
        <v>1</v>
      </c>
      <c r="V211" s="0" t="inlineStr">
        <is>
          <t>계단식</t>
        </is>
      </c>
      <c r="W211" s="0" t="n">
        <v>76</v>
      </c>
      <c r="X211" s="0" t="n">
        <v>20</v>
      </c>
      <c r="Y211" s="0" t="n">
        <v>15</v>
      </c>
      <c r="Z211" s="0" t="inlineStr">
        <is>
          <t>https://new.land.naver.com/complexes/7493?tab=detail&amp;rf=Y</t>
        </is>
      </c>
      <c r="AA211" s="0" t="inlineStr">
        <is>
          <t>충청북도 청주시 서원구 분평동 1200</t>
        </is>
      </c>
      <c r="AB211" s="0" t="inlineStr">
        <is>
          <t>충청북도</t>
        </is>
      </c>
      <c r="AC211" s="0" t="inlineStr">
        <is>
          <t>청주시</t>
        </is>
      </c>
      <c r="AD211" s="0" t="inlineStr">
        <is>
          <t>서원구</t>
        </is>
      </c>
      <c r="AE211" s="0" t="inlineStr">
        <is>
          <t>분평동</t>
        </is>
      </c>
      <c r="AG211" s="0" t="inlineStr">
        <is>
          <t>충청북도 청주시 서원구 1순환로1137번길 130</t>
        </is>
      </c>
      <c r="AH211" s="0" t="n">
        <v>0</v>
      </c>
      <c r="AI211" s="0" t="n">
        <v>0</v>
      </c>
      <c r="AJ211" s="0" t="n">
        <v>0</v>
      </c>
      <c r="AK211" s="0" t="n">
        <v>810</v>
      </c>
      <c r="AL211" s="0" t="n">
        <v>0.61</v>
      </c>
    </row>
    <row r="212">
      <c r="A212" s="0" t="inlineStr">
        <is>
          <t>[분평동]</t>
        </is>
      </c>
      <c r="B212" s="0" t="n">
        <v>7493</v>
      </c>
      <c r="C212" s="0" t="n">
        <v>6</v>
      </c>
      <c r="D212" s="0" t="inlineStr">
        <is>
          <t>주공3단지</t>
        </is>
      </c>
      <c r="E212" s="0" t="inlineStr">
        <is>
          <t>1997.06.</t>
        </is>
      </c>
      <c r="F212" s="0" t="n">
        <v>1330</v>
      </c>
      <c r="G212" s="0" t="n">
        <v>24.59</v>
      </c>
      <c r="H212" s="0" t="n">
        <v>81.31</v>
      </c>
      <c r="I212" s="0" t="n">
        <v>18.14</v>
      </c>
      <c r="J212" s="0" t="n">
        <v>59.99</v>
      </c>
      <c r="K212" s="0" t="n">
        <v>520</v>
      </c>
      <c r="T212" s="0" t="n">
        <v>3</v>
      </c>
      <c r="U212" s="0" t="n">
        <v>1</v>
      </c>
      <c r="V212" s="0" t="inlineStr">
        <is>
          <t>계단식</t>
        </is>
      </c>
      <c r="W212" s="0" t="n">
        <v>81</v>
      </c>
      <c r="X212" s="0" t="n">
        <v>20</v>
      </c>
      <c r="Y212" s="0" t="n">
        <v>15</v>
      </c>
      <c r="Z212" s="0" t="inlineStr">
        <is>
          <t>https://new.land.naver.com/complexes/7493?tab=detail&amp;rf=Y</t>
        </is>
      </c>
      <c r="AA212" s="0" t="inlineStr">
        <is>
          <t>충청북도 청주시 서원구 분평동 1200</t>
        </is>
      </c>
      <c r="AB212" s="0" t="inlineStr">
        <is>
          <t>충청북도</t>
        </is>
      </c>
      <c r="AC212" s="0" t="inlineStr">
        <is>
          <t>청주시</t>
        </is>
      </c>
      <c r="AD212" s="0" t="inlineStr">
        <is>
          <t>서원구</t>
        </is>
      </c>
      <c r="AE212" s="0" t="inlineStr">
        <is>
          <t>분평동</t>
        </is>
      </c>
      <c r="AG212" s="0" t="inlineStr">
        <is>
          <t>충청북도 청주시 서원구 1순환로1137번길 130</t>
        </is>
      </c>
      <c r="AH212" s="0" t="n">
        <v>0</v>
      </c>
      <c r="AI212" s="0" t="n">
        <v>0</v>
      </c>
      <c r="AJ212" s="0" t="n">
        <v>0</v>
      </c>
      <c r="AK212" s="0" t="n">
        <v>810</v>
      </c>
      <c r="AL212" s="0" t="n">
        <v>0.61</v>
      </c>
    </row>
    <row r="213">
      <c r="A213" s="0" t="inlineStr">
        <is>
          <t>[분평동]</t>
        </is>
      </c>
      <c r="B213" s="0" t="n">
        <v>12032</v>
      </c>
      <c r="C213" s="0" t="n">
        <v>1</v>
      </c>
      <c r="D213" s="0" t="inlineStr">
        <is>
          <t>우성1차</t>
        </is>
      </c>
      <c r="E213" s="0" t="inlineStr">
        <is>
          <t>1990.10.</t>
        </is>
      </c>
      <c r="F213" s="0" t="n">
        <v>412</v>
      </c>
      <c r="G213" s="0" t="n">
        <v>28.56</v>
      </c>
      <c r="H213" s="0" t="n">
        <v>94.42</v>
      </c>
      <c r="I213" s="0" t="n">
        <v>23.05</v>
      </c>
      <c r="J213" s="0" t="n">
        <v>76.2</v>
      </c>
      <c r="K213" s="0" t="n">
        <v>154</v>
      </c>
      <c r="T213" s="0" t="n">
        <v>3</v>
      </c>
      <c r="U213" s="0" t="n">
        <v>1</v>
      </c>
      <c r="V213" s="0" t="inlineStr">
        <is>
          <t>계단식</t>
        </is>
      </c>
      <c r="W213" s="0" t="n">
        <v>94</v>
      </c>
      <c r="X213" s="0" t="n">
        <v>15</v>
      </c>
      <c r="Y213" s="0" t="n">
        <v>12</v>
      </c>
      <c r="Z213" s="0" t="inlineStr">
        <is>
          <t>https://new.land.naver.com/complexes/12032?tab=detail&amp;rf=Y</t>
        </is>
      </c>
      <c r="AA213" s="0" t="inlineStr">
        <is>
          <t>충청북도 청주시 서원구 분평동 320</t>
        </is>
      </c>
      <c r="AB213" s="0" t="inlineStr">
        <is>
          <t>충청북도</t>
        </is>
      </c>
      <c r="AC213" s="0" t="inlineStr">
        <is>
          <t>청주시</t>
        </is>
      </c>
      <c r="AD213" s="0" t="inlineStr">
        <is>
          <t>서원구</t>
        </is>
      </c>
      <c r="AE213" s="0" t="inlineStr">
        <is>
          <t>분평동</t>
        </is>
      </c>
      <c r="AG213" s="0" t="inlineStr">
        <is>
          <t>충청북도 청주시 서원구 1순환로1013번길 10</t>
        </is>
      </c>
      <c r="AH213" s="0" t="n">
        <v>0</v>
      </c>
      <c r="AI213" s="0" t="n">
        <v>0</v>
      </c>
      <c r="AJ213" s="0" t="n">
        <v>0</v>
      </c>
      <c r="AK213" s="0" t="n">
        <v>0</v>
      </c>
      <c r="AL213" s="0" t="n">
        <v>0</v>
      </c>
    </row>
    <row r="214">
      <c r="A214" s="0" t="inlineStr">
        <is>
          <t>[분평동]</t>
        </is>
      </c>
      <c r="B214" s="0" t="n">
        <v>12032</v>
      </c>
      <c r="C214" s="0" t="n">
        <v>2</v>
      </c>
      <c r="D214" s="0" t="inlineStr">
        <is>
          <t>우성1차</t>
        </is>
      </c>
      <c r="E214" s="0" t="inlineStr">
        <is>
          <t>1990.10.</t>
        </is>
      </c>
      <c r="F214" s="0" t="n">
        <v>412</v>
      </c>
      <c r="G214" s="0" t="n">
        <v>31.83</v>
      </c>
      <c r="H214" s="0" t="n">
        <v>105.25</v>
      </c>
      <c r="I214" s="0" t="n">
        <v>25.69</v>
      </c>
      <c r="J214" s="0" t="n">
        <v>84.95</v>
      </c>
      <c r="K214" s="0" t="n">
        <v>232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105</v>
      </c>
      <c r="X214" s="0" t="n">
        <v>15</v>
      </c>
      <c r="Y214" s="0" t="n">
        <v>12</v>
      </c>
      <c r="Z214" s="0" t="inlineStr">
        <is>
          <t>https://new.land.naver.com/complexes/12032?tab=detail&amp;rf=Y</t>
        </is>
      </c>
      <c r="AA214" s="0" t="inlineStr">
        <is>
          <t>충청북도 청주시 서원구 분평동 320</t>
        </is>
      </c>
      <c r="AB214" s="0" t="inlineStr">
        <is>
          <t>충청북도</t>
        </is>
      </c>
      <c r="AC214" s="0" t="inlineStr">
        <is>
          <t>청주시</t>
        </is>
      </c>
      <c r="AD214" s="0" t="inlineStr">
        <is>
          <t>서원구</t>
        </is>
      </c>
      <c r="AE214" s="0" t="inlineStr">
        <is>
          <t>분평동</t>
        </is>
      </c>
      <c r="AG214" s="0" t="inlineStr">
        <is>
          <t>충청북도 청주시 서원구 1순환로1013번길 10</t>
        </is>
      </c>
      <c r="AH214" s="0" t="n">
        <v>0</v>
      </c>
      <c r="AI214" s="0" t="n">
        <v>0</v>
      </c>
      <c r="AJ214" s="0" t="n">
        <v>0</v>
      </c>
      <c r="AK214" s="0" t="n">
        <v>0</v>
      </c>
      <c r="AL214" s="0" t="n">
        <v>0</v>
      </c>
    </row>
    <row r="215">
      <c r="A215" s="0" t="inlineStr">
        <is>
          <t>[분평동]</t>
        </is>
      </c>
      <c r="B215" s="0" t="n">
        <v>12032</v>
      </c>
      <c r="C215" s="0" t="n">
        <v>3</v>
      </c>
      <c r="D215" s="0" t="inlineStr">
        <is>
          <t>우성1차</t>
        </is>
      </c>
      <c r="E215" s="0" t="inlineStr">
        <is>
          <t>1990.10.</t>
        </is>
      </c>
      <c r="F215" s="0" t="n">
        <v>412</v>
      </c>
      <c r="G215" s="0" t="n">
        <v>47.67</v>
      </c>
      <c r="H215" s="0" t="n">
        <v>157.61</v>
      </c>
      <c r="I215" s="0" t="n">
        <v>38.48</v>
      </c>
      <c r="J215" s="0" t="n">
        <v>127.22</v>
      </c>
      <c r="K215" s="0" t="n">
        <v>26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157</v>
      </c>
      <c r="X215" s="0" t="n">
        <v>15</v>
      </c>
      <c r="Y215" s="0" t="n">
        <v>12</v>
      </c>
      <c r="Z215" s="0" t="inlineStr">
        <is>
          <t>https://new.land.naver.com/complexes/12032?tab=detail&amp;rf=Y</t>
        </is>
      </c>
      <c r="AA215" s="0" t="inlineStr">
        <is>
          <t>충청북도 청주시 서원구 분평동 320</t>
        </is>
      </c>
      <c r="AB215" s="0" t="inlineStr">
        <is>
          <t>충청북도</t>
        </is>
      </c>
      <c r="AC215" s="0" t="inlineStr">
        <is>
          <t>청주시</t>
        </is>
      </c>
      <c r="AD215" s="0" t="inlineStr">
        <is>
          <t>서원구</t>
        </is>
      </c>
      <c r="AE215" s="0" t="inlineStr">
        <is>
          <t>분평동</t>
        </is>
      </c>
      <c r="AG215" s="0" t="inlineStr">
        <is>
          <t>충청북도 청주시 서원구 1순환로1013번길 10</t>
        </is>
      </c>
      <c r="AH215" s="0" t="n">
        <v>0</v>
      </c>
      <c r="AI215" s="0" t="n">
        <v>0</v>
      </c>
      <c r="AJ215" s="0" t="n">
        <v>0</v>
      </c>
      <c r="AK215" s="0" t="n">
        <v>0</v>
      </c>
      <c r="AL215" s="0" t="n">
        <v>0</v>
      </c>
    </row>
    <row r="216">
      <c r="A216" s="0" t="inlineStr">
        <is>
          <t>[분평동]</t>
        </is>
      </c>
      <c r="B216" s="0" t="n">
        <v>11630</v>
      </c>
      <c r="C216" s="0" t="n">
        <v>1</v>
      </c>
      <c r="D216" s="0" t="inlineStr">
        <is>
          <t>럭키</t>
        </is>
      </c>
      <c r="E216" s="0" t="inlineStr">
        <is>
          <t>1992.11.</t>
        </is>
      </c>
      <c r="F216" s="0" t="n">
        <v>156</v>
      </c>
      <c r="G216" s="0" t="n">
        <v>28.41</v>
      </c>
      <c r="H216" s="0" t="n">
        <v>93.95</v>
      </c>
      <c r="I216" s="0" t="n">
        <v>23.6</v>
      </c>
      <c r="J216" s="0" t="n">
        <v>78.02</v>
      </c>
      <c r="K216" s="0" t="n">
        <v>74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93</v>
      </c>
      <c r="X216" s="0" t="n">
        <v>15</v>
      </c>
      <c r="Y216" s="0" t="n">
        <v>6</v>
      </c>
      <c r="Z216" s="0" t="inlineStr">
        <is>
          <t>https://new.land.naver.com/complexes/11630?tab=detail&amp;rf=Y</t>
        </is>
      </c>
      <c r="AA216" s="0" t="inlineStr">
        <is>
          <t>충청북도 청주시 서원구 분평동 252-42</t>
        </is>
      </c>
      <c r="AB216" s="0" t="inlineStr">
        <is>
          <t>충청북도</t>
        </is>
      </c>
      <c r="AC216" s="0" t="inlineStr">
        <is>
          <t>청주시</t>
        </is>
      </c>
      <c r="AD216" s="0" t="inlineStr">
        <is>
          <t>서원구</t>
        </is>
      </c>
      <c r="AE216" s="0" t="inlineStr">
        <is>
          <t>분평동</t>
        </is>
      </c>
      <c r="AG216" s="0" t="inlineStr">
        <is>
          <t>충청북도 청주시 서원구 안뜸로39번길 5-1</t>
        </is>
      </c>
      <c r="AH216" s="0" t="n">
        <v>0</v>
      </c>
      <c r="AI216" s="0" t="n">
        <v>0</v>
      </c>
      <c r="AJ216" s="0" t="n">
        <v>0</v>
      </c>
      <c r="AK216" s="0" t="n">
        <v>0</v>
      </c>
      <c r="AL216" s="0" t="n">
        <v>0</v>
      </c>
    </row>
    <row r="217">
      <c r="A217" s="0" t="inlineStr">
        <is>
          <t>[분평동]</t>
        </is>
      </c>
      <c r="B217" s="0" t="n">
        <v>11630</v>
      </c>
      <c r="C217" s="0" t="n">
        <v>2</v>
      </c>
      <c r="D217" s="0" t="inlineStr">
        <is>
          <t>럭키</t>
        </is>
      </c>
      <c r="E217" s="0" t="inlineStr">
        <is>
          <t>1992.11.</t>
        </is>
      </c>
      <c r="F217" s="0" t="n">
        <v>156</v>
      </c>
      <c r="G217" s="0" t="n">
        <v>30.75</v>
      </c>
      <c r="H217" s="0" t="n">
        <v>101.66</v>
      </c>
      <c r="I217" s="0" t="n">
        <v>25.67</v>
      </c>
      <c r="J217" s="0" t="n">
        <v>84.89</v>
      </c>
      <c r="K217" s="0" t="n">
        <v>82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101</v>
      </c>
      <c r="X217" s="0" t="n">
        <v>15</v>
      </c>
      <c r="Y217" s="0" t="n">
        <v>6</v>
      </c>
      <c r="Z217" s="0" t="inlineStr">
        <is>
          <t>https://new.land.naver.com/complexes/11630?tab=detail&amp;rf=Y</t>
        </is>
      </c>
      <c r="AA217" s="0" t="inlineStr">
        <is>
          <t>충청북도 청주시 서원구 분평동 252-42</t>
        </is>
      </c>
      <c r="AB217" s="0" t="inlineStr">
        <is>
          <t>충청북도</t>
        </is>
      </c>
      <c r="AC217" s="0" t="inlineStr">
        <is>
          <t>청주시</t>
        </is>
      </c>
      <c r="AD217" s="0" t="inlineStr">
        <is>
          <t>서원구</t>
        </is>
      </c>
      <c r="AE217" s="0" t="inlineStr">
        <is>
          <t>분평동</t>
        </is>
      </c>
      <c r="AG217" s="0" t="inlineStr">
        <is>
          <t>충청북도 청주시 서원구 안뜸로39번길 5-1</t>
        </is>
      </c>
      <c r="AH217" s="0" t="n">
        <v>0</v>
      </c>
      <c r="AI217" s="0" t="n">
        <v>0</v>
      </c>
      <c r="AJ217" s="0" t="n">
        <v>0</v>
      </c>
      <c r="AK217" s="0" t="n">
        <v>0</v>
      </c>
      <c r="AL217" s="0" t="n">
        <v>0</v>
      </c>
    </row>
    <row r="218">
      <c r="A218" s="0" t="inlineStr">
        <is>
          <t>[분평동]</t>
        </is>
      </c>
      <c r="B218" s="0" t="n">
        <v>26496</v>
      </c>
      <c r="C218" s="0" t="n">
        <v>1</v>
      </c>
      <c r="D218" s="0" t="inlineStr">
        <is>
          <t>분평계룡리슈빌</t>
        </is>
      </c>
      <c r="E218" s="0" t="inlineStr">
        <is>
          <t>2008.07.</t>
        </is>
      </c>
      <c r="F218" s="0" t="n">
        <v>173</v>
      </c>
      <c r="G218" s="0" t="n">
        <v>39.94</v>
      </c>
      <c r="H218" s="0" t="n">
        <v>132.05</v>
      </c>
      <c r="I218" s="0" t="n">
        <v>29.88</v>
      </c>
      <c r="J218" s="0" t="n">
        <v>98.78</v>
      </c>
      <c r="K218" s="0" t="n">
        <v>28</v>
      </c>
      <c r="T218" s="0" t="n">
        <v>3</v>
      </c>
      <c r="U218" s="0" t="n">
        <v>2</v>
      </c>
      <c r="V218" s="0" t="inlineStr">
        <is>
          <t>계단식</t>
        </is>
      </c>
      <c r="W218" s="0" t="n">
        <v>132</v>
      </c>
      <c r="X218" s="0" t="n">
        <v>15</v>
      </c>
      <c r="Y218" s="0" t="n">
        <v>12</v>
      </c>
      <c r="Z218" s="0" t="inlineStr">
        <is>
          <t>https://new.land.naver.com/complexes/26496?tab=detail&amp;rf=Y</t>
        </is>
      </c>
      <c r="AA218" s="0" t="inlineStr">
        <is>
          <t>충청북도 청주시 서원구 분평동 274</t>
        </is>
      </c>
      <c r="AB218" s="0" t="inlineStr">
        <is>
          <t>충청북도</t>
        </is>
      </c>
      <c r="AC218" s="0" t="inlineStr">
        <is>
          <t>청주시</t>
        </is>
      </c>
      <c r="AD218" s="0" t="inlineStr">
        <is>
          <t>서원구</t>
        </is>
      </c>
      <c r="AE218" s="0" t="inlineStr">
        <is>
          <t>분평동</t>
        </is>
      </c>
      <c r="AG218" s="0" t="inlineStr">
        <is>
          <t>충청북도 청주시 서원구 매봉로 26-1</t>
        </is>
      </c>
      <c r="AH218" s="0" t="n">
        <v>0</v>
      </c>
      <c r="AI218" s="0" t="n">
        <v>209</v>
      </c>
      <c r="AJ218" s="0" t="n">
        <v>19</v>
      </c>
      <c r="AK218" s="0" t="n">
        <v>338</v>
      </c>
      <c r="AL218" s="0" t="n">
        <v>1.95</v>
      </c>
    </row>
    <row r="219">
      <c r="A219" s="0" t="inlineStr">
        <is>
          <t>[분평동]</t>
        </is>
      </c>
      <c r="B219" s="0" t="n">
        <v>26496</v>
      </c>
      <c r="C219" s="0" t="n">
        <v>2</v>
      </c>
      <c r="D219" s="0" t="inlineStr">
        <is>
          <t>분평계룡리슈빌</t>
        </is>
      </c>
      <c r="E219" s="0" t="inlineStr">
        <is>
          <t>2008.07.</t>
        </is>
      </c>
      <c r="F219" s="0" t="n">
        <v>173</v>
      </c>
      <c r="G219" s="0" t="n">
        <v>49.76</v>
      </c>
      <c r="H219" s="0" t="n">
        <v>164.5</v>
      </c>
      <c r="I219" s="0" t="n">
        <v>40.75</v>
      </c>
      <c r="J219" s="0" t="n">
        <v>134.72</v>
      </c>
      <c r="K219" s="0" t="n">
        <v>86</v>
      </c>
      <c r="T219" s="0" t="n">
        <v>4</v>
      </c>
      <c r="U219" s="0" t="n">
        <v>2</v>
      </c>
      <c r="V219" s="0" t="inlineStr">
        <is>
          <t>계단식</t>
        </is>
      </c>
      <c r="W219" s="0" t="n">
        <v>164</v>
      </c>
      <c r="X219" s="0" t="n">
        <v>15</v>
      </c>
      <c r="Y219" s="0" t="n">
        <v>12</v>
      </c>
      <c r="Z219" s="0" t="inlineStr">
        <is>
          <t>https://new.land.naver.com/complexes/26496?tab=detail&amp;rf=Y</t>
        </is>
      </c>
      <c r="AA219" s="0" t="inlineStr">
        <is>
          <t>충청북도 청주시 서원구 분평동 274</t>
        </is>
      </c>
      <c r="AB219" s="0" t="inlineStr">
        <is>
          <t>충청북도</t>
        </is>
      </c>
      <c r="AC219" s="0" t="inlineStr">
        <is>
          <t>청주시</t>
        </is>
      </c>
      <c r="AD219" s="0" t="inlineStr">
        <is>
          <t>서원구</t>
        </is>
      </c>
      <c r="AE219" s="0" t="inlineStr">
        <is>
          <t>분평동</t>
        </is>
      </c>
      <c r="AG219" s="0" t="inlineStr">
        <is>
          <t>충청북도 청주시 서원구 매봉로 26-1</t>
        </is>
      </c>
      <c r="AH219" s="0" t="n">
        <v>0</v>
      </c>
      <c r="AI219" s="0" t="n">
        <v>209</v>
      </c>
      <c r="AJ219" s="0" t="n">
        <v>19</v>
      </c>
      <c r="AK219" s="0" t="n">
        <v>338</v>
      </c>
      <c r="AL219" s="0" t="n">
        <v>1.95</v>
      </c>
    </row>
    <row r="220">
      <c r="A220" s="0" t="inlineStr">
        <is>
          <t>[분평동]</t>
        </is>
      </c>
      <c r="B220" s="0" t="n">
        <v>26496</v>
      </c>
      <c r="C220" s="0" t="n">
        <v>3</v>
      </c>
      <c r="D220" s="0" t="inlineStr">
        <is>
          <t>분평계룡리슈빌</t>
        </is>
      </c>
      <c r="E220" s="0" t="inlineStr">
        <is>
          <t>2008.07.</t>
        </is>
      </c>
      <c r="F220" s="0" t="n">
        <v>173</v>
      </c>
      <c r="G220" s="0" t="n">
        <v>59.72</v>
      </c>
      <c r="H220" s="0" t="n">
        <v>197.44</v>
      </c>
      <c r="I220" s="0" t="n">
        <v>50.44</v>
      </c>
      <c r="J220" s="0" t="n">
        <v>166.76</v>
      </c>
      <c r="K220" s="0" t="n">
        <v>59</v>
      </c>
      <c r="T220" s="0" t="n">
        <v>4</v>
      </c>
      <c r="U220" s="0" t="n">
        <v>2</v>
      </c>
      <c r="V220" s="0" t="inlineStr">
        <is>
          <t>계단식</t>
        </is>
      </c>
      <c r="W220" s="0" t="n">
        <v>197</v>
      </c>
      <c r="X220" s="0" t="n">
        <v>15</v>
      </c>
      <c r="Y220" s="0" t="n">
        <v>12</v>
      </c>
      <c r="Z220" s="0" t="inlineStr">
        <is>
          <t>https://new.land.naver.com/complexes/26496?tab=detail&amp;rf=Y</t>
        </is>
      </c>
      <c r="AA220" s="0" t="inlineStr">
        <is>
          <t>충청북도 청주시 서원구 분평동 274</t>
        </is>
      </c>
      <c r="AB220" s="0" t="inlineStr">
        <is>
          <t>충청북도</t>
        </is>
      </c>
      <c r="AC220" s="0" t="inlineStr">
        <is>
          <t>청주시</t>
        </is>
      </c>
      <c r="AD220" s="0" t="inlineStr">
        <is>
          <t>서원구</t>
        </is>
      </c>
      <c r="AE220" s="0" t="inlineStr">
        <is>
          <t>분평동</t>
        </is>
      </c>
      <c r="AG220" s="0" t="inlineStr">
        <is>
          <t>충청북도 청주시 서원구 매봉로 26-1</t>
        </is>
      </c>
      <c r="AH220" s="0" t="n">
        <v>0</v>
      </c>
      <c r="AI220" s="0" t="n">
        <v>209</v>
      </c>
      <c r="AJ220" s="0" t="n">
        <v>19</v>
      </c>
      <c r="AK220" s="0" t="n">
        <v>338</v>
      </c>
      <c r="AL220" s="0" t="n">
        <v>1.95</v>
      </c>
    </row>
    <row r="221">
      <c r="A221" s="0" t="inlineStr">
        <is>
          <t>[분평동]</t>
        </is>
      </c>
      <c r="B221" s="0" t="n">
        <v>7510</v>
      </c>
      <c r="C221" s="0" t="n">
        <v>1</v>
      </c>
      <c r="D221" s="0" t="inlineStr">
        <is>
          <t>주공7단지</t>
        </is>
      </c>
      <c r="E221" s="0" t="inlineStr">
        <is>
          <t>1997.12.</t>
        </is>
      </c>
      <c r="F221" s="0" t="n">
        <v>930</v>
      </c>
      <c r="G221" s="0" t="n">
        <v>31.41</v>
      </c>
      <c r="H221" s="0" t="n">
        <v>103.84</v>
      </c>
      <c r="I221" s="0" t="n">
        <v>25.67</v>
      </c>
      <c r="J221" s="0" t="n">
        <v>84.87</v>
      </c>
      <c r="K221" s="0" t="n">
        <v>15</v>
      </c>
      <c r="T221" s="0" t="n">
        <v>3</v>
      </c>
      <c r="U221" s="0" t="n">
        <v>2</v>
      </c>
      <c r="V221" s="0" t="inlineStr">
        <is>
          <t>계단식</t>
        </is>
      </c>
      <c r="W221" s="0" t="n">
        <v>103</v>
      </c>
      <c r="X221" s="0" t="n">
        <v>15</v>
      </c>
      <c r="Y221" s="0" t="n">
        <v>15</v>
      </c>
      <c r="Z221" s="0" t="inlineStr">
        <is>
          <t>https://new.land.naver.com/complexes/7510?tab=detail&amp;rf=Y</t>
        </is>
      </c>
      <c r="AA221" s="0" t="inlineStr">
        <is>
          <t>충청북도 청주시 서원구 분평동 1386</t>
        </is>
      </c>
      <c r="AB221" s="0" t="inlineStr">
        <is>
          <t>충청북도</t>
        </is>
      </c>
      <c r="AC221" s="0" t="inlineStr">
        <is>
          <t>청주시</t>
        </is>
      </c>
      <c r="AD221" s="0" t="inlineStr">
        <is>
          <t>서원구</t>
        </is>
      </c>
      <c r="AE221" s="0" t="inlineStr">
        <is>
          <t>분평동</t>
        </is>
      </c>
      <c r="AG221" s="0" t="inlineStr">
        <is>
          <t>충청북도 청주시 서원구 분평로 18</t>
        </is>
      </c>
      <c r="AH221" s="0" t="n">
        <v>0</v>
      </c>
      <c r="AI221" s="0" t="n">
        <v>0</v>
      </c>
      <c r="AJ221" s="0" t="n">
        <v>0</v>
      </c>
      <c r="AK221" s="0" t="n">
        <v>0</v>
      </c>
      <c r="AL221" s="0" t="n">
        <v>0</v>
      </c>
    </row>
    <row r="222">
      <c r="A222" s="0" t="inlineStr">
        <is>
          <t>[분평동]</t>
        </is>
      </c>
      <c r="B222" s="0" t="n">
        <v>7510</v>
      </c>
      <c r="C222" s="0" t="n">
        <v>2</v>
      </c>
      <c r="D222" s="0" t="inlineStr">
        <is>
          <t>주공7단지</t>
        </is>
      </c>
      <c r="E222" s="0" t="inlineStr">
        <is>
          <t>1997.12.</t>
        </is>
      </c>
      <c r="F222" s="0" t="n">
        <v>930</v>
      </c>
      <c r="G222" s="0" t="n">
        <v>31.53</v>
      </c>
      <c r="H222" s="0" t="n">
        <v>104.24</v>
      </c>
      <c r="I222" s="0" t="n">
        <v>25.68</v>
      </c>
      <c r="J222" s="0" t="n">
        <v>84.90000000000001</v>
      </c>
      <c r="K222" s="0" t="n">
        <v>915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104</v>
      </c>
      <c r="X222" s="0" t="n">
        <v>15</v>
      </c>
      <c r="Y222" s="0" t="n">
        <v>15</v>
      </c>
      <c r="Z222" s="0" t="inlineStr">
        <is>
          <t>https://new.land.naver.com/complexes/7510?tab=detail&amp;rf=Y</t>
        </is>
      </c>
      <c r="AA222" s="0" t="inlineStr">
        <is>
          <t>충청북도 청주시 서원구 분평동 1386</t>
        </is>
      </c>
      <c r="AB222" s="0" t="inlineStr">
        <is>
          <t>충청북도</t>
        </is>
      </c>
      <c r="AC222" s="0" t="inlineStr">
        <is>
          <t>청주시</t>
        </is>
      </c>
      <c r="AD222" s="0" t="inlineStr">
        <is>
          <t>서원구</t>
        </is>
      </c>
      <c r="AE222" s="0" t="inlineStr">
        <is>
          <t>분평동</t>
        </is>
      </c>
      <c r="AG222" s="0" t="inlineStr">
        <is>
          <t>충청북도 청주시 서원구 분평로 18</t>
        </is>
      </c>
      <c r="AH222" s="0" t="n">
        <v>0</v>
      </c>
      <c r="AI222" s="0" t="n">
        <v>0</v>
      </c>
      <c r="AJ222" s="0" t="n">
        <v>0</v>
      </c>
      <c r="AK222" s="0" t="n">
        <v>0</v>
      </c>
      <c r="AL222" s="0" t="n">
        <v>0</v>
      </c>
    </row>
    <row r="223">
      <c r="A223" s="0" t="inlineStr">
        <is>
          <t>[사직동]</t>
        </is>
      </c>
      <c r="B223" s="0" t="n">
        <v>15466</v>
      </c>
      <c r="C223" s="0" t="n">
        <v>1</v>
      </c>
      <c r="D223" s="0" t="inlineStr">
        <is>
          <t>평화</t>
        </is>
      </c>
      <c r="E223" s="0" t="inlineStr">
        <is>
          <t>1985.11.</t>
        </is>
      </c>
      <c r="F223" s="0" t="n">
        <v>130</v>
      </c>
      <c r="G223" s="0" t="n">
        <v>26.78</v>
      </c>
      <c r="H223" s="0" t="n">
        <v>88.54000000000001</v>
      </c>
      <c r="I223" s="0" t="n">
        <v>23.88</v>
      </c>
      <c r="J223" s="0" t="n">
        <v>78.95999999999999</v>
      </c>
      <c r="K223" s="0" t="n">
        <v>70</v>
      </c>
      <c r="T223" s="0" t="n">
        <v>3</v>
      </c>
      <c r="U223" s="0" t="n">
        <v>1</v>
      </c>
      <c r="V223" s="0" t="inlineStr">
        <is>
          <t>계단식</t>
        </is>
      </c>
      <c r="W223" s="0" t="n">
        <v>88</v>
      </c>
      <c r="X223" s="0" t="n">
        <v>5</v>
      </c>
      <c r="Y223" s="0" t="n">
        <v>5</v>
      </c>
      <c r="Z223" s="0" t="inlineStr">
        <is>
          <t>https://new.land.naver.com/complexes/15466?tab=detail&amp;rf=Y</t>
        </is>
      </c>
      <c r="AA223" s="0" t="inlineStr">
        <is>
          <t>충청북도 청주시 서원구 사직동 238-45</t>
        </is>
      </c>
      <c r="AB223" s="0" t="inlineStr">
        <is>
          <t>충청북도</t>
        </is>
      </c>
      <c r="AC223" s="0" t="inlineStr">
        <is>
          <t>청주시</t>
        </is>
      </c>
      <c r="AD223" s="0" t="inlineStr">
        <is>
          <t>서원구</t>
        </is>
      </c>
      <c r="AE223" s="0" t="inlineStr">
        <is>
          <t>사직동</t>
        </is>
      </c>
      <c r="AG223" s="0" t="inlineStr">
        <is>
          <t>충청북도 청주시 서원구 직지대로772번길 14</t>
        </is>
      </c>
      <c r="AH223" s="0" t="n">
        <v>0</v>
      </c>
      <c r="AI223" s="0" t="n">
        <v>0</v>
      </c>
      <c r="AJ223" s="0" t="n">
        <v>0</v>
      </c>
      <c r="AK223" s="0" t="n">
        <v>0</v>
      </c>
      <c r="AL223" s="0" t="n">
        <v>0</v>
      </c>
    </row>
    <row r="224">
      <c r="A224" s="0" t="inlineStr">
        <is>
          <t>[사직동]</t>
        </is>
      </c>
      <c r="B224" s="0" t="n">
        <v>15466</v>
      </c>
      <c r="C224" s="0" t="n">
        <v>2</v>
      </c>
      <c r="D224" s="0" t="inlineStr">
        <is>
          <t>평화</t>
        </is>
      </c>
      <c r="E224" s="0" t="inlineStr">
        <is>
          <t>1985.11.</t>
        </is>
      </c>
      <c r="F224" s="0" t="n">
        <v>130</v>
      </c>
      <c r="G224" s="0" t="n">
        <v>28.68</v>
      </c>
      <c r="H224" s="0" t="n">
        <v>94.81999999999999</v>
      </c>
      <c r="I224" s="0" t="n">
        <v>25.68</v>
      </c>
      <c r="J224" s="0" t="n">
        <v>84.90000000000001</v>
      </c>
      <c r="K224" s="0" t="n">
        <v>60</v>
      </c>
      <c r="T224" s="0" t="n">
        <v>3</v>
      </c>
      <c r="U224" s="0" t="n">
        <v>1</v>
      </c>
      <c r="V224" s="0" t="inlineStr">
        <is>
          <t>계단식</t>
        </is>
      </c>
      <c r="W224" s="0" t="n">
        <v>94</v>
      </c>
      <c r="X224" s="0" t="n">
        <v>5</v>
      </c>
      <c r="Y224" s="0" t="n">
        <v>5</v>
      </c>
      <c r="Z224" s="0" t="inlineStr">
        <is>
          <t>https://new.land.naver.com/complexes/15466?tab=detail&amp;rf=Y</t>
        </is>
      </c>
      <c r="AA224" s="0" t="inlineStr">
        <is>
          <t>충청북도 청주시 서원구 사직동 238-45</t>
        </is>
      </c>
      <c r="AB224" s="0" t="inlineStr">
        <is>
          <t>충청북도</t>
        </is>
      </c>
      <c r="AC224" s="0" t="inlineStr">
        <is>
          <t>청주시</t>
        </is>
      </c>
      <c r="AD224" s="0" t="inlineStr">
        <is>
          <t>서원구</t>
        </is>
      </c>
      <c r="AE224" s="0" t="inlineStr">
        <is>
          <t>사직동</t>
        </is>
      </c>
      <c r="AG224" s="0" t="inlineStr">
        <is>
          <t>충청북도 청주시 서원구 직지대로772번길 14</t>
        </is>
      </c>
      <c r="AH224" s="0" t="n">
        <v>0</v>
      </c>
      <c r="AI224" s="0" t="n">
        <v>0</v>
      </c>
      <c r="AJ224" s="0" t="n">
        <v>0</v>
      </c>
      <c r="AK224" s="0" t="n">
        <v>0</v>
      </c>
      <c r="AL224" s="0" t="n">
        <v>0</v>
      </c>
    </row>
    <row r="225">
      <c r="A225" s="0" t="inlineStr">
        <is>
          <t>[사직동]</t>
        </is>
      </c>
      <c r="B225" s="0" t="n">
        <v>106825</v>
      </c>
      <c r="C225" s="0" t="n">
        <v>1</v>
      </c>
      <c r="D225" s="0" t="inlineStr">
        <is>
          <t>푸르지오캐슬5단지</t>
        </is>
      </c>
      <c r="E225" s="0" t="inlineStr">
        <is>
          <t>2010.11.</t>
        </is>
      </c>
      <c r="F225" s="0" t="n">
        <v>548</v>
      </c>
      <c r="G225" s="0" t="n">
        <v>28.68</v>
      </c>
      <c r="H225" s="0" t="n">
        <v>94.84</v>
      </c>
      <c r="I225" s="0" t="n">
        <v>21.86</v>
      </c>
      <c r="J225" s="0" t="n">
        <v>72.28</v>
      </c>
      <c r="K225" s="0" t="n">
        <v>196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94</v>
      </c>
      <c r="X225" s="0" t="n">
        <v>25</v>
      </c>
      <c r="Y225" s="0" t="n">
        <v>18</v>
      </c>
      <c r="Z225" s="0" t="inlineStr">
        <is>
          <t>https://new.land.naver.com/complexes/106825?tab=detail&amp;rf=Y</t>
        </is>
      </c>
      <c r="AA225" s="0" t="inlineStr">
        <is>
          <t>충청북도 청주시 서원구 사직동 934</t>
        </is>
      </c>
      <c r="AB225" s="0" t="inlineStr">
        <is>
          <t>충청북도</t>
        </is>
      </c>
      <c r="AC225" s="0" t="inlineStr">
        <is>
          <t>청주시</t>
        </is>
      </c>
      <c r="AD225" s="0" t="inlineStr">
        <is>
          <t>서원구</t>
        </is>
      </c>
      <c r="AE225" s="0" t="inlineStr">
        <is>
          <t>사직동</t>
        </is>
      </c>
      <c r="AG225" s="0" t="inlineStr">
        <is>
          <t>충청북도 청주시 서원구 예체로 30</t>
        </is>
      </c>
      <c r="AH225" s="0" t="n">
        <v>0</v>
      </c>
      <c r="AI225" s="0" t="n">
        <v>245</v>
      </c>
      <c r="AJ225" s="0" t="n">
        <v>14</v>
      </c>
      <c r="AK225" s="0" t="n">
        <v>844</v>
      </c>
      <c r="AL225" s="0" t="n">
        <v>1.54</v>
      </c>
    </row>
    <row r="226">
      <c r="A226" s="0" t="inlineStr">
        <is>
          <t>[사직동]</t>
        </is>
      </c>
      <c r="B226" s="0" t="n">
        <v>106825</v>
      </c>
      <c r="C226" s="0" t="n">
        <v>2</v>
      </c>
      <c r="D226" s="0" t="inlineStr">
        <is>
          <t>푸르지오캐슬5단지</t>
        </is>
      </c>
      <c r="E226" s="0" t="inlineStr">
        <is>
          <t>2010.11.</t>
        </is>
      </c>
      <c r="F226" s="0" t="n">
        <v>548</v>
      </c>
      <c r="G226" s="0" t="n">
        <v>40.19</v>
      </c>
      <c r="H226" s="0" t="n">
        <v>132.88</v>
      </c>
      <c r="I226" s="0" t="n">
        <v>31.47</v>
      </c>
      <c r="J226" s="0" t="n">
        <v>104.04</v>
      </c>
      <c r="K226" s="0" t="n">
        <v>246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132</v>
      </c>
      <c r="X226" s="0" t="n">
        <v>25</v>
      </c>
      <c r="Y226" s="0" t="n">
        <v>18</v>
      </c>
      <c r="Z226" s="0" t="inlineStr">
        <is>
          <t>https://new.land.naver.com/complexes/106825?tab=detail&amp;rf=Y</t>
        </is>
      </c>
      <c r="AA226" s="0" t="inlineStr">
        <is>
          <t>충청북도 청주시 서원구 사직동 934</t>
        </is>
      </c>
      <c r="AB226" s="0" t="inlineStr">
        <is>
          <t>충청북도</t>
        </is>
      </c>
      <c r="AC226" s="0" t="inlineStr">
        <is>
          <t>청주시</t>
        </is>
      </c>
      <c r="AD226" s="0" t="inlineStr">
        <is>
          <t>서원구</t>
        </is>
      </c>
      <c r="AE226" s="0" t="inlineStr">
        <is>
          <t>사직동</t>
        </is>
      </c>
      <c r="AG226" s="0" t="inlineStr">
        <is>
          <t>충청북도 청주시 서원구 예체로 30</t>
        </is>
      </c>
      <c r="AH226" s="0" t="n">
        <v>0</v>
      </c>
      <c r="AI226" s="0" t="n">
        <v>245</v>
      </c>
      <c r="AJ226" s="0" t="n">
        <v>14</v>
      </c>
      <c r="AK226" s="0" t="n">
        <v>844</v>
      </c>
      <c r="AL226" s="0" t="n">
        <v>1.54</v>
      </c>
    </row>
    <row r="227">
      <c r="A227" s="0" t="inlineStr">
        <is>
          <t>[사직동]</t>
        </is>
      </c>
      <c r="B227" s="0" t="n">
        <v>106825</v>
      </c>
      <c r="C227" s="0" t="n">
        <v>3</v>
      </c>
      <c r="D227" s="0" t="inlineStr">
        <is>
          <t>푸르지오캐슬5단지</t>
        </is>
      </c>
      <c r="E227" s="0" t="inlineStr">
        <is>
          <t>2010.11.</t>
        </is>
      </c>
      <c r="F227" s="0" t="n">
        <v>548</v>
      </c>
      <c r="G227" s="0" t="n">
        <v>47.28</v>
      </c>
      <c r="H227" s="0" t="n">
        <v>156.33</v>
      </c>
      <c r="I227" s="0" t="n">
        <v>37.34</v>
      </c>
      <c r="J227" s="0" t="n">
        <v>123.44</v>
      </c>
      <c r="K227" s="0" t="n">
        <v>106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156</v>
      </c>
      <c r="X227" s="0" t="n">
        <v>25</v>
      </c>
      <c r="Y227" s="0" t="n">
        <v>18</v>
      </c>
      <c r="Z227" s="0" t="inlineStr">
        <is>
          <t>https://new.land.naver.com/complexes/106825?tab=detail&amp;rf=Y</t>
        </is>
      </c>
      <c r="AA227" s="0" t="inlineStr">
        <is>
          <t>충청북도 청주시 서원구 사직동 934</t>
        </is>
      </c>
      <c r="AB227" s="0" t="inlineStr">
        <is>
          <t>충청북도</t>
        </is>
      </c>
      <c r="AC227" s="0" t="inlineStr">
        <is>
          <t>청주시</t>
        </is>
      </c>
      <c r="AD227" s="0" t="inlineStr">
        <is>
          <t>서원구</t>
        </is>
      </c>
      <c r="AE227" s="0" t="inlineStr">
        <is>
          <t>사직동</t>
        </is>
      </c>
      <c r="AG227" s="0" t="inlineStr">
        <is>
          <t>충청북도 청주시 서원구 예체로 30</t>
        </is>
      </c>
      <c r="AH227" s="0" t="n">
        <v>0</v>
      </c>
      <c r="AI227" s="0" t="n">
        <v>245</v>
      </c>
      <c r="AJ227" s="0" t="n">
        <v>14</v>
      </c>
      <c r="AK227" s="0" t="n">
        <v>844</v>
      </c>
      <c r="AL227" s="0" t="n">
        <v>1.54</v>
      </c>
    </row>
    <row r="228">
      <c r="A228" s="0" t="inlineStr">
        <is>
          <t>[사직동]</t>
        </is>
      </c>
      <c r="B228" s="0" t="n">
        <v>106824</v>
      </c>
      <c r="C228" s="0" t="n">
        <v>1</v>
      </c>
      <c r="D228" s="0" t="inlineStr">
        <is>
          <t>푸르지오캐슬4단지</t>
        </is>
      </c>
      <c r="E228" s="0" t="inlineStr">
        <is>
          <t>2010.11.</t>
        </is>
      </c>
      <c r="F228" s="0" t="n">
        <v>1219</v>
      </c>
      <c r="G228" s="0" t="n">
        <v>33.4</v>
      </c>
      <c r="H228" s="0" t="n">
        <v>110.43</v>
      </c>
      <c r="I228" s="0" t="n">
        <v>25.53</v>
      </c>
      <c r="J228" s="0" t="n">
        <v>84.40000000000001</v>
      </c>
      <c r="K228" s="0" t="n">
        <v>807</v>
      </c>
      <c r="T228" s="0" t="n">
        <v>3</v>
      </c>
      <c r="U228" s="0" t="n">
        <v>2</v>
      </c>
      <c r="V228" s="0" t="inlineStr">
        <is>
          <t>계단식</t>
        </is>
      </c>
      <c r="W228" s="0" t="n">
        <v>110</v>
      </c>
      <c r="X228" s="0" t="n">
        <v>25</v>
      </c>
      <c r="Y228" s="0" t="n">
        <v>15</v>
      </c>
      <c r="Z228" s="0" t="inlineStr">
        <is>
          <t>https://new.land.naver.com/complexes/106824?tab=detail&amp;rf=Y</t>
        </is>
      </c>
      <c r="AA228" s="0" t="inlineStr">
        <is>
          <t>충청북도 청주시 서원구 사직동 937</t>
        </is>
      </c>
      <c r="AB228" s="0" t="inlineStr">
        <is>
          <t>충청북도</t>
        </is>
      </c>
      <c r="AC228" s="0" t="inlineStr">
        <is>
          <t>청주시</t>
        </is>
      </c>
      <c r="AD228" s="0" t="inlineStr">
        <is>
          <t>서원구</t>
        </is>
      </c>
      <c r="AE228" s="0" t="inlineStr">
        <is>
          <t>사직동</t>
        </is>
      </c>
      <c r="AG228" s="0" t="inlineStr">
        <is>
          <t>충청북도 청주시 서원구 창직로 50</t>
        </is>
      </c>
      <c r="AH228" s="0" t="n">
        <v>0</v>
      </c>
      <c r="AI228" s="0" t="n">
        <v>254</v>
      </c>
      <c r="AJ228" s="0" t="n">
        <v>16</v>
      </c>
      <c r="AK228" s="0" t="n">
        <v>1900</v>
      </c>
      <c r="AL228" s="0" t="n">
        <v>1.56</v>
      </c>
    </row>
    <row r="229">
      <c r="A229" s="0" t="inlineStr">
        <is>
          <t>[사직동]</t>
        </is>
      </c>
      <c r="B229" s="0" t="n">
        <v>106824</v>
      </c>
      <c r="C229" s="0" t="n">
        <v>2</v>
      </c>
      <c r="D229" s="0" t="inlineStr">
        <is>
          <t>푸르지오캐슬4단지</t>
        </is>
      </c>
      <c r="E229" s="0" t="inlineStr">
        <is>
          <t>2010.11.</t>
        </is>
      </c>
      <c r="F229" s="0" t="n">
        <v>1219</v>
      </c>
      <c r="G229" s="0" t="n">
        <v>40.15</v>
      </c>
      <c r="H229" s="0" t="n">
        <v>132.74</v>
      </c>
      <c r="I229" s="0" t="n">
        <v>31.47</v>
      </c>
      <c r="J229" s="0" t="n">
        <v>104.04</v>
      </c>
      <c r="K229" s="0" t="n">
        <v>304</v>
      </c>
      <c r="T229" s="0" t="n">
        <v>3</v>
      </c>
      <c r="U229" s="0" t="n">
        <v>2</v>
      </c>
      <c r="V229" s="0" t="inlineStr">
        <is>
          <t>계단식</t>
        </is>
      </c>
      <c r="W229" s="0" t="n">
        <v>132</v>
      </c>
      <c r="X229" s="0" t="n">
        <v>25</v>
      </c>
      <c r="Y229" s="0" t="n">
        <v>15</v>
      </c>
      <c r="Z229" s="0" t="inlineStr">
        <is>
          <t>https://new.land.naver.com/complexes/106824?tab=detail&amp;rf=Y</t>
        </is>
      </c>
      <c r="AA229" s="0" t="inlineStr">
        <is>
          <t>충청북도 청주시 서원구 사직동 937</t>
        </is>
      </c>
      <c r="AB229" s="0" t="inlineStr">
        <is>
          <t>충청북도</t>
        </is>
      </c>
      <c r="AC229" s="0" t="inlineStr">
        <is>
          <t>청주시</t>
        </is>
      </c>
      <c r="AD229" s="0" t="inlineStr">
        <is>
          <t>서원구</t>
        </is>
      </c>
      <c r="AE229" s="0" t="inlineStr">
        <is>
          <t>사직동</t>
        </is>
      </c>
      <c r="AG229" s="0" t="inlineStr">
        <is>
          <t>충청북도 청주시 서원구 창직로 50</t>
        </is>
      </c>
      <c r="AH229" s="0" t="n">
        <v>0</v>
      </c>
      <c r="AI229" s="0" t="n">
        <v>254</v>
      </c>
      <c r="AJ229" s="0" t="n">
        <v>16</v>
      </c>
      <c r="AK229" s="0" t="n">
        <v>1900</v>
      </c>
      <c r="AL229" s="0" t="n">
        <v>1.56</v>
      </c>
    </row>
    <row r="230">
      <c r="A230" s="0" t="inlineStr">
        <is>
          <t>[사직동]</t>
        </is>
      </c>
      <c r="B230" s="0" t="n">
        <v>106824</v>
      </c>
      <c r="C230" s="0" t="n">
        <v>3</v>
      </c>
      <c r="D230" s="0" t="inlineStr">
        <is>
          <t>푸르지오캐슬4단지</t>
        </is>
      </c>
      <c r="E230" s="0" t="inlineStr">
        <is>
          <t>2010.11.</t>
        </is>
      </c>
      <c r="F230" s="0" t="n">
        <v>1219</v>
      </c>
      <c r="G230" s="0" t="n">
        <v>47.07</v>
      </c>
      <c r="H230" s="0" t="n">
        <v>155.63</v>
      </c>
      <c r="I230" s="0" t="n">
        <v>37.34</v>
      </c>
      <c r="J230" s="0" t="n">
        <v>123.44</v>
      </c>
      <c r="K230" s="0" t="n">
        <v>60</v>
      </c>
      <c r="T230" s="0" t="n">
        <v>4</v>
      </c>
      <c r="U230" s="0" t="n">
        <v>2</v>
      </c>
      <c r="V230" s="0" t="inlineStr">
        <is>
          <t>계단식</t>
        </is>
      </c>
      <c r="W230" s="0" t="n">
        <v>155</v>
      </c>
      <c r="X230" s="0" t="n">
        <v>25</v>
      </c>
      <c r="Y230" s="0" t="n">
        <v>15</v>
      </c>
      <c r="Z230" s="0" t="inlineStr">
        <is>
          <t>https://new.land.naver.com/complexes/106824?tab=detail&amp;rf=Y</t>
        </is>
      </c>
      <c r="AA230" s="0" t="inlineStr">
        <is>
          <t>충청북도 청주시 서원구 사직동 937</t>
        </is>
      </c>
      <c r="AB230" s="0" t="inlineStr">
        <is>
          <t>충청북도</t>
        </is>
      </c>
      <c r="AC230" s="0" t="inlineStr">
        <is>
          <t>청주시</t>
        </is>
      </c>
      <c r="AD230" s="0" t="inlineStr">
        <is>
          <t>서원구</t>
        </is>
      </c>
      <c r="AE230" s="0" t="inlineStr">
        <is>
          <t>사직동</t>
        </is>
      </c>
      <c r="AG230" s="0" t="inlineStr">
        <is>
          <t>충청북도 청주시 서원구 창직로 50</t>
        </is>
      </c>
      <c r="AH230" s="0" t="n">
        <v>0</v>
      </c>
      <c r="AI230" s="0" t="n">
        <v>254</v>
      </c>
      <c r="AJ230" s="0" t="n">
        <v>16</v>
      </c>
      <c r="AK230" s="0" t="n">
        <v>1900</v>
      </c>
      <c r="AL230" s="0" t="n">
        <v>1.56</v>
      </c>
    </row>
    <row r="231">
      <c r="A231" s="0" t="inlineStr">
        <is>
          <t>[사직동]</t>
        </is>
      </c>
      <c r="B231" s="0" t="n">
        <v>106824</v>
      </c>
      <c r="C231" s="0" t="n">
        <v>4</v>
      </c>
      <c r="D231" s="0" t="inlineStr">
        <is>
          <t>푸르지오캐슬4단지</t>
        </is>
      </c>
      <c r="E231" s="0" t="inlineStr">
        <is>
          <t>2010.11.</t>
        </is>
      </c>
      <c r="F231" s="0" t="n">
        <v>1219</v>
      </c>
      <c r="G231" s="0" t="n">
        <v>52.39</v>
      </c>
      <c r="H231" s="0" t="n">
        <v>173.2</v>
      </c>
      <c r="I231" s="0" t="n">
        <v>42.33</v>
      </c>
      <c r="J231" s="0" t="n">
        <v>139.96</v>
      </c>
      <c r="K231" s="0" t="n">
        <v>48</v>
      </c>
      <c r="T231" s="0" t="n">
        <v>4</v>
      </c>
      <c r="U231" s="0" t="n">
        <v>2</v>
      </c>
      <c r="V231" s="0" t="inlineStr">
        <is>
          <t>계단식</t>
        </is>
      </c>
      <c r="W231" s="0" t="n">
        <v>173</v>
      </c>
      <c r="X231" s="0" t="n">
        <v>25</v>
      </c>
      <c r="Y231" s="0" t="n">
        <v>15</v>
      </c>
      <c r="Z231" s="0" t="inlineStr">
        <is>
          <t>https://new.land.naver.com/complexes/106824?tab=detail&amp;rf=Y</t>
        </is>
      </c>
      <c r="AA231" s="0" t="inlineStr">
        <is>
          <t>충청북도 청주시 서원구 사직동 937</t>
        </is>
      </c>
      <c r="AB231" s="0" t="inlineStr">
        <is>
          <t>충청북도</t>
        </is>
      </c>
      <c r="AC231" s="0" t="inlineStr">
        <is>
          <t>청주시</t>
        </is>
      </c>
      <c r="AD231" s="0" t="inlineStr">
        <is>
          <t>서원구</t>
        </is>
      </c>
      <c r="AE231" s="0" t="inlineStr">
        <is>
          <t>사직동</t>
        </is>
      </c>
      <c r="AG231" s="0" t="inlineStr">
        <is>
          <t>충청북도 청주시 서원구 창직로 50</t>
        </is>
      </c>
      <c r="AH231" s="0" t="n">
        <v>0</v>
      </c>
      <c r="AI231" s="0" t="n">
        <v>254</v>
      </c>
      <c r="AJ231" s="0" t="n">
        <v>16</v>
      </c>
      <c r="AK231" s="0" t="n">
        <v>1900</v>
      </c>
      <c r="AL231" s="0" t="n">
        <v>1.56</v>
      </c>
    </row>
    <row r="232">
      <c r="A232" s="0" t="inlineStr">
        <is>
          <t>[사직동]</t>
        </is>
      </c>
      <c r="B232" s="0" t="n">
        <v>100985</v>
      </c>
      <c r="C232" s="0" t="n">
        <v>1</v>
      </c>
      <c r="D232" s="0" t="inlineStr">
        <is>
          <t>쌍용</t>
        </is>
      </c>
      <c r="E232" s="0" t="inlineStr">
        <is>
          <t>1989.12.</t>
        </is>
      </c>
      <c r="F232" s="0" t="n">
        <v>180</v>
      </c>
      <c r="G232" s="0" t="n">
        <v>31.64</v>
      </c>
      <c r="H232" s="0" t="n">
        <v>104.62</v>
      </c>
      <c r="I232" s="0" t="n">
        <v>25.66</v>
      </c>
      <c r="J232" s="0" t="n">
        <v>84.83</v>
      </c>
      <c r="K232" s="0" t="n">
        <v>98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104B</t>
        </is>
      </c>
      <c r="X232" s="0" t="n">
        <v>8</v>
      </c>
      <c r="Y232" s="0" t="n">
        <v>7</v>
      </c>
      <c r="Z232" s="0" t="inlineStr">
        <is>
          <t>https://new.land.naver.com/complexes/100985?tab=detail&amp;rf=Y</t>
        </is>
      </c>
      <c r="AA232" s="0" t="inlineStr">
        <is>
          <t>충청북도 청주시 서원구 사직동 산 147-23</t>
        </is>
      </c>
      <c r="AB232" s="0" t="inlineStr">
        <is>
          <t>충청북도</t>
        </is>
      </c>
      <c r="AC232" s="0" t="inlineStr">
        <is>
          <t>청주시</t>
        </is>
      </c>
      <c r="AD232" s="0" t="inlineStr">
        <is>
          <t>서원구</t>
        </is>
      </c>
      <c r="AE232" s="0" t="inlineStr">
        <is>
          <t>사직동</t>
        </is>
      </c>
      <c r="AG232" s="0" t="inlineStr">
        <is>
          <t>충청북도 청주시 서원구 호국로38번길 23</t>
        </is>
      </c>
      <c r="AH232" s="0" t="n">
        <v>0</v>
      </c>
      <c r="AI232" s="0" t="n">
        <v>0</v>
      </c>
      <c r="AJ232" s="0" t="n">
        <v>0</v>
      </c>
      <c r="AK232" s="0" t="n">
        <v>0</v>
      </c>
      <c r="AL232" s="0" t="n">
        <v>0</v>
      </c>
    </row>
    <row r="233">
      <c r="A233" s="0" t="inlineStr">
        <is>
          <t>[사직동]</t>
        </is>
      </c>
      <c r="B233" s="0" t="n">
        <v>100985</v>
      </c>
      <c r="C233" s="0" t="n">
        <v>2</v>
      </c>
      <c r="D233" s="0" t="inlineStr">
        <is>
          <t>쌍용</t>
        </is>
      </c>
      <c r="E233" s="0" t="inlineStr">
        <is>
          <t>1989.12.</t>
        </is>
      </c>
      <c r="F233" s="0" t="n">
        <v>180</v>
      </c>
      <c r="G233" s="0" t="n">
        <v>31.55</v>
      </c>
      <c r="H233" s="0" t="n">
        <v>104.32</v>
      </c>
      <c r="I233" s="0" t="n">
        <v>25.58</v>
      </c>
      <c r="J233" s="0" t="n">
        <v>84.59</v>
      </c>
      <c r="K233" s="0" t="n">
        <v>80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104A</t>
        </is>
      </c>
      <c r="X233" s="0" t="n">
        <v>8</v>
      </c>
      <c r="Y233" s="0" t="n">
        <v>7</v>
      </c>
      <c r="Z233" s="0" t="inlineStr">
        <is>
          <t>https://new.land.naver.com/complexes/100985?tab=detail&amp;rf=Y</t>
        </is>
      </c>
      <c r="AA233" s="0" t="inlineStr">
        <is>
          <t>충청북도 청주시 서원구 사직동 산 147-23</t>
        </is>
      </c>
      <c r="AB233" s="0" t="inlineStr">
        <is>
          <t>충청북도</t>
        </is>
      </c>
      <c r="AC233" s="0" t="inlineStr">
        <is>
          <t>청주시</t>
        </is>
      </c>
      <c r="AD233" s="0" t="inlineStr">
        <is>
          <t>서원구</t>
        </is>
      </c>
      <c r="AE233" s="0" t="inlineStr">
        <is>
          <t>사직동</t>
        </is>
      </c>
      <c r="AG233" s="0" t="inlineStr">
        <is>
          <t>충청북도 청주시 서원구 호국로38번길 23</t>
        </is>
      </c>
      <c r="AH233" s="0" t="n">
        <v>0</v>
      </c>
      <c r="AI233" s="0" t="n">
        <v>0</v>
      </c>
      <c r="AJ233" s="0" t="n">
        <v>0</v>
      </c>
      <c r="AK233" s="0" t="n">
        <v>0</v>
      </c>
      <c r="AL233" s="0" t="n">
        <v>0</v>
      </c>
    </row>
    <row r="234">
      <c r="A234" s="0" t="inlineStr">
        <is>
          <t>[사직동]</t>
        </is>
      </c>
      <c r="B234" s="0" t="n">
        <v>100985</v>
      </c>
      <c r="C234" s="0" t="n">
        <v>3</v>
      </c>
      <c r="D234" s="0" t="inlineStr">
        <is>
          <t>쌍용</t>
        </is>
      </c>
      <c r="E234" s="0" t="inlineStr">
        <is>
          <t>1989.12.</t>
        </is>
      </c>
      <c r="F234" s="0" t="n">
        <v>180</v>
      </c>
      <c r="G234" s="0" t="n">
        <v>31.64</v>
      </c>
      <c r="H234" s="0" t="n">
        <v>104.62</v>
      </c>
      <c r="I234" s="0" t="n">
        <v>25.66</v>
      </c>
      <c r="J234" s="0" t="n">
        <v>84.84</v>
      </c>
      <c r="K234" s="0" t="n">
        <v>2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104C</t>
        </is>
      </c>
      <c r="X234" s="0" t="n">
        <v>8</v>
      </c>
      <c r="Y234" s="0" t="n">
        <v>7</v>
      </c>
      <c r="Z234" s="0" t="inlineStr">
        <is>
          <t>https://new.land.naver.com/complexes/100985?tab=detail&amp;rf=Y</t>
        </is>
      </c>
      <c r="AA234" s="0" t="inlineStr">
        <is>
          <t>충청북도 청주시 서원구 사직동 산 147-23</t>
        </is>
      </c>
      <c r="AB234" s="0" t="inlineStr">
        <is>
          <t>충청북도</t>
        </is>
      </c>
      <c r="AC234" s="0" t="inlineStr">
        <is>
          <t>청주시</t>
        </is>
      </c>
      <c r="AD234" s="0" t="inlineStr">
        <is>
          <t>서원구</t>
        </is>
      </c>
      <c r="AE234" s="0" t="inlineStr">
        <is>
          <t>사직동</t>
        </is>
      </c>
      <c r="AG234" s="0" t="inlineStr">
        <is>
          <t>충청북도 청주시 서원구 호국로38번길 23</t>
        </is>
      </c>
      <c r="AH234" s="0" t="n">
        <v>0</v>
      </c>
      <c r="AI234" s="0" t="n">
        <v>0</v>
      </c>
      <c r="AJ234" s="0" t="n">
        <v>0</v>
      </c>
      <c r="AK234" s="0" t="n">
        <v>0</v>
      </c>
      <c r="AL234" s="0" t="n">
        <v>0</v>
      </c>
    </row>
    <row r="235">
      <c r="A235" s="0" t="inlineStr">
        <is>
          <t>[사직동]</t>
        </is>
      </c>
      <c r="B235" s="0" t="n">
        <v>120587</v>
      </c>
      <c r="C235" s="0" t="n">
        <v>1</v>
      </c>
      <c r="D235" s="0" t="inlineStr">
        <is>
          <t>벨라맨션</t>
        </is>
      </c>
      <c r="E235" s="0" t="inlineStr">
        <is>
          <t>1982.09.</t>
        </is>
      </c>
      <c r="F235" s="0" t="n">
        <v>54</v>
      </c>
      <c r="G235" s="0" t="n">
        <v>30.2</v>
      </c>
      <c r="H235" s="0" t="n">
        <v>99.86</v>
      </c>
      <c r="I235" s="0" t="n">
        <v>22.54</v>
      </c>
      <c r="J235" s="0" t="n">
        <v>74.52</v>
      </c>
      <c r="K235" s="0" t="n">
        <v>1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99</v>
      </c>
      <c r="X235" s="0" t="n">
        <v>5</v>
      </c>
      <c r="Y235" s="0" t="n">
        <v>4</v>
      </c>
      <c r="Z235" s="0" t="inlineStr">
        <is>
          <t>https://new.land.naver.com/complexes/120587?tab=detail&amp;rf=Y</t>
        </is>
      </c>
      <c r="AA235" s="0" t="inlineStr">
        <is>
          <t>충청북도 청주시 서원구 사직동 6-122</t>
        </is>
      </c>
      <c r="AB235" s="0" t="inlineStr">
        <is>
          <t>충청북도</t>
        </is>
      </c>
      <c r="AC235" s="0" t="inlineStr">
        <is>
          <t>청주시</t>
        </is>
      </c>
      <c r="AD235" s="0" t="inlineStr">
        <is>
          <t>서원구</t>
        </is>
      </c>
      <c r="AE235" s="0" t="inlineStr">
        <is>
          <t>사직동</t>
        </is>
      </c>
      <c r="AG235" s="0" t="inlineStr">
        <is>
          <t>충청북도 청주시 서원구 사운로 36</t>
        </is>
      </c>
      <c r="AH235" s="0" t="n">
        <v>0</v>
      </c>
      <c r="AI235" s="0" t="n">
        <v>0</v>
      </c>
      <c r="AJ235" s="0" t="n">
        <v>0</v>
      </c>
      <c r="AK235" s="0" t="n">
        <v>0</v>
      </c>
      <c r="AL235" s="0" t="n">
        <v>0</v>
      </c>
    </row>
    <row r="236">
      <c r="A236" s="0" t="inlineStr">
        <is>
          <t>[사직동]</t>
        </is>
      </c>
      <c r="B236" s="0" t="n">
        <v>120587</v>
      </c>
      <c r="C236" s="0" t="n">
        <v>2</v>
      </c>
      <c r="D236" s="0" t="inlineStr">
        <is>
          <t>벨라맨션</t>
        </is>
      </c>
      <c r="E236" s="0" t="inlineStr">
        <is>
          <t>1982.09.</t>
        </is>
      </c>
      <c r="F236" s="0" t="n">
        <v>54</v>
      </c>
      <c r="G236" s="0" t="n">
        <v>30.71</v>
      </c>
      <c r="H236" s="0" t="n">
        <v>101.55</v>
      </c>
      <c r="I236" s="0" t="n">
        <v>23.74</v>
      </c>
      <c r="J236" s="0" t="n">
        <v>78.48999999999999</v>
      </c>
      <c r="K236" s="0" t="n">
        <v>1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101</v>
      </c>
      <c r="X236" s="0" t="n">
        <v>5</v>
      </c>
      <c r="Y236" s="0" t="n">
        <v>4</v>
      </c>
      <c r="Z236" s="0" t="inlineStr">
        <is>
          <t>https://new.land.naver.com/complexes/120587?tab=detail&amp;rf=Y</t>
        </is>
      </c>
      <c r="AA236" s="0" t="inlineStr">
        <is>
          <t>충청북도 청주시 서원구 사직동 6-122</t>
        </is>
      </c>
      <c r="AB236" s="0" t="inlineStr">
        <is>
          <t>충청북도</t>
        </is>
      </c>
      <c r="AC236" s="0" t="inlineStr">
        <is>
          <t>청주시</t>
        </is>
      </c>
      <c r="AD236" s="0" t="inlineStr">
        <is>
          <t>서원구</t>
        </is>
      </c>
      <c r="AE236" s="0" t="inlineStr">
        <is>
          <t>사직동</t>
        </is>
      </c>
      <c r="AG236" s="0" t="inlineStr">
        <is>
          <t>충청북도 청주시 서원구 사운로 36</t>
        </is>
      </c>
      <c r="AH236" s="0" t="n">
        <v>0</v>
      </c>
      <c r="AI236" s="0" t="n">
        <v>0</v>
      </c>
      <c r="AJ236" s="0" t="n">
        <v>0</v>
      </c>
      <c r="AK236" s="0" t="n">
        <v>0</v>
      </c>
      <c r="AL236" s="0" t="n">
        <v>0</v>
      </c>
    </row>
    <row r="237">
      <c r="A237" s="0" t="inlineStr">
        <is>
          <t>[사직동]</t>
        </is>
      </c>
      <c r="B237" s="0" t="n">
        <v>120587</v>
      </c>
      <c r="C237" s="0" t="n">
        <v>3</v>
      </c>
      <c r="D237" s="0" t="inlineStr">
        <is>
          <t>벨라맨션</t>
        </is>
      </c>
      <c r="E237" s="0" t="inlineStr">
        <is>
          <t>1982.09.</t>
        </is>
      </c>
      <c r="F237" s="0" t="n">
        <v>54</v>
      </c>
      <c r="G237" s="0" t="n">
        <v>32.79</v>
      </c>
      <c r="H237" s="0" t="n">
        <v>108.41</v>
      </c>
      <c r="I237" s="0" t="n">
        <v>25.42</v>
      </c>
      <c r="J237" s="0" t="n">
        <v>84.05</v>
      </c>
      <c r="K237" s="0" t="n">
        <v>1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108A</t>
        </is>
      </c>
      <c r="X237" s="0" t="n">
        <v>5</v>
      </c>
      <c r="Y237" s="0" t="n">
        <v>4</v>
      </c>
      <c r="Z237" s="0" t="inlineStr">
        <is>
          <t>https://new.land.naver.com/complexes/120587?tab=detail&amp;rf=Y</t>
        </is>
      </c>
      <c r="AA237" s="0" t="inlineStr">
        <is>
          <t>충청북도 청주시 서원구 사직동 6-122</t>
        </is>
      </c>
      <c r="AB237" s="0" t="inlineStr">
        <is>
          <t>충청북도</t>
        </is>
      </c>
      <c r="AC237" s="0" t="inlineStr">
        <is>
          <t>청주시</t>
        </is>
      </c>
      <c r="AD237" s="0" t="inlineStr">
        <is>
          <t>서원구</t>
        </is>
      </c>
      <c r="AE237" s="0" t="inlineStr">
        <is>
          <t>사직동</t>
        </is>
      </c>
      <c r="AG237" s="0" t="inlineStr">
        <is>
          <t>충청북도 청주시 서원구 사운로 36</t>
        </is>
      </c>
      <c r="AH237" s="0" t="n">
        <v>0</v>
      </c>
      <c r="AI237" s="0" t="n">
        <v>0</v>
      </c>
      <c r="AJ237" s="0" t="n">
        <v>0</v>
      </c>
      <c r="AK237" s="0" t="n">
        <v>0</v>
      </c>
      <c r="AL237" s="0" t="n">
        <v>0</v>
      </c>
    </row>
    <row r="238">
      <c r="A238" s="0" t="inlineStr">
        <is>
          <t>[사직동]</t>
        </is>
      </c>
      <c r="B238" s="0" t="n">
        <v>120587</v>
      </c>
      <c r="C238" s="0" t="n">
        <v>4</v>
      </c>
      <c r="D238" s="0" t="inlineStr">
        <is>
          <t>벨라맨션</t>
        </is>
      </c>
      <c r="E238" s="0" t="inlineStr">
        <is>
          <t>1982.09.</t>
        </is>
      </c>
      <c r="F238" s="0" t="n">
        <v>54</v>
      </c>
      <c r="G238" s="0" t="n">
        <v>33.05</v>
      </c>
      <c r="H238" s="0" t="n">
        <v>109.26</v>
      </c>
      <c r="I238" s="0" t="n">
        <v>25.69</v>
      </c>
      <c r="J238" s="0" t="n">
        <v>84.93000000000001</v>
      </c>
      <c r="K238" s="0" t="n">
        <v>19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109E</t>
        </is>
      </c>
      <c r="X238" s="0" t="n">
        <v>5</v>
      </c>
      <c r="Y238" s="0" t="n">
        <v>4</v>
      </c>
      <c r="Z238" s="0" t="inlineStr">
        <is>
          <t>https://new.land.naver.com/complexes/120587?tab=detail&amp;rf=Y</t>
        </is>
      </c>
      <c r="AA238" s="0" t="inlineStr">
        <is>
          <t>충청북도 청주시 서원구 사직동 6-122</t>
        </is>
      </c>
      <c r="AB238" s="0" t="inlineStr">
        <is>
          <t>충청북도</t>
        </is>
      </c>
      <c r="AC238" s="0" t="inlineStr">
        <is>
          <t>청주시</t>
        </is>
      </c>
      <c r="AD238" s="0" t="inlineStr">
        <is>
          <t>서원구</t>
        </is>
      </c>
      <c r="AE238" s="0" t="inlineStr">
        <is>
          <t>사직동</t>
        </is>
      </c>
      <c r="AG238" s="0" t="inlineStr">
        <is>
          <t>충청북도 청주시 서원구 사운로 36</t>
        </is>
      </c>
      <c r="AH238" s="0" t="n">
        <v>0</v>
      </c>
      <c r="AI238" s="0" t="n">
        <v>0</v>
      </c>
      <c r="AJ238" s="0" t="n">
        <v>0</v>
      </c>
      <c r="AK238" s="0" t="n">
        <v>0</v>
      </c>
      <c r="AL238" s="0" t="n">
        <v>0</v>
      </c>
    </row>
    <row r="239">
      <c r="A239" s="0" t="inlineStr">
        <is>
          <t>[사직동]</t>
        </is>
      </c>
      <c r="B239" s="0" t="n">
        <v>120587</v>
      </c>
      <c r="C239" s="0" t="n">
        <v>5</v>
      </c>
      <c r="D239" s="0" t="inlineStr">
        <is>
          <t>벨라맨션</t>
        </is>
      </c>
      <c r="E239" s="0" t="inlineStr">
        <is>
          <t>1982.09.</t>
        </is>
      </c>
      <c r="F239" s="0" t="n">
        <v>54</v>
      </c>
      <c r="G239" s="0" t="n">
        <v>33.04</v>
      </c>
      <c r="H239" s="0" t="n">
        <v>109.25</v>
      </c>
      <c r="I239" s="0" t="n">
        <v>25.65</v>
      </c>
      <c r="J239" s="0" t="n">
        <v>84.81999999999999</v>
      </c>
      <c r="K239" s="0" t="n">
        <v>13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109B</t>
        </is>
      </c>
      <c r="X239" s="0" t="n">
        <v>5</v>
      </c>
      <c r="Y239" s="0" t="n">
        <v>4</v>
      </c>
      <c r="Z239" s="0" t="inlineStr">
        <is>
          <t>https://new.land.naver.com/complexes/120587?tab=detail&amp;rf=Y</t>
        </is>
      </c>
      <c r="AA239" s="0" t="inlineStr">
        <is>
          <t>충청북도 청주시 서원구 사직동 6-122</t>
        </is>
      </c>
      <c r="AB239" s="0" t="inlineStr">
        <is>
          <t>충청북도</t>
        </is>
      </c>
      <c r="AC239" s="0" t="inlineStr">
        <is>
          <t>청주시</t>
        </is>
      </c>
      <c r="AD239" s="0" t="inlineStr">
        <is>
          <t>서원구</t>
        </is>
      </c>
      <c r="AE239" s="0" t="inlineStr">
        <is>
          <t>사직동</t>
        </is>
      </c>
      <c r="AG239" s="0" t="inlineStr">
        <is>
          <t>충청북도 청주시 서원구 사운로 36</t>
        </is>
      </c>
      <c r="AH239" s="0" t="n">
        <v>0</v>
      </c>
      <c r="AI239" s="0" t="n">
        <v>0</v>
      </c>
      <c r="AJ239" s="0" t="n">
        <v>0</v>
      </c>
      <c r="AK239" s="0" t="n">
        <v>0</v>
      </c>
      <c r="AL239" s="0" t="n">
        <v>0</v>
      </c>
    </row>
    <row r="240">
      <c r="A240" s="0" t="inlineStr">
        <is>
          <t>[사직동]</t>
        </is>
      </c>
      <c r="B240" s="0" t="n">
        <v>120587</v>
      </c>
      <c r="C240" s="0" t="n">
        <v>6</v>
      </c>
      <c r="D240" s="0" t="inlineStr">
        <is>
          <t>벨라맨션</t>
        </is>
      </c>
      <c r="E240" s="0" t="inlineStr">
        <is>
          <t>1982.09.</t>
        </is>
      </c>
      <c r="F240" s="0" t="n">
        <v>54</v>
      </c>
      <c r="G240" s="0" t="n">
        <v>33.06</v>
      </c>
      <c r="H240" s="0" t="n">
        <v>109.32</v>
      </c>
      <c r="I240" s="0" t="n">
        <v>25.66</v>
      </c>
      <c r="J240" s="0" t="n">
        <v>84.84</v>
      </c>
      <c r="K240" s="0" t="n">
        <v>4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109D</t>
        </is>
      </c>
      <c r="X240" s="0" t="n">
        <v>5</v>
      </c>
      <c r="Y240" s="0" t="n">
        <v>4</v>
      </c>
      <c r="Z240" s="0" t="inlineStr">
        <is>
          <t>https://new.land.naver.com/complexes/120587?tab=detail&amp;rf=Y</t>
        </is>
      </c>
      <c r="AA240" s="0" t="inlineStr">
        <is>
          <t>충청북도 청주시 서원구 사직동 6-122</t>
        </is>
      </c>
      <c r="AB240" s="0" t="inlineStr">
        <is>
          <t>충청북도</t>
        </is>
      </c>
      <c r="AC240" s="0" t="inlineStr">
        <is>
          <t>청주시</t>
        </is>
      </c>
      <c r="AD240" s="0" t="inlineStr">
        <is>
          <t>서원구</t>
        </is>
      </c>
      <c r="AE240" s="0" t="inlineStr">
        <is>
          <t>사직동</t>
        </is>
      </c>
      <c r="AG240" s="0" t="inlineStr">
        <is>
          <t>충청북도 청주시 서원구 사운로 36</t>
        </is>
      </c>
      <c r="AH240" s="0" t="n">
        <v>0</v>
      </c>
      <c r="AI240" s="0" t="n">
        <v>0</v>
      </c>
      <c r="AJ240" s="0" t="n">
        <v>0</v>
      </c>
      <c r="AK240" s="0" t="n">
        <v>0</v>
      </c>
      <c r="AL240" s="0" t="n">
        <v>0</v>
      </c>
    </row>
    <row r="241">
      <c r="A241" s="0" t="inlineStr">
        <is>
          <t>[사직동]</t>
        </is>
      </c>
      <c r="B241" s="0" t="n">
        <v>120587</v>
      </c>
      <c r="C241" s="0" t="n">
        <v>7</v>
      </c>
      <c r="D241" s="0" t="inlineStr">
        <is>
          <t>벨라맨션</t>
        </is>
      </c>
      <c r="E241" s="0" t="inlineStr">
        <is>
          <t>1982.09.</t>
        </is>
      </c>
      <c r="F241" s="0" t="n">
        <v>54</v>
      </c>
      <c r="G241" s="0" t="n">
        <v>33.05</v>
      </c>
      <c r="H241" s="0" t="n">
        <v>109.27</v>
      </c>
      <c r="I241" s="0" t="n">
        <v>25.66</v>
      </c>
      <c r="J241" s="0" t="n">
        <v>84.84</v>
      </c>
      <c r="K241" s="0" t="n">
        <v>1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109C</t>
        </is>
      </c>
      <c r="X241" s="0" t="n">
        <v>5</v>
      </c>
      <c r="Y241" s="0" t="n">
        <v>4</v>
      </c>
      <c r="Z241" s="0" t="inlineStr">
        <is>
          <t>https://new.land.naver.com/complexes/120587?tab=detail&amp;rf=Y</t>
        </is>
      </c>
      <c r="AA241" s="0" t="inlineStr">
        <is>
          <t>충청북도 청주시 서원구 사직동 6-122</t>
        </is>
      </c>
      <c r="AB241" s="0" t="inlineStr">
        <is>
          <t>충청북도</t>
        </is>
      </c>
      <c r="AC241" s="0" t="inlineStr">
        <is>
          <t>청주시</t>
        </is>
      </c>
      <c r="AD241" s="0" t="inlineStr">
        <is>
          <t>서원구</t>
        </is>
      </c>
      <c r="AE241" s="0" t="inlineStr">
        <is>
          <t>사직동</t>
        </is>
      </c>
      <c r="AG241" s="0" t="inlineStr">
        <is>
          <t>충청북도 청주시 서원구 사운로 36</t>
        </is>
      </c>
      <c r="AH241" s="0" t="n">
        <v>0</v>
      </c>
      <c r="AI241" s="0" t="n">
        <v>0</v>
      </c>
      <c r="AJ241" s="0" t="n">
        <v>0</v>
      </c>
      <c r="AK241" s="0" t="n">
        <v>0</v>
      </c>
      <c r="AL241" s="0" t="n">
        <v>0</v>
      </c>
    </row>
    <row r="242">
      <c r="A242" s="0" t="inlineStr">
        <is>
          <t>[사직동]</t>
        </is>
      </c>
      <c r="B242" s="0" t="n">
        <v>120587</v>
      </c>
      <c r="C242" s="0" t="n">
        <v>8</v>
      </c>
      <c r="D242" s="0" t="inlineStr">
        <is>
          <t>벨라맨션</t>
        </is>
      </c>
      <c r="E242" s="0" t="inlineStr">
        <is>
          <t>1982.09.</t>
        </is>
      </c>
      <c r="F242" s="0" t="n">
        <v>54</v>
      </c>
      <c r="G242" s="0" t="n">
        <v>33.06</v>
      </c>
      <c r="H242" s="0" t="n">
        <v>109.32</v>
      </c>
      <c r="I242" s="0" t="n">
        <v>25.69</v>
      </c>
      <c r="J242" s="0" t="n">
        <v>84.93000000000001</v>
      </c>
      <c r="K242" s="0" t="n">
        <v>1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109F</t>
        </is>
      </c>
      <c r="X242" s="0" t="n">
        <v>5</v>
      </c>
      <c r="Y242" s="0" t="n">
        <v>4</v>
      </c>
      <c r="Z242" s="0" t="inlineStr">
        <is>
          <t>https://new.land.naver.com/complexes/120587?tab=detail&amp;rf=Y</t>
        </is>
      </c>
      <c r="AA242" s="0" t="inlineStr">
        <is>
          <t>충청북도 청주시 서원구 사직동 6-122</t>
        </is>
      </c>
      <c r="AB242" s="0" t="inlineStr">
        <is>
          <t>충청북도</t>
        </is>
      </c>
      <c r="AC242" s="0" t="inlineStr">
        <is>
          <t>청주시</t>
        </is>
      </c>
      <c r="AD242" s="0" t="inlineStr">
        <is>
          <t>서원구</t>
        </is>
      </c>
      <c r="AE242" s="0" t="inlineStr">
        <is>
          <t>사직동</t>
        </is>
      </c>
      <c r="AG242" s="0" t="inlineStr">
        <is>
          <t>충청북도 청주시 서원구 사운로 36</t>
        </is>
      </c>
      <c r="AH242" s="0" t="n">
        <v>0</v>
      </c>
      <c r="AI242" s="0" t="n">
        <v>0</v>
      </c>
      <c r="AJ242" s="0" t="n">
        <v>0</v>
      </c>
      <c r="AK242" s="0" t="n">
        <v>0</v>
      </c>
      <c r="AL242" s="0" t="n">
        <v>0</v>
      </c>
    </row>
    <row r="243">
      <c r="A243" s="0" t="inlineStr">
        <is>
          <t>[사직동]</t>
        </is>
      </c>
      <c r="B243" s="0" t="n">
        <v>120587</v>
      </c>
      <c r="C243" s="0" t="n">
        <v>9</v>
      </c>
      <c r="D243" s="0" t="inlineStr">
        <is>
          <t>벨라맨션</t>
        </is>
      </c>
      <c r="E243" s="0" t="inlineStr">
        <is>
          <t>1982.09.</t>
        </is>
      </c>
      <c r="F243" s="0" t="n">
        <v>54</v>
      </c>
      <c r="G243" s="0" t="n">
        <v>34.83</v>
      </c>
      <c r="H243" s="0" t="n">
        <v>115.15</v>
      </c>
      <c r="I243" s="0" t="n">
        <v>25.56</v>
      </c>
      <c r="J243" s="0" t="n">
        <v>84.51000000000001</v>
      </c>
      <c r="K243" s="0" t="n">
        <v>3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115</v>
      </c>
      <c r="X243" s="0" t="n">
        <v>5</v>
      </c>
      <c r="Y243" s="0" t="n">
        <v>4</v>
      </c>
      <c r="Z243" s="0" t="inlineStr">
        <is>
          <t>https://new.land.naver.com/complexes/120587?tab=detail&amp;rf=Y</t>
        </is>
      </c>
      <c r="AA243" s="0" t="inlineStr">
        <is>
          <t>충청북도 청주시 서원구 사직동 6-122</t>
        </is>
      </c>
      <c r="AB243" s="0" t="inlineStr">
        <is>
          <t>충청북도</t>
        </is>
      </c>
      <c r="AC243" s="0" t="inlineStr">
        <is>
          <t>청주시</t>
        </is>
      </c>
      <c r="AD243" s="0" t="inlineStr">
        <is>
          <t>서원구</t>
        </is>
      </c>
      <c r="AE243" s="0" t="inlineStr">
        <is>
          <t>사직동</t>
        </is>
      </c>
      <c r="AG243" s="0" t="inlineStr">
        <is>
          <t>충청북도 청주시 서원구 사운로 36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[사직동]</t>
        </is>
      </c>
      <c r="B244" s="0" t="n">
        <v>120587</v>
      </c>
      <c r="C244" s="0" t="n">
        <v>10</v>
      </c>
      <c r="D244" s="0" t="inlineStr">
        <is>
          <t>벨라맨션</t>
        </is>
      </c>
      <c r="E244" s="0" t="inlineStr">
        <is>
          <t>1982.09.</t>
        </is>
      </c>
      <c r="F244" s="0" t="n">
        <v>54</v>
      </c>
      <c r="G244" s="0" t="n">
        <v>46.69</v>
      </c>
      <c r="H244" s="0" t="n">
        <v>154.38</v>
      </c>
      <c r="I244" s="0" t="n">
        <v>37.21</v>
      </c>
      <c r="J244" s="0" t="n">
        <v>123.04</v>
      </c>
      <c r="K244" s="0" t="n">
        <v>10</v>
      </c>
      <c r="T244" s="0" t="n">
        <v>4</v>
      </c>
      <c r="U244" s="0" t="n">
        <v>2</v>
      </c>
      <c r="V244" s="0" t="inlineStr">
        <is>
          <t>계단식</t>
        </is>
      </c>
      <c r="W244" s="0" t="n">
        <v>154</v>
      </c>
      <c r="X244" s="0" t="n">
        <v>5</v>
      </c>
      <c r="Y244" s="0" t="n">
        <v>4</v>
      </c>
      <c r="Z244" s="0" t="inlineStr">
        <is>
          <t>https://new.land.naver.com/complexes/120587?tab=detail&amp;rf=Y</t>
        </is>
      </c>
      <c r="AA244" s="0" t="inlineStr">
        <is>
          <t>충청북도 청주시 서원구 사직동 6-122</t>
        </is>
      </c>
      <c r="AB244" s="0" t="inlineStr">
        <is>
          <t>충청북도</t>
        </is>
      </c>
      <c r="AC244" s="0" t="inlineStr">
        <is>
          <t>청주시</t>
        </is>
      </c>
      <c r="AD244" s="0" t="inlineStr">
        <is>
          <t>서원구</t>
        </is>
      </c>
      <c r="AE244" s="0" t="inlineStr">
        <is>
          <t>사직동</t>
        </is>
      </c>
      <c r="AG244" s="0" t="inlineStr">
        <is>
          <t>충청북도 청주시 서원구 사운로 36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[사직동]</t>
        </is>
      </c>
      <c r="B245" s="0" t="n">
        <v>24884</v>
      </c>
      <c r="C245" s="0" t="n">
        <v>1</v>
      </c>
      <c r="D245" s="0" t="inlineStr">
        <is>
          <t>두산위브더제니스</t>
        </is>
      </c>
      <c r="E245" s="0" t="inlineStr">
        <is>
          <t>2009.07.</t>
        </is>
      </c>
      <c r="F245" s="0" t="n">
        <v>576</v>
      </c>
      <c r="G245" s="0" t="n">
        <v>39.36</v>
      </c>
      <c r="H245" s="0" t="n">
        <v>130.14</v>
      </c>
      <c r="I245" s="0" t="n">
        <v>29.55</v>
      </c>
      <c r="J245" s="0" t="n">
        <v>97.7</v>
      </c>
      <c r="K245" s="0" t="n">
        <v>78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130</v>
      </c>
      <c r="X245" s="0" t="n">
        <v>41</v>
      </c>
      <c r="Y245" s="0" t="n">
        <v>34</v>
      </c>
      <c r="Z245" s="0" t="inlineStr">
        <is>
          <t>https://new.land.naver.com/complexes/24884?tab=detail&amp;rf=Y</t>
        </is>
      </c>
      <c r="AA245" s="0" t="inlineStr">
        <is>
          <t>충청북도 청주시 서원구 사직동 265-5</t>
        </is>
      </c>
      <c r="AB245" s="0" t="inlineStr">
        <is>
          <t>충청북도</t>
        </is>
      </c>
      <c r="AC245" s="0" t="inlineStr">
        <is>
          <t>청주시</t>
        </is>
      </c>
      <c r="AD245" s="0" t="inlineStr">
        <is>
          <t>서원구</t>
        </is>
      </c>
      <c r="AE245" s="0" t="inlineStr">
        <is>
          <t>사직동</t>
        </is>
      </c>
      <c r="AG245" s="0" t="inlineStr">
        <is>
          <t>충청북도 청주시 서원구 사운로 93</t>
        </is>
      </c>
      <c r="AH245" s="0" t="n">
        <v>0</v>
      </c>
      <c r="AI245" s="0" t="n">
        <v>672</v>
      </c>
      <c r="AJ245" s="0" t="n">
        <v>34</v>
      </c>
      <c r="AK245" s="0" t="n">
        <v>1047</v>
      </c>
      <c r="AL245" s="0" t="n">
        <v>1.82</v>
      </c>
    </row>
    <row r="246">
      <c r="A246" s="0" t="inlineStr">
        <is>
          <t>[사직동]</t>
        </is>
      </c>
      <c r="B246" s="0" t="n">
        <v>24884</v>
      </c>
      <c r="C246" s="0" t="n">
        <v>2</v>
      </c>
      <c r="D246" s="0" t="inlineStr">
        <is>
          <t>두산위브더제니스</t>
        </is>
      </c>
      <c r="E246" s="0" t="inlineStr">
        <is>
          <t>2009.07.</t>
        </is>
      </c>
      <c r="F246" s="0" t="n">
        <v>576</v>
      </c>
      <c r="G246" s="0" t="n">
        <v>49.13</v>
      </c>
      <c r="H246" s="0" t="n">
        <v>162.42</v>
      </c>
      <c r="I246" s="0" t="n">
        <v>37.06</v>
      </c>
      <c r="J246" s="0" t="n">
        <v>122.52</v>
      </c>
      <c r="K246" s="0" t="n">
        <v>206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162B</t>
        </is>
      </c>
      <c r="X246" s="0" t="n">
        <v>41</v>
      </c>
      <c r="Y246" s="0" t="n">
        <v>34</v>
      </c>
      <c r="Z246" s="0" t="inlineStr">
        <is>
          <t>https://new.land.naver.com/complexes/24884?tab=detail&amp;rf=Y</t>
        </is>
      </c>
      <c r="AA246" s="0" t="inlineStr">
        <is>
          <t>충청북도 청주시 서원구 사직동 265-5</t>
        </is>
      </c>
      <c r="AB246" s="0" t="inlineStr">
        <is>
          <t>충청북도</t>
        </is>
      </c>
      <c r="AC246" s="0" t="inlineStr">
        <is>
          <t>청주시</t>
        </is>
      </c>
      <c r="AD246" s="0" t="inlineStr">
        <is>
          <t>서원구</t>
        </is>
      </c>
      <c r="AE246" s="0" t="inlineStr">
        <is>
          <t>사직동</t>
        </is>
      </c>
      <c r="AG246" s="0" t="inlineStr">
        <is>
          <t>충청북도 청주시 서원구 사운로 93</t>
        </is>
      </c>
      <c r="AH246" s="0" t="n">
        <v>0</v>
      </c>
      <c r="AI246" s="0" t="n">
        <v>672</v>
      </c>
      <c r="AJ246" s="0" t="n">
        <v>34</v>
      </c>
      <c r="AK246" s="0" t="n">
        <v>1047</v>
      </c>
      <c r="AL246" s="0" t="n">
        <v>1.82</v>
      </c>
    </row>
    <row r="247">
      <c r="A247" s="0" t="inlineStr">
        <is>
          <t>[사직동]</t>
        </is>
      </c>
      <c r="B247" s="0" t="n">
        <v>24884</v>
      </c>
      <c r="C247" s="0" t="n">
        <v>3</v>
      </c>
      <c r="D247" s="0" t="inlineStr">
        <is>
          <t>두산위브더제니스</t>
        </is>
      </c>
      <c r="E247" s="0" t="inlineStr">
        <is>
          <t>2009.07.</t>
        </is>
      </c>
      <c r="F247" s="0" t="n">
        <v>576</v>
      </c>
      <c r="G247" s="0" t="n">
        <v>49.39</v>
      </c>
      <c r="H247" s="0" t="n">
        <v>163.29</v>
      </c>
      <c r="I247" s="0" t="n">
        <v>37.54</v>
      </c>
      <c r="J247" s="0" t="n">
        <v>124.13</v>
      </c>
      <c r="K247" s="0" t="n">
        <v>142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163A</t>
        </is>
      </c>
      <c r="X247" s="0" t="n">
        <v>41</v>
      </c>
      <c r="Y247" s="0" t="n">
        <v>34</v>
      </c>
      <c r="Z247" s="0" t="inlineStr">
        <is>
          <t>https://new.land.naver.com/complexes/24884?tab=detail&amp;rf=Y</t>
        </is>
      </c>
      <c r="AA247" s="0" t="inlineStr">
        <is>
          <t>충청북도 청주시 서원구 사직동 265-5</t>
        </is>
      </c>
      <c r="AB247" s="0" t="inlineStr">
        <is>
          <t>충청북도</t>
        </is>
      </c>
      <c r="AC247" s="0" t="inlineStr">
        <is>
          <t>청주시</t>
        </is>
      </c>
      <c r="AD247" s="0" t="inlineStr">
        <is>
          <t>서원구</t>
        </is>
      </c>
      <c r="AE247" s="0" t="inlineStr">
        <is>
          <t>사직동</t>
        </is>
      </c>
      <c r="AG247" s="0" t="inlineStr">
        <is>
          <t>충청북도 청주시 서원구 사운로 93</t>
        </is>
      </c>
      <c r="AH247" s="0" t="n">
        <v>0</v>
      </c>
      <c r="AI247" s="0" t="n">
        <v>672</v>
      </c>
      <c r="AJ247" s="0" t="n">
        <v>34</v>
      </c>
      <c r="AK247" s="0" t="n">
        <v>1047</v>
      </c>
      <c r="AL247" s="0" t="n">
        <v>1.82</v>
      </c>
    </row>
    <row r="248">
      <c r="A248" s="0" t="inlineStr">
        <is>
          <t>[사직동]</t>
        </is>
      </c>
      <c r="B248" s="0" t="n">
        <v>24884</v>
      </c>
      <c r="C248" s="0" t="n">
        <v>4</v>
      </c>
      <c r="D248" s="0" t="inlineStr">
        <is>
          <t>두산위브더제니스</t>
        </is>
      </c>
      <c r="E248" s="0" t="inlineStr">
        <is>
          <t>2009.07.</t>
        </is>
      </c>
      <c r="F248" s="0" t="n">
        <v>576</v>
      </c>
      <c r="G248" s="0" t="n">
        <v>57.18</v>
      </c>
      <c r="H248" s="0" t="n">
        <v>189.05</v>
      </c>
      <c r="I248" s="0" t="n">
        <v>43.51</v>
      </c>
      <c r="J248" s="0" t="n">
        <v>143.84</v>
      </c>
      <c r="K248" s="0" t="n">
        <v>142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189</v>
      </c>
      <c r="X248" s="0" t="n">
        <v>41</v>
      </c>
      <c r="Y248" s="0" t="n">
        <v>34</v>
      </c>
      <c r="Z248" s="0" t="inlineStr">
        <is>
          <t>https://new.land.naver.com/complexes/24884?tab=detail&amp;rf=Y</t>
        </is>
      </c>
      <c r="AA248" s="0" t="inlineStr">
        <is>
          <t>충청북도 청주시 서원구 사직동 265-5</t>
        </is>
      </c>
      <c r="AB248" s="0" t="inlineStr">
        <is>
          <t>충청북도</t>
        </is>
      </c>
      <c r="AC248" s="0" t="inlineStr">
        <is>
          <t>청주시</t>
        </is>
      </c>
      <c r="AD248" s="0" t="inlineStr">
        <is>
          <t>서원구</t>
        </is>
      </c>
      <c r="AE248" s="0" t="inlineStr">
        <is>
          <t>사직동</t>
        </is>
      </c>
      <c r="AG248" s="0" t="inlineStr">
        <is>
          <t>충청북도 청주시 서원구 사운로 93</t>
        </is>
      </c>
      <c r="AH248" s="0" t="n">
        <v>0</v>
      </c>
      <c r="AI248" s="0" t="n">
        <v>672</v>
      </c>
      <c r="AJ248" s="0" t="n">
        <v>34</v>
      </c>
      <c r="AK248" s="0" t="n">
        <v>1047</v>
      </c>
      <c r="AL248" s="0" t="n">
        <v>1.82</v>
      </c>
    </row>
    <row r="249">
      <c r="A249" s="0" t="inlineStr">
        <is>
          <t>[사직동]</t>
        </is>
      </c>
      <c r="B249" s="0" t="n">
        <v>24884</v>
      </c>
      <c r="C249" s="0" t="n">
        <v>5</v>
      </c>
      <c r="D249" s="0" t="inlineStr">
        <is>
          <t>두산위브더제니스</t>
        </is>
      </c>
      <c r="E249" s="0" t="inlineStr">
        <is>
          <t>2009.07.</t>
        </is>
      </c>
      <c r="F249" s="0" t="n">
        <v>576</v>
      </c>
      <c r="G249" s="0" t="n">
        <v>78.20999999999999</v>
      </c>
      <c r="H249" s="0" t="n">
        <v>258.57</v>
      </c>
      <c r="I249" s="0" t="n">
        <v>59.3</v>
      </c>
      <c r="J249" s="0" t="n">
        <v>196.04</v>
      </c>
      <c r="K249" s="0" t="n">
        <v>8</v>
      </c>
      <c r="T249" s="0" t="n">
        <v>4</v>
      </c>
      <c r="U249" s="0" t="n">
        <v>2</v>
      </c>
      <c r="V249" s="0" t="inlineStr">
        <is>
          <t>계단식</t>
        </is>
      </c>
      <c r="W249" s="0" t="n">
        <v>258</v>
      </c>
      <c r="X249" s="0" t="n">
        <v>41</v>
      </c>
      <c r="Y249" s="0" t="n">
        <v>34</v>
      </c>
      <c r="Z249" s="0" t="inlineStr">
        <is>
          <t>https://new.land.naver.com/complexes/24884?tab=detail&amp;rf=Y</t>
        </is>
      </c>
      <c r="AA249" s="0" t="inlineStr">
        <is>
          <t>충청북도 청주시 서원구 사직동 265-5</t>
        </is>
      </c>
      <c r="AB249" s="0" t="inlineStr">
        <is>
          <t>충청북도</t>
        </is>
      </c>
      <c r="AC249" s="0" t="inlineStr">
        <is>
          <t>청주시</t>
        </is>
      </c>
      <c r="AD249" s="0" t="inlineStr">
        <is>
          <t>서원구</t>
        </is>
      </c>
      <c r="AE249" s="0" t="inlineStr">
        <is>
          <t>사직동</t>
        </is>
      </c>
      <c r="AG249" s="0" t="inlineStr">
        <is>
          <t>충청북도 청주시 서원구 사운로 93</t>
        </is>
      </c>
      <c r="AH249" s="0" t="n">
        <v>0</v>
      </c>
      <c r="AI249" s="0" t="n">
        <v>672</v>
      </c>
      <c r="AJ249" s="0" t="n">
        <v>34</v>
      </c>
      <c r="AK249" s="0" t="n">
        <v>1047</v>
      </c>
      <c r="AL249" s="0" t="n">
        <v>1.82</v>
      </c>
    </row>
    <row r="250">
      <c r="A250" s="0" t="inlineStr">
        <is>
          <t>[사직동]</t>
        </is>
      </c>
      <c r="B250" s="0" t="n">
        <v>144375</v>
      </c>
      <c r="C250" s="0" t="n">
        <v>1</v>
      </c>
      <c r="D250" s="0" t="inlineStr">
        <is>
          <t>목련</t>
        </is>
      </c>
      <c r="E250" s="0" t="inlineStr">
        <is>
          <t>1985.05.</t>
        </is>
      </c>
      <c r="F250" s="0" t="n">
        <v>28</v>
      </c>
      <c r="G250" s="0" t="n">
        <v>15.64</v>
      </c>
      <c r="H250" s="0" t="n">
        <v>51.72</v>
      </c>
      <c r="I250" s="0" t="n">
        <v>14.48</v>
      </c>
      <c r="J250" s="0" t="n">
        <v>47.88</v>
      </c>
      <c r="K250" s="0" t="n">
        <v>5</v>
      </c>
      <c r="T250" s="0" t="n">
        <v>2</v>
      </c>
      <c r="U250" s="0" t="n">
        <v>1</v>
      </c>
      <c r="V250" s="0" t="inlineStr">
        <is>
          <t>계단식</t>
        </is>
      </c>
      <c r="W250" s="0" t="inlineStr">
        <is>
          <t>51A</t>
        </is>
      </c>
      <c r="X250" s="0" t="n">
        <v>5</v>
      </c>
      <c r="Y250" s="0" t="n">
        <v>4</v>
      </c>
      <c r="Z250" s="0" t="inlineStr">
        <is>
          <t>https://new.land.naver.com/complexes/144375?tab=detail&amp;rf=Y</t>
        </is>
      </c>
      <c r="AA250" s="0" t="inlineStr">
        <is>
          <t>충청북도 청주시 서원구 사직동 47-23</t>
        </is>
      </c>
      <c r="AB250" s="0" t="inlineStr">
        <is>
          <t>충청북도</t>
        </is>
      </c>
      <c r="AC250" s="0" t="inlineStr">
        <is>
          <t>청주시</t>
        </is>
      </c>
      <c r="AD250" s="0" t="inlineStr">
        <is>
          <t>서원구</t>
        </is>
      </c>
      <c r="AE250" s="0" t="inlineStr">
        <is>
          <t>사직동</t>
        </is>
      </c>
      <c r="AG250" s="0" t="inlineStr">
        <is>
          <t>충청북도 청주시 서원구 모충로153번길 19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[사직동]</t>
        </is>
      </c>
      <c r="B251" s="0" t="n">
        <v>144375</v>
      </c>
      <c r="C251" s="0" t="n">
        <v>2</v>
      </c>
      <c r="D251" s="0" t="inlineStr">
        <is>
          <t>목련</t>
        </is>
      </c>
      <c r="E251" s="0" t="inlineStr">
        <is>
          <t>1985.05.</t>
        </is>
      </c>
      <c r="F251" s="0" t="n">
        <v>28</v>
      </c>
      <c r="G251" s="0" t="n">
        <v>15.89</v>
      </c>
      <c r="H251" s="0" t="n">
        <v>52.56</v>
      </c>
      <c r="I251" s="0" t="n">
        <v>14.59</v>
      </c>
      <c r="J251" s="0" t="n">
        <v>48.24</v>
      </c>
      <c r="K251" s="0" t="n">
        <v>5</v>
      </c>
      <c r="T251" s="0" t="n">
        <v>2</v>
      </c>
      <c r="U251" s="0" t="n">
        <v>1</v>
      </c>
      <c r="V251" s="0" t="inlineStr">
        <is>
          <t>계단식</t>
        </is>
      </c>
      <c r="W251" s="0" t="inlineStr">
        <is>
          <t>52B</t>
        </is>
      </c>
      <c r="X251" s="0" t="n">
        <v>5</v>
      </c>
      <c r="Y251" s="0" t="n">
        <v>4</v>
      </c>
      <c r="Z251" s="0" t="inlineStr">
        <is>
          <t>https://new.land.naver.com/complexes/144375?tab=detail&amp;rf=Y</t>
        </is>
      </c>
      <c r="AA251" s="0" t="inlineStr">
        <is>
          <t>충청북도 청주시 서원구 사직동 47-23</t>
        </is>
      </c>
      <c r="AB251" s="0" t="inlineStr">
        <is>
          <t>충청북도</t>
        </is>
      </c>
      <c r="AC251" s="0" t="inlineStr">
        <is>
          <t>청주시</t>
        </is>
      </c>
      <c r="AD251" s="0" t="inlineStr">
        <is>
          <t>서원구</t>
        </is>
      </c>
      <c r="AE251" s="0" t="inlineStr">
        <is>
          <t>사직동</t>
        </is>
      </c>
      <c r="AG251" s="0" t="inlineStr">
        <is>
          <t>충청북도 청주시 서원구 모충로153번길 19</t>
        </is>
      </c>
      <c r="AH251" s="0" t="n">
        <v>0</v>
      </c>
      <c r="AI251" s="0" t="n">
        <v>0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[사직동]</t>
        </is>
      </c>
      <c r="B252" s="0" t="n">
        <v>144375</v>
      </c>
      <c r="C252" s="0" t="n">
        <v>3</v>
      </c>
      <c r="D252" s="0" t="inlineStr">
        <is>
          <t>목련</t>
        </is>
      </c>
      <c r="E252" s="0" t="inlineStr">
        <is>
          <t>1985.05.</t>
        </is>
      </c>
      <c r="F252" s="0" t="n">
        <v>28</v>
      </c>
      <c r="G252" s="0" t="n">
        <v>16.59</v>
      </c>
      <c r="H252" s="0" t="n">
        <v>54.87</v>
      </c>
      <c r="I252" s="0" t="n">
        <v>15.43</v>
      </c>
      <c r="J252" s="0" t="n">
        <v>51.03</v>
      </c>
      <c r="K252" s="0" t="n">
        <v>5</v>
      </c>
      <c r="T252" s="0" t="n">
        <v>2</v>
      </c>
      <c r="U252" s="0" t="n">
        <v>1</v>
      </c>
      <c r="V252" s="0" t="inlineStr">
        <is>
          <t>계단식</t>
        </is>
      </c>
      <c r="W252" s="0" t="inlineStr">
        <is>
          <t>54C</t>
        </is>
      </c>
      <c r="X252" s="0" t="n">
        <v>5</v>
      </c>
      <c r="Y252" s="0" t="n">
        <v>4</v>
      </c>
      <c r="Z252" s="0" t="inlineStr">
        <is>
          <t>https://new.land.naver.com/complexes/144375?tab=detail&amp;rf=Y</t>
        </is>
      </c>
      <c r="AA252" s="0" t="inlineStr">
        <is>
          <t>충청북도 청주시 서원구 사직동 47-23</t>
        </is>
      </c>
      <c r="AB252" s="0" t="inlineStr">
        <is>
          <t>충청북도</t>
        </is>
      </c>
      <c r="AC252" s="0" t="inlineStr">
        <is>
          <t>청주시</t>
        </is>
      </c>
      <c r="AD252" s="0" t="inlineStr">
        <is>
          <t>서원구</t>
        </is>
      </c>
      <c r="AE252" s="0" t="inlineStr">
        <is>
          <t>사직동</t>
        </is>
      </c>
      <c r="AG252" s="0" t="inlineStr">
        <is>
          <t>충청북도 청주시 서원구 모충로153번길 19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[사직동]</t>
        </is>
      </c>
      <c r="B253" s="0" t="n">
        <v>144375</v>
      </c>
      <c r="C253" s="0" t="n">
        <v>4</v>
      </c>
      <c r="D253" s="0" t="inlineStr">
        <is>
          <t>목련</t>
        </is>
      </c>
      <c r="E253" s="0" t="inlineStr">
        <is>
          <t>1985.05.</t>
        </is>
      </c>
      <c r="F253" s="0" t="n">
        <v>28</v>
      </c>
      <c r="G253" s="0" t="n">
        <v>16.6</v>
      </c>
      <c r="H253" s="0" t="n">
        <v>54.9</v>
      </c>
      <c r="I253" s="0" t="n">
        <v>15.3</v>
      </c>
      <c r="J253" s="0" t="n">
        <v>50.58</v>
      </c>
      <c r="K253" s="0" t="n">
        <v>4</v>
      </c>
      <c r="T253" s="0" t="n">
        <v>2</v>
      </c>
      <c r="U253" s="0" t="n">
        <v>1</v>
      </c>
      <c r="V253" s="0" t="inlineStr">
        <is>
          <t>계단식</t>
        </is>
      </c>
      <c r="W253" s="0" t="inlineStr">
        <is>
          <t>54A</t>
        </is>
      </c>
      <c r="X253" s="0" t="n">
        <v>5</v>
      </c>
      <c r="Y253" s="0" t="n">
        <v>4</v>
      </c>
      <c r="Z253" s="0" t="inlineStr">
        <is>
          <t>https://new.land.naver.com/complexes/144375?tab=detail&amp;rf=Y</t>
        </is>
      </c>
      <c r="AA253" s="0" t="inlineStr">
        <is>
          <t>충청북도 청주시 서원구 사직동 47-23</t>
        </is>
      </c>
      <c r="AB253" s="0" t="inlineStr">
        <is>
          <t>충청북도</t>
        </is>
      </c>
      <c r="AC253" s="0" t="inlineStr">
        <is>
          <t>청주시</t>
        </is>
      </c>
      <c r="AD253" s="0" t="inlineStr">
        <is>
          <t>서원구</t>
        </is>
      </c>
      <c r="AE253" s="0" t="inlineStr">
        <is>
          <t>사직동</t>
        </is>
      </c>
      <c r="AG253" s="0" t="inlineStr">
        <is>
          <t>충청북도 청주시 서원구 모충로153번길 19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[사직동]</t>
        </is>
      </c>
      <c r="B254" s="0" t="n">
        <v>144375</v>
      </c>
      <c r="C254" s="0" t="n">
        <v>5</v>
      </c>
      <c r="D254" s="0" t="inlineStr">
        <is>
          <t>목련</t>
        </is>
      </c>
      <c r="E254" s="0" t="inlineStr">
        <is>
          <t>1985.05.</t>
        </is>
      </c>
      <c r="F254" s="0" t="n">
        <v>28</v>
      </c>
      <c r="G254" s="0" t="n">
        <v>16.57</v>
      </c>
      <c r="H254" s="0" t="n">
        <v>54.78</v>
      </c>
      <c r="I254" s="0" t="n">
        <v>15.4</v>
      </c>
      <c r="J254" s="0" t="n">
        <v>50.94</v>
      </c>
      <c r="K254" s="0" t="n">
        <v>4</v>
      </c>
      <c r="T254" s="0" t="n">
        <v>2</v>
      </c>
      <c r="U254" s="0" t="n">
        <v>1</v>
      </c>
      <c r="V254" s="0" t="inlineStr">
        <is>
          <t>계단식</t>
        </is>
      </c>
      <c r="W254" s="0" t="inlineStr">
        <is>
          <t>54B</t>
        </is>
      </c>
      <c r="X254" s="0" t="n">
        <v>5</v>
      </c>
      <c r="Y254" s="0" t="n">
        <v>4</v>
      </c>
      <c r="Z254" s="0" t="inlineStr">
        <is>
          <t>https://new.land.naver.com/complexes/144375?tab=detail&amp;rf=Y</t>
        </is>
      </c>
      <c r="AA254" s="0" t="inlineStr">
        <is>
          <t>충청북도 청주시 서원구 사직동 47-23</t>
        </is>
      </c>
      <c r="AB254" s="0" t="inlineStr">
        <is>
          <t>충청북도</t>
        </is>
      </c>
      <c r="AC254" s="0" t="inlineStr">
        <is>
          <t>청주시</t>
        </is>
      </c>
      <c r="AD254" s="0" t="inlineStr">
        <is>
          <t>서원구</t>
        </is>
      </c>
      <c r="AE254" s="0" t="inlineStr">
        <is>
          <t>사직동</t>
        </is>
      </c>
      <c r="AG254" s="0" t="inlineStr">
        <is>
          <t>충청북도 청주시 서원구 모충로153번길 19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[사직동]</t>
        </is>
      </c>
      <c r="B255" s="0" t="n">
        <v>144375</v>
      </c>
      <c r="C255" s="0" t="n">
        <v>6</v>
      </c>
      <c r="D255" s="0" t="inlineStr">
        <is>
          <t>목련</t>
        </is>
      </c>
      <c r="E255" s="0" t="inlineStr">
        <is>
          <t>1985.05.</t>
        </is>
      </c>
      <c r="F255" s="0" t="n">
        <v>28</v>
      </c>
      <c r="G255" s="0" t="n">
        <v>16.87</v>
      </c>
      <c r="H255" s="0" t="n">
        <v>55.8</v>
      </c>
      <c r="I255" s="0" t="n">
        <v>15.57</v>
      </c>
      <c r="J255" s="0" t="n">
        <v>51.48</v>
      </c>
      <c r="K255" s="0" t="n">
        <v>5</v>
      </c>
      <c r="T255" s="0" t="n">
        <v>2</v>
      </c>
      <c r="U255" s="0" t="n">
        <v>1</v>
      </c>
      <c r="V255" s="0" t="inlineStr">
        <is>
          <t>계단식</t>
        </is>
      </c>
      <c r="W255" s="0" t="inlineStr">
        <is>
          <t>55D</t>
        </is>
      </c>
      <c r="X255" s="0" t="n">
        <v>5</v>
      </c>
      <c r="Y255" s="0" t="n">
        <v>4</v>
      </c>
      <c r="Z255" s="0" t="inlineStr">
        <is>
          <t>https://new.land.naver.com/complexes/144375?tab=detail&amp;rf=Y</t>
        </is>
      </c>
      <c r="AA255" s="0" t="inlineStr">
        <is>
          <t>충청북도 청주시 서원구 사직동 47-23</t>
        </is>
      </c>
      <c r="AB255" s="0" t="inlineStr">
        <is>
          <t>충청북도</t>
        </is>
      </c>
      <c r="AC255" s="0" t="inlineStr">
        <is>
          <t>청주시</t>
        </is>
      </c>
      <c r="AD255" s="0" t="inlineStr">
        <is>
          <t>서원구</t>
        </is>
      </c>
      <c r="AE255" s="0" t="inlineStr">
        <is>
          <t>사직동</t>
        </is>
      </c>
      <c r="AG255" s="0" t="inlineStr">
        <is>
          <t>충청북도 청주시 서원구 모충로153번길 19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[사직동]</t>
        </is>
      </c>
      <c r="B256" s="0" t="n">
        <v>132323</v>
      </c>
      <c r="C256" s="0" t="n">
        <v>1</v>
      </c>
      <c r="D256" s="0" t="inlineStr">
        <is>
          <t>삼영</t>
        </is>
      </c>
      <c r="E256" s="0" t="inlineStr">
        <is>
          <t>1980.05.</t>
        </is>
      </c>
      <c r="F256" s="0" t="n">
        <v>48</v>
      </c>
      <c r="G256" s="0" t="n">
        <v>25.99</v>
      </c>
      <c r="H256" s="0" t="n">
        <v>85.95</v>
      </c>
      <c r="I256" s="0" t="n">
        <v>20.5</v>
      </c>
      <c r="J256" s="0" t="n">
        <v>67.77</v>
      </c>
      <c r="K256" s="0" t="n">
        <v>48</v>
      </c>
      <c r="T256" s="0" t="n">
        <v>3</v>
      </c>
      <c r="U256" s="0" t="n">
        <v>1</v>
      </c>
      <c r="V256" s="0" t="inlineStr">
        <is>
          <t>계단식</t>
        </is>
      </c>
      <c r="W256" s="0" t="n">
        <v>85</v>
      </c>
      <c r="X256" s="0" t="n">
        <v>8</v>
      </c>
      <c r="Y256" s="0" t="n">
        <v>8</v>
      </c>
      <c r="Z256" s="0" t="inlineStr">
        <is>
          <t>https://new.land.naver.com/complexes/132323?tab=detail&amp;rf=Y</t>
        </is>
      </c>
      <c r="AA256" s="0" t="inlineStr">
        <is>
          <t>충청북도 청주시 서원구 사직동 688-1</t>
        </is>
      </c>
      <c r="AB256" s="0" t="inlineStr">
        <is>
          <t>충청북도</t>
        </is>
      </c>
      <c r="AC256" s="0" t="inlineStr">
        <is>
          <t>청주시</t>
        </is>
      </c>
      <c r="AD256" s="0" t="inlineStr">
        <is>
          <t>서원구</t>
        </is>
      </c>
      <c r="AE256" s="0" t="inlineStr">
        <is>
          <t>사직동</t>
        </is>
      </c>
      <c r="AG256" s="0" t="inlineStr">
        <is>
          <t>충청북도 청주시 서원구 호국로37번길 38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[사직동]</t>
        </is>
      </c>
      <c r="B257" s="0" t="n">
        <v>127144</v>
      </c>
      <c r="C257" s="0" t="n">
        <v>1</v>
      </c>
      <c r="D257" s="0" t="inlineStr">
        <is>
          <t>삼원맨션</t>
        </is>
      </c>
      <c r="E257" s="0" t="inlineStr">
        <is>
          <t>1984.12.</t>
        </is>
      </c>
      <c r="F257" s="0" t="n">
        <v>45</v>
      </c>
      <c r="G257" s="0" t="n">
        <v>22.24</v>
      </c>
      <c r="H257" s="0" t="n">
        <v>73.55</v>
      </c>
      <c r="I257" s="0" t="n">
        <v>14.21</v>
      </c>
      <c r="J257" s="0" t="n">
        <v>46.98</v>
      </c>
      <c r="K257" s="0" t="n">
        <v>1</v>
      </c>
      <c r="T257" s="0" t="n">
        <v>3</v>
      </c>
      <c r="U257" s="0" t="n">
        <v>1</v>
      </c>
      <c r="V257" s="0" t="inlineStr">
        <is>
          <t>복도식</t>
        </is>
      </c>
      <c r="W257" s="0" t="n">
        <v>73</v>
      </c>
      <c r="X257" s="0" t="n">
        <v>5</v>
      </c>
      <c r="Y257" s="0" t="n">
        <v>5</v>
      </c>
      <c r="Z257" s="0" t="inlineStr">
        <is>
          <t>https://new.land.naver.com/complexes/127144?tab=detail&amp;rf=Y</t>
        </is>
      </c>
      <c r="AA257" s="0" t="inlineStr">
        <is>
          <t>충청북도 청주시 서원구 사직동 142-1</t>
        </is>
      </c>
      <c r="AB257" s="0" t="inlineStr">
        <is>
          <t>충청북도</t>
        </is>
      </c>
      <c r="AC257" s="0" t="inlineStr">
        <is>
          <t>청주시</t>
        </is>
      </c>
      <c r="AD257" s="0" t="inlineStr">
        <is>
          <t>서원구</t>
        </is>
      </c>
      <c r="AE257" s="0" t="inlineStr">
        <is>
          <t>사직동</t>
        </is>
      </c>
      <c r="AG257" s="0" t="inlineStr">
        <is>
          <t>충청북도 청주시 서원구 사운로172번길 14</t>
        </is>
      </c>
      <c r="AH257" s="0" t="n">
        <v>0</v>
      </c>
      <c r="AI257" s="0" t="n">
        <v>0</v>
      </c>
      <c r="AJ257" s="0" t="n">
        <v>0</v>
      </c>
      <c r="AK257" s="0" t="n">
        <v>0</v>
      </c>
      <c r="AL257" s="0" t="n">
        <v>0</v>
      </c>
    </row>
    <row r="258">
      <c r="A258" s="0" t="inlineStr">
        <is>
          <t>[사직동]</t>
        </is>
      </c>
      <c r="B258" s="0" t="n">
        <v>127144</v>
      </c>
      <c r="C258" s="0" t="n">
        <v>2</v>
      </c>
      <c r="D258" s="0" t="inlineStr">
        <is>
          <t>삼원맨션</t>
        </is>
      </c>
      <c r="E258" s="0" t="inlineStr">
        <is>
          <t>1984.12.</t>
        </is>
      </c>
      <c r="F258" s="0" t="n">
        <v>45</v>
      </c>
      <c r="G258" s="0" t="n">
        <v>26.11</v>
      </c>
      <c r="H258" s="0" t="n">
        <v>86.33</v>
      </c>
      <c r="I258" s="0" t="n">
        <v>18.07</v>
      </c>
      <c r="J258" s="0" t="n">
        <v>59.76</v>
      </c>
      <c r="K258" s="0" t="n">
        <v>10</v>
      </c>
      <c r="T258" s="0" t="n">
        <v>3</v>
      </c>
      <c r="U258" s="0" t="n">
        <v>2</v>
      </c>
      <c r="V258" s="0" t="inlineStr">
        <is>
          <t>복도식</t>
        </is>
      </c>
      <c r="W258" s="0" t="n">
        <v>86</v>
      </c>
      <c r="X258" s="0" t="n">
        <v>5</v>
      </c>
      <c r="Y258" s="0" t="n">
        <v>5</v>
      </c>
      <c r="Z258" s="0" t="inlineStr">
        <is>
          <t>https://new.land.naver.com/complexes/127144?tab=detail&amp;rf=Y</t>
        </is>
      </c>
      <c r="AA258" s="0" t="inlineStr">
        <is>
          <t>충청북도 청주시 서원구 사직동 142-1</t>
        </is>
      </c>
      <c r="AB258" s="0" t="inlineStr">
        <is>
          <t>충청북도</t>
        </is>
      </c>
      <c r="AC258" s="0" t="inlineStr">
        <is>
          <t>청주시</t>
        </is>
      </c>
      <c r="AD258" s="0" t="inlineStr">
        <is>
          <t>서원구</t>
        </is>
      </c>
      <c r="AE258" s="0" t="inlineStr">
        <is>
          <t>사직동</t>
        </is>
      </c>
      <c r="AG258" s="0" t="inlineStr">
        <is>
          <t>충청북도 청주시 서원구 사운로172번길 14</t>
        </is>
      </c>
      <c r="AH258" s="0" t="n">
        <v>0</v>
      </c>
      <c r="AI258" s="0" t="n">
        <v>0</v>
      </c>
      <c r="AJ258" s="0" t="n">
        <v>0</v>
      </c>
      <c r="AK258" s="0" t="n">
        <v>0</v>
      </c>
      <c r="AL258" s="0" t="n">
        <v>0</v>
      </c>
    </row>
    <row r="259">
      <c r="A259" s="0" t="inlineStr">
        <is>
          <t>[사직동]</t>
        </is>
      </c>
      <c r="B259" s="0" t="n">
        <v>127144</v>
      </c>
      <c r="C259" s="0" t="n">
        <v>3</v>
      </c>
      <c r="D259" s="0" t="inlineStr">
        <is>
          <t>삼원맨션</t>
        </is>
      </c>
      <c r="E259" s="0" t="inlineStr">
        <is>
          <t>1984.12.</t>
        </is>
      </c>
      <c r="F259" s="0" t="n">
        <v>45</v>
      </c>
      <c r="G259" s="0" t="n">
        <v>26.71</v>
      </c>
      <c r="H259" s="0" t="n">
        <v>88.31</v>
      </c>
      <c r="I259" s="0" t="n">
        <v>18.67</v>
      </c>
      <c r="J259" s="0" t="n">
        <v>61.74</v>
      </c>
      <c r="K259" s="0" t="n">
        <v>4</v>
      </c>
      <c r="T259" s="0" t="n">
        <v>3</v>
      </c>
      <c r="U259" s="0" t="n">
        <v>2</v>
      </c>
      <c r="V259" s="0" t="inlineStr">
        <is>
          <t>복도식</t>
        </is>
      </c>
      <c r="W259" s="0" t="n">
        <v>88</v>
      </c>
      <c r="X259" s="0" t="n">
        <v>5</v>
      </c>
      <c r="Y259" s="0" t="n">
        <v>5</v>
      </c>
      <c r="Z259" s="0" t="inlineStr">
        <is>
          <t>https://new.land.naver.com/complexes/127144?tab=detail&amp;rf=Y</t>
        </is>
      </c>
      <c r="AA259" s="0" t="inlineStr">
        <is>
          <t>충청북도 청주시 서원구 사직동 142-1</t>
        </is>
      </c>
      <c r="AB259" s="0" t="inlineStr">
        <is>
          <t>충청북도</t>
        </is>
      </c>
      <c r="AC259" s="0" t="inlineStr">
        <is>
          <t>청주시</t>
        </is>
      </c>
      <c r="AD259" s="0" t="inlineStr">
        <is>
          <t>서원구</t>
        </is>
      </c>
      <c r="AE259" s="0" t="inlineStr">
        <is>
          <t>사직동</t>
        </is>
      </c>
      <c r="AG259" s="0" t="inlineStr">
        <is>
          <t>충청북도 청주시 서원구 사운로172번길 14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[사직동]</t>
        </is>
      </c>
      <c r="B260" s="0" t="n">
        <v>127144</v>
      </c>
      <c r="C260" s="0" t="n">
        <v>4</v>
      </c>
      <c r="D260" s="0" t="inlineStr">
        <is>
          <t>삼원맨션</t>
        </is>
      </c>
      <c r="E260" s="0" t="inlineStr">
        <is>
          <t>1984.12.</t>
        </is>
      </c>
      <c r="F260" s="0" t="n">
        <v>45</v>
      </c>
      <c r="G260" s="0" t="n">
        <v>27.8</v>
      </c>
      <c r="H260" s="0" t="n">
        <v>91.91</v>
      </c>
      <c r="I260" s="0" t="n">
        <v>19.76</v>
      </c>
      <c r="J260" s="0" t="n">
        <v>65.34</v>
      </c>
      <c r="K260" s="0" t="n">
        <v>30</v>
      </c>
      <c r="T260" s="0" t="n">
        <v>3</v>
      </c>
      <c r="U260" s="0" t="n">
        <v>2</v>
      </c>
      <c r="V260" s="0" t="inlineStr">
        <is>
          <t>복도식</t>
        </is>
      </c>
      <c r="W260" s="0" t="n">
        <v>91</v>
      </c>
      <c r="X260" s="0" t="n">
        <v>5</v>
      </c>
      <c r="Y260" s="0" t="n">
        <v>5</v>
      </c>
      <c r="Z260" s="0" t="inlineStr">
        <is>
          <t>https://new.land.naver.com/complexes/127144?tab=detail&amp;rf=Y</t>
        </is>
      </c>
      <c r="AA260" s="0" t="inlineStr">
        <is>
          <t>충청북도 청주시 서원구 사직동 142-1</t>
        </is>
      </c>
      <c r="AB260" s="0" t="inlineStr">
        <is>
          <t>충청북도</t>
        </is>
      </c>
      <c r="AC260" s="0" t="inlineStr">
        <is>
          <t>청주시</t>
        </is>
      </c>
      <c r="AD260" s="0" t="inlineStr">
        <is>
          <t>서원구</t>
        </is>
      </c>
      <c r="AE260" s="0" t="inlineStr">
        <is>
          <t>사직동</t>
        </is>
      </c>
      <c r="AG260" s="0" t="inlineStr">
        <is>
          <t>충청북도 청주시 서원구 사운로172번길 14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[사직동]</t>
        </is>
      </c>
      <c r="B261" s="0" t="n">
        <v>106233</v>
      </c>
      <c r="C261" s="0" t="n">
        <v>1</v>
      </c>
      <c r="D261" s="0" t="inlineStr">
        <is>
          <t>백두</t>
        </is>
      </c>
      <c r="E261" s="0" t="inlineStr">
        <is>
          <t>1992.12.</t>
        </is>
      </c>
      <c r="F261" s="0" t="n">
        <v>49</v>
      </c>
      <c r="G261" s="0" t="n">
        <v>18.88</v>
      </c>
      <c r="H261" s="0" t="n">
        <v>62.44</v>
      </c>
      <c r="I261" s="0" t="n">
        <v>12.93</v>
      </c>
      <c r="J261" s="0" t="n">
        <v>42.76</v>
      </c>
      <c r="K261" s="0" t="n">
        <v>1</v>
      </c>
      <c r="T261" s="0" t="n">
        <v>2</v>
      </c>
      <c r="U261" s="0" t="n">
        <v>1</v>
      </c>
      <c r="V261" s="0" t="inlineStr">
        <is>
          <t>복도식</t>
        </is>
      </c>
      <c r="W261" s="0" t="inlineStr">
        <is>
          <t>62B</t>
        </is>
      </c>
      <c r="X261" s="0" t="n">
        <v>5</v>
      </c>
      <c r="Y261" s="0" t="n">
        <v>5</v>
      </c>
      <c r="Z261" s="0" t="inlineStr">
        <is>
          <t>https://new.land.naver.com/complexes/106233?tab=detail&amp;rf=Y</t>
        </is>
      </c>
      <c r="AA261" s="0" t="inlineStr">
        <is>
          <t>충청북도 청주시 서원구 사직동 628</t>
        </is>
      </c>
      <c r="AB261" s="0" t="inlineStr">
        <is>
          <t>충청북도</t>
        </is>
      </c>
      <c r="AC261" s="0" t="inlineStr">
        <is>
          <t>청주시</t>
        </is>
      </c>
      <c r="AD261" s="0" t="inlineStr">
        <is>
          <t>서원구</t>
        </is>
      </c>
      <c r="AE261" s="0" t="inlineStr">
        <is>
          <t>사직동</t>
        </is>
      </c>
      <c r="AG261" s="0" t="inlineStr">
        <is>
          <t>충청북도 청주시 서원구 호국로26번길 22</t>
        </is>
      </c>
      <c r="AH261" s="0" t="n">
        <v>0</v>
      </c>
      <c r="AI261" s="0" t="n">
        <v>0</v>
      </c>
      <c r="AJ261" s="0" t="n">
        <v>0</v>
      </c>
      <c r="AK261" s="0" t="n">
        <v>38</v>
      </c>
      <c r="AL261" s="0" t="n">
        <v>0.78</v>
      </c>
    </row>
    <row r="262">
      <c r="A262" s="0" t="inlineStr">
        <is>
          <t>[사직동]</t>
        </is>
      </c>
      <c r="B262" s="0" t="n">
        <v>106233</v>
      </c>
      <c r="C262" s="0" t="n">
        <v>2</v>
      </c>
      <c r="D262" s="0" t="inlineStr">
        <is>
          <t>백두</t>
        </is>
      </c>
      <c r="E262" s="0" t="inlineStr">
        <is>
          <t>1992.12.</t>
        </is>
      </c>
      <c r="F262" s="0" t="n">
        <v>49</v>
      </c>
      <c r="G262" s="0" t="n">
        <v>19.4</v>
      </c>
      <c r="H262" s="0" t="n">
        <v>64.16</v>
      </c>
      <c r="I262" s="0" t="n">
        <v>13.32</v>
      </c>
      <c r="J262" s="0" t="n">
        <v>44.06</v>
      </c>
      <c r="K262" s="0" t="n">
        <v>1</v>
      </c>
      <c r="T262" s="0" t="n">
        <v>2</v>
      </c>
      <c r="U262" s="0" t="n">
        <v>1</v>
      </c>
      <c r="V262" s="0" t="inlineStr">
        <is>
          <t>복도식</t>
        </is>
      </c>
      <c r="W262" s="0" t="inlineStr">
        <is>
          <t>64A</t>
        </is>
      </c>
      <c r="X262" s="0" t="n">
        <v>5</v>
      </c>
      <c r="Y262" s="0" t="n">
        <v>5</v>
      </c>
      <c r="Z262" s="0" t="inlineStr">
        <is>
          <t>https://new.land.naver.com/complexes/106233?tab=detail&amp;rf=Y</t>
        </is>
      </c>
      <c r="AA262" s="0" t="inlineStr">
        <is>
          <t>충청북도 청주시 서원구 사직동 628</t>
        </is>
      </c>
      <c r="AB262" s="0" t="inlineStr">
        <is>
          <t>충청북도</t>
        </is>
      </c>
      <c r="AC262" s="0" t="inlineStr">
        <is>
          <t>청주시</t>
        </is>
      </c>
      <c r="AD262" s="0" t="inlineStr">
        <is>
          <t>서원구</t>
        </is>
      </c>
      <c r="AE262" s="0" t="inlineStr">
        <is>
          <t>사직동</t>
        </is>
      </c>
      <c r="AG262" s="0" t="inlineStr">
        <is>
          <t>충청북도 청주시 서원구 호국로26번길 22</t>
        </is>
      </c>
      <c r="AH262" s="0" t="n">
        <v>0</v>
      </c>
      <c r="AI262" s="0" t="n">
        <v>0</v>
      </c>
      <c r="AJ262" s="0" t="n">
        <v>0</v>
      </c>
      <c r="AK262" s="0" t="n">
        <v>38</v>
      </c>
      <c r="AL262" s="0" t="n">
        <v>0.78</v>
      </c>
    </row>
    <row r="263">
      <c r="A263" s="0" t="inlineStr">
        <is>
          <t>[사직동]</t>
        </is>
      </c>
      <c r="B263" s="0" t="n">
        <v>106233</v>
      </c>
      <c r="C263" s="0" t="n">
        <v>3</v>
      </c>
      <c r="D263" s="0" t="inlineStr">
        <is>
          <t>백두</t>
        </is>
      </c>
      <c r="E263" s="0" t="inlineStr">
        <is>
          <t>1992.12.</t>
        </is>
      </c>
      <c r="F263" s="0" t="n">
        <v>49</v>
      </c>
      <c r="G263" s="0" t="n">
        <v>19.83</v>
      </c>
      <c r="H263" s="0" t="n">
        <v>65.56999999999999</v>
      </c>
      <c r="I263" s="0" t="n">
        <v>13.64</v>
      </c>
      <c r="J263" s="0" t="n">
        <v>45.12</v>
      </c>
      <c r="K263" s="0" t="n">
        <v>1</v>
      </c>
      <c r="T263" s="0" t="n">
        <v>2</v>
      </c>
      <c r="U263" s="0" t="n">
        <v>1</v>
      </c>
      <c r="V263" s="0" t="inlineStr">
        <is>
          <t>복도식</t>
        </is>
      </c>
      <c r="W263" s="0" t="n">
        <v>65</v>
      </c>
      <c r="X263" s="0" t="n">
        <v>5</v>
      </c>
      <c r="Y263" s="0" t="n">
        <v>5</v>
      </c>
      <c r="Z263" s="0" t="inlineStr">
        <is>
          <t>https://new.land.naver.com/complexes/106233?tab=detail&amp;rf=Y</t>
        </is>
      </c>
      <c r="AA263" s="0" t="inlineStr">
        <is>
          <t>충청북도 청주시 서원구 사직동 628</t>
        </is>
      </c>
      <c r="AB263" s="0" t="inlineStr">
        <is>
          <t>충청북도</t>
        </is>
      </c>
      <c r="AC263" s="0" t="inlineStr">
        <is>
          <t>청주시</t>
        </is>
      </c>
      <c r="AD263" s="0" t="inlineStr">
        <is>
          <t>서원구</t>
        </is>
      </c>
      <c r="AE263" s="0" t="inlineStr">
        <is>
          <t>사직동</t>
        </is>
      </c>
      <c r="AG263" s="0" t="inlineStr">
        <is>
          <t>충청북도 청주시 서원구 호국로26번길 22</t>
        </is>
      </c>
      <c r="AH263" s="0" t="n">
        <v>0</v>
      </c>
      <c r="AI263" s="0" t="n">
        <v>0</v>
      </c>
      <c r="AJ263" s="0" t="n">
        <v>0</v>
      </c>
      <c r="AK263" s="0" t="n">
        <v>38</v>
      </c>
      <c r="AL263" s="0" t="n">
        <v>0.78</v>
      </c>
    </row>
    <row r="264">
      <c r="A264" s="0" t="inlineStr">
        <is>
          <t>[사직동]</t>
        </is>
      </c>
      <c r="B264" s="0" t="n">
        <v>106233</v>
      </c>
      <c r="C264" s="0" t="n">
        <v>4</v>
      </c>
      <c r="D264" s="0" t="inlineStr">
        <is>
          <t>백두</t>
        </is>
      </c>
      <c r="E264" s="0" t="inlineStr">
        <is>
          <t>1992.12.</t>
        </is>
      </c>
      <c r="F264" s="0" t="n">
        <v>49</v>
      </c>
      <c r="G264" s="0" t="n">
        <v>20.57</v>
      </c>
      <c r="H264" s="0" t="n">
        <v>68.02</v>
      </c>
      <c r="I264" s="0" t="n">
        <v>14.2</v>
      </c>
      <c r="J264" s="0" t="n">
        <v>46.97</v>
      </c>
      <c r="K264" s="0" t="n">
        <v>4</v>
      </c>
      <c r="T264" s="0" t="n">
        <v>2</v>
      </c>
      <c r="U264" s="0" t="n">
        <v>1</v>
      </c>
      <c r="V264" s="0" t="inlineStr">
        <is>
          <t>복도식</t>
        </is>
      </c>
      <c r="W264" s="0" t="inlineStr">
        <is>
          <t>68A</t>
        </is>
      </c>
      <c r="X264" s="0" t="n">
        <v>5</v>
      </c>
      <c r="Y264" s="0" t="n">
        <v>5</v>
      </c>
      <c r="Z264" s="0" t="inlineStr">
        <is>
          <t>https://new.land.naver.com/complexes/106233?tab=detail&amp;rf=Y</t>
        </is>
      </c>
      <c r="AA264" s="0" t="inlineStr">
        <is>
          <t>충청북도 청주시 서원구 사직동 628</t>
        </is>
      </c>
      <c r="AB264" s="0" t="inlineStr">
        <is>
          <t>충청북도</t>
        </is>
      </c>
      <c r="AC264" s="0" t="inlineStr">
        <is>
          <t>청주시</t>
        </is>
      </c>
      <c r="AD264" s="0" t="inlineStr">
        <is>
          <t>서원구</t>
        </is>
      </c>
      <c r="AE264" s="0" t="inlineStr">
        <is>
          <t>사직동</t>
        </is>
      </c>
      <c r="AG264" s="0" t="inlineStr">
        <is>
          <t>충청북도 청주시 서원구 호국로26번길 22</t>
        </is>
      </c>
      <c r="AH264" s="0" t="n">
        <v>0</v>
      </c>
      <c r="AI264" s="0" t="n">
        <v>0</v>
      </c>
      <c r="AJ264" s="0" t="n">
        <v>0</v>
      </c>
      <c r="AK264" s="0" t="n">
        <v>38</v>
      </c>
      <c r="AL264" s="0" t="n">
        <v>0.78</v>
      </c>
    </row>
    <row r="265">
      <c r="A265" s="0" t="inlineStr">
        <is>
          <t>[사직동]</t>
        </is>
      </c>
      <c r="B265" s="0" t="n">
        <v>106233</v>
      </c>
      <c r="C265" s="0" t="n">
        <v>5</v>
      </c>
      <c r="D265" s="0" t="inlineStr">
        <is>
          <t>백두</t>
        </is>
      </c>
      <c r="E265" s="0" t="inlineStr">
        <is>
          <t>1992.12.</t>
        </is>
      </c>
      <c r="F265" s="0" t="n">
        <v>49</v>
      </c>
      <c r="G265" s="0" t="n">
        <v>21.07</v>
      </c>
      <c r="H265" s="0" t="n">
        <v>69.66</v>
      </c>
      <c r="I265" s="0" t="n">
        <v>14.58</v>
      </c>
      <c r="J265" s="0" t="n">
        <v>48.21</v>
      </c>
      <c r="K265" s="0" t="n">
        <v>2</v>
      </c>
      <c r="T265" s="0" t="n">
        <v>2</v>
      </c>
      <c r="U265" s="0" t="n">
        <v>1</v>
      </c>
      <c r="V265" s="0" t="inlineStr">
        <is>
          <t>복도식</t>
        </is>
      </c>
      <c r="W265" s="0" t="inlineStr">
        <is>
          <t>69B</t>
        </is>
      </c>
      <c r="X265" s="0" t="n">
        <v>5</v>
      </c>
      <c r="Y265" s="0" t="n">
        <v>5</v>
      </c>
      <c r="Z265" s="0" t="inlineStr">
        <is>
          <t>https://new.land.naver.com/complexes/106233?tab=detail&amp;rf=Y</t>
        </is>
      </c>
      <c r="AA265" s="0" t="inlineStr">
        <is>
          <t>충청북도 청주시 서원구 사직동 628</t>
        </is>
      </c>
      <c r="AB265" s="0" t="inlineStr">
        <is>
          <t>충청북도</t>
        </is>
      </c>
      <c r="AC265" s="0" t="inlineStr">
        <is>
          <t>청주시</t>
        </is>
      </c>
      <c r="AD265" s="0" t="inlineStr">
        <is>
          <t>서원구</t>
        </is>
      </c>
      <c r="AE265" s="0" t="inlineStr">
        <is>
          <t>사직동</t>
        </is>
      </c>
      <c r="AG265" s="0" t="inlineStr">
        <is>
          <t>충청북도 청주시 서원구 호국로26번길 22</t>
        </is>
      </c>
      <c r="AH265" s="0" t="n">
        <v>0</v>
      </c>
      <c r="AI265" s="0" t="n">
        <v>0</v>
      </c>
      <c r="AJ265" s="0" t="n">
        <v>0</v>
      </c>
      <c r="AK265" s="0" t="n">
        <v>38</v>
      </c>
      <c r="AL265" s="0" t="n">
        <v>0.78</v>
      </c>
    </row>
    <row r="266">
      <c r="A266" s="0" t="inlineStr">
        <is>
          <t>[사직동]</t>
        </is>
      </c>
      <c r="B266" s="0" t="n">
        <v>106233</v>
      </c>
      <c r="C266" s="0" t="n">
        <v>6</v>
      </c>
      <c r="D266" s="0" t="inlineStr">
        <is>
          <t>백두</t>
        </is>
      </c>
      <c r="E266" s="0" t="inlineStr">
        <is>
          <t>1992.12.</t>
        </is>
      </c>
      <c r="F266" s="0" t="n">
        <v>49</v>
      </c>
      <c r="G266" s="0" t="n">
        <v>21.52</v>
      </c>
      <c r="H266" s="0" t="n">
        <v>71.17</v>
      </c>
      <c r="I266" s="0" t="n">
        <v>14.92</v>
      </c>
      <c r="J266" s="0" t="n">
        <v>49.35</v>
      </c>
      <c r="K266" s="0" t="n">
        <v>4</v>
      </c>
      <c r="T266" s="0" t="n">
        <v>2</v>
      </c>
      <c r="U266" s="0" t="n">
        <v>1</v>
      </c>
      <c r="V266" s="0" t="inlineStr">
        <is>
          <t>복도식</t>
        </is>
      </c>
      <c r="W266" s="0" t="n">
        <v>71</v>
      </c>
      <c r="X266" s="0" t="n">
        <v>5</v>
      </c>
      <c r="Y266" s="0" t="n">
        <v>5</v>
      </c>
      <c r="Z266" s="0" t="inlineStr">
        <is>
          <t>https://new.land.naver.com/complexes/106233?tab=detail&amp;rf=Y</t>
        </is>
      </c>
      <c r="AA266" s="0" t="inlineStr">
        <is>
          <t>충청북도 청주시 서원구 사직동 628</t>
        </is>
      </c>
      <c r="AB266" s="0" t="inlineStr">
        <is>
          <t>충청북도</t>
        </is>
      </c>
      <c r="AC266" s="0" t="inlineStr">
        <is>
          <t>청주시</t>
        </is>
      </c>
      <c r="AD266" s="0" t="inlineStr">
        <is>
          <t>서원구</t>
        </is>
      </c>
      <c r="AE266" s="0" t="inlineStr">
        <is>
          <t>사직동</t>
        </is>
      </c>
      <c r="AG266" s="0" t="inlineStr">
        <is>
          <t>충청북도 청주시 서원구 호국로26번길 22</t>
        </is>
      </c>
      <c r="AH266" s="0" t="n">
        <v>0</v>
      </c>
      <c r="AI266" s="0" t="n">
        <v>0</v>
      </c>
      <c r="AJ266" s="0" t="n">
        <v>0</v>
      </c>
      <c r="AK266" s="0" t="n">
        <v>38</v>
      </c>
      <c r="AL266" s="0" t="n">
        <v>0.78</v>
      </c>
    </row>
    <row r="267">
      <c r="A267" s="0" t="inlineStr">
        <is>
          <t>[사직동]</t>
        </is>
      </c>
      <c r="B267" s="0" t="n">
        <v>106233</v>
      </c>
      <c r="C267" s="0" t="n">
        <v>7</v>
      </c>
      <c r="D267" s="0" t="inlineStr">
        <is>
          <t>백두</t>
        </is>
      </c>
      <c r="E267" s="0" t="inlineStr">
        <is>
          <t>1992.12.</t>
        </is>
      </c>
      <c r="F267" s="0" t="n">
        <v>49</v>
      </c>
      <c r="G267" s="0" t="n">
        <v>22.58</v>
      </c>
      <c r="H267" s="0" t="n">
        <v>74.66</v>
      </c>
      <c r="I267" s="0" t="n">
        <v>15.72</v>
      </c>
      <c r="J267" s="0" t="n">
        <v>51.99</v>
      </c>
      <c r="K267" s="0" t="n">
        <v>10</v>
      </c>
      <c r="T267" s="0" t="n">
        <v>3</v>
      </c>
      <c r="U267" s="0" t="n">
        <v>2</v>
      </c>
      <c r="V267" s="0" t="inlineStr">
        <is>
          <t>복도식</t>
        </is>
      </c>
      <c r="W267" s="0" t="inlineStr">
        <is>
          <t>74B</t>
        </is>
      </c>
      <c r="X267" s="0" t="n">
        <v>5</v>
      </c>
      <c r="Y267" s="0" t="n">
        <v>5</v>
      </c>
      <c r="Z267" s="0" t="inlineStr">
        <is>
          <t>https://new.land.naver.com/complexes/106233?tab=detail&amp;rf=Y</t>
        </is>
      </c>
      <c r="AA267" s="0" t="inlineStr">
        <is>
          <t>충청북도 청주시 서원구 사직동 628</t>
        </is>
      </c>
      <c r="AB267" s="0" t="inlineStr">
        <is>
          <t>충청북도</t>
        </is>
      </c>
      <c r="AC267" s="0" t="inlineStr">
        <is>
          <t>청주시</t>
        </is>
      </c>
      <c r="AD267" s="0" t="inlineStr">
        <is>
          <t>서원구</t>
        </is>
      </c>
      <c r="AE267" s="0" t="inlineStr">
        <is>
          <t>사직동</t>
        </is>
      </c>
      <c r="AG267" s="0" t="inlineStr">
        <is>
          <t>충청북도 청주시 서원구 호국로26번길 22</t>
        </is>
      </c>
      <c r="AH267" s="0" t="n">
        <v>0</v>
      </c>
      <c r="AI267" s="0" t="n">
        <v>0</v>
      </c>
      <c r="AJ267" s="0" t="n">
        <v>0</v>
      </c>
      <c r="AK267" s="0" t="n">
        <v>38</v>
      </c>
      <c r="AL267" s="0" t="n">
        <v>0.78</v>
      </c>
    </row>
    <row r="268">
      <c r="A268" s="0" t="inlineStr">
        <is>
          <t>[사직동]</t>
        </is>
      </c>
      <c r="B268" s="0" t="n">
        <v>106233</v>
      </c>
      <c r="C268" s="0" t="n">
        <v>8</v>
      </c>
      <c r="D268" s="0" t="inlineStr">
        <is>
          <t>백두</t>
        </is>
      </c>
      <c r="E268" s="0" t="inlineStr">
        <is>
          <t>1992.12.</t>
        </is>
      </c>
      <c r="F268" s="0" t="n">
        <v>49</v>
      </c>
      <c r="G268" s="0" t="n">
        <v>23.1</v>
      </c>
      <c r="H268" s="0" t="n">
        <v>76.39</v>
      </c>
      <c r="I268" s="0" t="n">
        <v>16.12</v>
      </c>
      <c r="J268" s="0" t="n">
        <v>53.3</v>
      </c>
      <c r="K268" s="0" t="n">
        <v>5</v>
      </c>
      <c r="T268" s="0" t="n">
        <v>3</v>
      </c>
      <c r="U268" s="0" t="n">
        <v>2</v>
      </c>
      <c r="V268" s="0" t="inlineStr">
        <is>
          <t>복도식</t>
        </is>
      </c>
      <c r="W268" s="0" t="inlineStr">
        <is>
          <t>76A</t>
        </is>
      </c>
      <c r="X268" s="0" t="n">
        <v>5</v>
      </c>
      <c r="Y268" s="0" t="n">
        <v>5</v>
      </c>
      <c r="Z268" s="0" t="inlineStr">
        <is>
          <t>https://new.land.naver.com/complexes/106233?tab=detail&amp;rf=Y</t>
        </is>
      </c>
      <c r="AA268" s="0" t="inlineStr">
        <is>
          <t>충청북도 청주시 서원구 사직동 628</t>
        </is>
      </c>
      <c r="AB268" s="0" t="inlineStr">
        <is>
          <t>충청북도</t>
        </is>
      </c>
      <c r="AC268" s="0" t="inlineStr">
        <is>
          <t>청주시</t>
        </is>
      </c>
      <c r="AD268" s="0" t="inlineStr">
        <is>
          <t>서원구</t>
        </is>
      </c>
      <c r="AE268" s="0" t="inlineStr">
        <is>
          <t>사직동</t>
        </is>
      </c>
      <c r="AG268" s="0" t="inlineStr">
        <is>
          <t>충청북도 청주시 서원구 호국로26번길 22</t>
        </is>
      </c>
      <c r="AH268" s="0" t="n">
        <v>0</v>
      </c>
      <c r="AI268" s="0" t="n">
        <v>0</v>
      </c>
      <c r="AJ268" s="0" t="n">
        <v>0</v>
      </c>
      <c r="AK268" s="0" t="n">
        <v>38</v>
      </c>
      <c r="AL268" s="0" t="n">
        <v>0.78</v>
      </c>
    </row>
    <row r="269">
      <c r="A269" s="0" t="inlineStr">
        <is>
          <t>[사직동]</t>
        </is>
      </c>
      <c r="B269" s="0" t="n">
        <v>106233</v>
      </c>
      <c r="C269" s="0" t="n">
        <v>9</v>
      </c>
      <c r="D269" s="0" t="inlineStr">
        <is>
          <t>백두</t>
        </is>
      </c>
      <c r="E269" s="0" t="inlineStr">
        <is>
          <t>1992.12.</t>
        </is>
      </c>
      <c r="F269" s="0" t="n">
        <v>49</v>
      </c>
      <c r="G269" s="0" t="n">
        <v>25.02</v>
      </c>
      <c r="H269" s="0" t="n">
        <v>82.73</v>
      </c>
      <c r="I269" s="0" t="n">
        <v>17.57</v>
      </c>
      <c r="J269" s="0" t="n">
        <v>58.09</v>
      </c>
      <c r="K269" s="0" t="n">
        <v>20</v>
      </c>
      <c r="T269" s="0" t="n">
        <v>3</v>
      </c>
      <c r="U269" s="0" t="n">
        <v>2</v>
      </c>
      <c r="V269" s="0" t="inlineStr">
        <is>
          <t>복도식</t>
        </is>
      </c>
      <c r="W269" s="0" t="inlineStr">
        <is>
          <t>82A</t>
        </is>
      </c>
      <c r="X269" s="0" t="n">
        <v>5</v>
      </c>
      <c r="Y269" s="0" t="n">
        <v>5</v>
      </c>
      <c r="Z269" s="0" t="inlineStr">
        <is>
          <t>https://new.land.naver.com/complexes/106233?tab=detail&amp;rf=Y</t>
        </is>
      </c>
      <c r="AA269" s="0" t="inlineStr">
        <is>
          <t>충청북도 청주시 서원구 사직동 628</t>
        </is>
      </c>
      <c r="AB269" s="0" t="inlineStr">
        <is>
          <t>충청북도</t>
        </is>
      </c>
      <c r="AC269" s="0" t="inlineStr">
        <is>
          <t>청주시</t>
        </is>
      </c>
      <c r="AD269" s="0" t="inlineStr">
        <is>
          <t>서원구</t>
        </is>
      </c>
      <c r="AE269" s="0" t="inlineStr">
        <is>
          <t>사직동</t>
        </is>
      </c>
      <c r="AG269" s="0" t="inlineStr">
        <is>
          <t>충청북도 청주시 서원구 호국로26번길 22</t>
        </is>
      </c>
      <c r="AH269" s="0" t="n">
        <v>0</v>
      </c>
      <c r="AI269" s="0" t="n">
        <v>0</v>
      </c>
      <c r="AJ269" s="0" t="n">
        <v>0</v>
      </c>
      <c r="AK269" s="0" t="n">
        <v>38</v>
      </c>
      <c r="AL269" s="0" t="n">
        <v>0.78</v>
      </c>
    </row>
    <row r="270">
      <c r="A270" s="0" t="inlineStr">
        <is>
          <t>[사직동]</t>
        </is>
      </c>
      <c r="B270" s="0" t="n">
        <v>106233</v>
      </c>
      <c r="C270" s="0" t="n">
        <v>10</v>
      </c>
      <c r="D270" s="0" t="inlineStr">
        <is>
          <t>백두</t>
        </is>
      </c>
      <c r="E270" s="0" t="inlineStr">
        <is>
          <t>1992.12.</t>
        </is>
      </c>
      <c r="F270" s="0" t="n">
        <v>49</v>
      </c>
      <c r="G270" s="0" t="n">
        <v>25.46</v>
      </c>
      <c r="H270" s="0" t="n">
        <v>84.19</v>
      </c>
      <c r="I270" s="0" t="n">
        <v>17.9</v>
      </c>
      <c r="J270" s="0" t="n">
        <v>59.19</v>
      </c>
      <c r="K270" s="0" t="n">
        <v>1</v>
      </c>
      <c r="T270" s="0" t="n">
        <v>3</v>
      </c>
      <c r="U270" s="0" t="n">
        <v>2</v>
      </c>
      <c r="V270" s="0" t="inlineStr">
        <is>
          <t>복도식</t>
        </is>
      </c>
      <c r="W270" s="0" t="inlineStr">
        <is>
          <t>84B</t>
        </is>
      </c>
      <c r="X270" s="0" t="n">
        <v>5</v>
      </c>
      <c r="Y270" s="0" t="n">
        <v>5</v>
      </c>
      <c r="Z270" s="0" t="inlineStr">
        <is>
          <t>https://new.land.naver.com/complexes/106233?tab=detail&amp;rf=Y</t>
        </is>
      </c>
      <c r="AA270" s="0" t="inlineStr">
        <is>
          <t>충청북도 청주시 서원구 사직동 628</t>
        </is>
      </c>
      <c r="AB270" s="0" t="inlineStr">
        <is>
          <t>충청북도</t>
        </is>
      </c>
      <c r="AC270" s="0" t="inlineStr">
        <is>
          <t>청주시</t>
        </is>
      </c>
      <c r="AD270" s="0" t="inlineStr">
        <is>
          <t>서원구</t>
        </is>
      </c>
      <c r="AE270" s="0" t="inlineStr">
        <is>
          <t>사직동</t>
        </is>
      </c>
      <c r="AG270" s="0" t="inlineStr">
        <is>
          <t>충청북도 청주시 서원구 호국로26번길 22</t>
        </is>
      </c>
      <c r="AH270" s="0" t="n">
        <v>0</v>
      </c>
      <c r="AI270" s="0" t="n">
        <v>0</v>
      </c>
      <c r="AJ270" s="0" t="n">
        <v>0</v>
      </c>
      <c r="AK270" s="0" t="n">
        <v>38</v>
      </c>
      <c r="AL270" s="0" t="n">
        <v>0.78</v>
      </c>
    </row>
    <row r="271">
      <c r="A271" s="0" t="inlineStr">
        <is>
          <t>[사직동]</t>
        </is>
      </c>
      <c r="B271" s="0" t="n">
        <v>105216</v>
      </c>
      <c r="C271" s="0" t="n">
        <v>1</v>
      </c>
      <c r="D271" s="0" t="inlineStr">
        <is>
          <t>미호</t>
        </is>
      </c>
      <c r="E271" s="0" t="inlineStr">
        <is>
          <t>1979.10.</t>
        </is>
      </c>
      <c r="F271" s="0" t="n">
        <v>110</v>
      </c>
      <c r="G271" s="0" t="n">
        <v>24.66</v>
      </c>
      <c r="H271" s="0" t="n">
        <v>81.53</v>
      </c>
      <c r="I271" s="0" t="n">
        <v>21.62</v>
      </c>
      <c r="J271" s="0" t="n">
        <v>71.5</v>
      </c>
      <c r="K271" s="0" t="n">
        <v>110</v>
      </c>
      <c r="T271" s="0" t="n">
        <v>3</v>
      </c>
      <c r="U271" s="0" t="n">
        <v>1</v>
      </c>
      <c r="V271" s="0" t="inlineStr">
        <is>
          <t>복도식</t>
        </is>
      </c>
      <c r="W271" s="0" t="n">
        <v>81</v>
      </c>
      <c r="X271" s="0" t="n">
        <v>6</v>
      </c>
      <c r="Y271" s="0" t="n">
        <v>6</v>
      </c>
      <c r="Z271" s="0" t="inlineStr">
        <is>
          <t>https://new.land.naver.com/complexes/105216?tab=detail&amp;rf=Y</t>
        </is>
      </c>
      <c r="AA271" s="0" t="inlineStr">
        <is>
          <t>충청북도 청주시 서원구 사직동 265-7</t>
        </is>
      </c>
      <c r="AB271" s="0" t="inlineStr">
        <is>
          <t>충청북도</t>
        </is>
      </c>
      <c r="AC271" s="0" t="inlineStr">
        <is>
          <t>청주시</t>
        </is>
      </c>
      <c r="AD271" s="0" t="inlineStr">
        <is>
          <t>서원구</t>
        </is>
      </c>
      <c r="AE271" s="0" t="inlineStr">
        <is>
          <t>사직동</t>
        </is>
      </c>
      <c r="AG271" s="0" t="inlineStr">
        <is>
          <t>충청북도 청주시 서원구 사운로99번길 23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[사직동]</t>
        </is>
      </c>
      <c r="B272" s="0" t="n">
        <v>144462</v>
      </c>
      <c r="C272" s="0" t="n">
        <v>1</v>
      </c>
      <c r="D272" s="0" t="inlineStr">
        <is>
          <t>로얄클래스</t>
        </is>
      </c>
      <c r="E272" s="0" t="inlineStr">
        <is>
          <t>2021.02.</t>
        </is>
      </c>
      <c r="F272" s="0" t="n">
        <v>7</v>
      </c>
      <c r="G272" s="0" t="n">
        <v>22.94</v>
      </c>
      <c r="H272" s="0" t="n">
        <v>75.86</v>
      </c>
      <c r="I272" s="0" t="n">
        <v>18.37</v>
      </c>
      <c r="J272" s="0" t="n">
        <v>60.73</v>
      </c>
      <c r="K272" s="0" t="n">
        <v>5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75</v>
      </c>
      <c r="X272" s="0" t="n">
        <v>10</v>
      </c>
      <c r="Y272" s="0" t="n">
        <v>9</v>
      </c>
      <c r="Z272" s="0" t="inlineStr">
        <is>
          <t>https://new.land.naver.com/complexes/144462?tab=detail&amp;rf=Y</t>
        </is>
      </c>
      <c r="AA272" s="0" t="inlineStr">
        <is>
          <t>충청북도 청주시 서원구 사직동 6-168</t>
        </is>
      </c>
      <c r="AB272" s="0" t="inlineStr">
        <is>
          <t>충청북도</t>
        </is>
      </c>
      <c r="AC272" s="0" t="inlineStr">
        <is>
          <t>청주시</t>
        </is>
      </c>
      <c r="AD272" s="0" t="inlineStr">
        <is>
          <t>서원구</t>
        </is>
      </c>
      <c r="AE272" s="0" t="inlineStr">
        <is>
          <t>사직동</t>
        </is>
      </c>
      <c r="AG272" s="0" t="inlineStr">
        <is>
          <t>충청북도 청주시 서원구 사운로68번길 9</t>
        </is>
      </c>
      <c r="AH272" s="0" t="n">
        <v>0</v>
      </c>
      <c r="AI272" s="0" t="n">
        <v>464</v>
      </c>
      <c r="AJ272" s="0" t="n">
        <v>69</v>
      </c>
      <c r="AK272" s="0" t="n">
        <v>7</v>
      </c>
      <c r="AL272" s="0" t="n">
        <v>1</v>
      </c>
    </row>
    <row r="273">
      <c r="A273" s="0" t="inlineStr">
        <is>
          <t>[사직동]</t>
        </is>
      </c>
      <c r="B273" s="0" t="n">
        <v>144462</v>
      </c>
      <c r="C273" s="0" t="n">
        <v>2</v>
      </c>
      <c r="D273" s="0" t="inlineStr">
        <is>
          <t>로얄클래스</t>
        </is>
      </c>
      <c r="E273" s="0" t="inlineStr">
        <is>
          <t>2021.02.</t>
        </is>
      </c>
      <c r="F273" s="0" t="n">
        <v>7</v>
      </c>
      <c r="G273" s="0" t="n">
        <v>32.08</v>
      </c>
      <c r="H273" s="0" t="n">
        <v>106.07</v>
      </c>
      <c r="I273" s="0" t="n">
        <v>25.68</v>
      </c>
      <c r="J273" s="0" t="n">
        <v>84.90000000000001</v>
      </c>
      <c r="K273" s="0" t="n">
        <v>2</v>
      </c>
      <c r="T273" s="0" t="n">
        <v>3</v>
      </c>
      <c r="U273" s="0" t="n">
        <v>2</v>
      </c>
      <c r="V273" s="0" t="inlineStr">
        <is>
          <t>계단식</t>
        </is>
      </c>
      <c r="W273" s="0" t="n">
        <v>106</v>
      </c>
      <c r="X273" s="0" t="n">
        <v>10</v>
      </c>
      <c r="Y273" s="0" t="n">
        <v>9</v>
      </c>
      <c r="Z273" s="0" t="inlineStr">
        <is>
          <t>https://new.land.naver.com/complexes/144462?tab=detail&amp;rf=Y</t>
        </is>
      </c>
      <c r="AA273" s="0" t="inlineStr">
        <is>
          <t>충청북도 청주시 서원구 사직동 6-168</t>
        </is>
      </c>
      <c r="AB273" s="0" t="inlineStr">
        <is>
          <t>충청북도</t>
        </is>
      </c>
      <c r="AC273" s="0" t="inlineStr">
        <is>
          <t>청주시</t>
        </is>
      </c>
      <c r="AD273" s="0" t="inlineStr">
        <is>
          <t>서원구</t>
        </is>
      </c>
      <c r="AE273" s="0" t="inlineStr">
        <is>
          <t>사직동</t>
        </is>
      </c>
      <c r="AG273" s="0" t="inlineStr">
        <is>
          <t>충청북도 청주시 서원구 사운로68번길 9</t>
        </is>
      </c>
      <c r="AH273" s="0" t="n">
        <v>0</v>
      </c>
      <c r="AI273" s="0" t="n">
        <v>464</v>
      </c>
      <c r="AJ273" s="0" t="n">
        <v>69</v>
      </c>
      <c r="AK273" s="0" t="n">
        <v>7</v>
      </c>
      <c r="AL273" s="0" t="n">
        <v>1</v>
      </c>
    </row>
    <row r="274">
      <c r="A274" s="0" t="inlineStr">
        <is>
          <t>[사직동]</t>
        </is>
      </c>
      <c r="B274" s="0" t="n">
        <v>107954</v>
      </c>
      <c r="C274" s="0" t="n">
        <v>1</v>
      </c>
      <c r="D274" s="0" t="inlineStr">
        <is>
          <t>부강</t>
        </is>
      </c>
      <c r="E274" s="0" t="inlineStr">
        <is>
          <t>1985.04.</t>
        </is>
      </c>
      <c r="F274" s="0" t="n">
        <v>40</v>
      </c>
      <c r="G274" s="0" t="n">
        <v>22.78</v>
      </c>
      <c r="H274" s="0" t="n">
        <v>75.33</v>
      </c>
      <c r="I274" s="0" t="n">
        <v>20.47</v>
      </c>
      <c r="J274" s="0" t="n">
        <v>67.68000000000001</v>
      </c>
      <c r="K274" s="0" t="n">
        <v>10</v>
      </c>
      <c r="T274" s="0" t="n">
        <v>3</v>
      </c>
      <c r="U274" s="0" t="n">
        <v>2</v>
      </c>
      <c r="V274" s="0" t="inlineStr">
        <is>
          <t>복도식</t>
        </is>
      </c>
      <c r="W274" s="0" t="n">
        <v>75</v>
      </c>
      <c r="X274" s="0" t="n">
        <v>5</v>
      </c>
      <c r="Y274" s="0" t="n">
        <v>5</v>
      </c>
      <c r="Z274" s="0" t="inlineStr">
        <is>
          <t>https://new.land.naver.com/complexes/107954?tab=detail&amp;rf=Y</t>
        </is>
      </c>
      <c r="AA274" s="0" t="inlineStr">
        <is>
          <t>충청북도 청주시 서원구 사직동 247-1</t>
        </is>
      </c>
      <c r="AB274" s="0" t="inlineStr">
        <is>
          <t>충청북도</t>
        </is>
      </c>
      <c r="AC274" s="0" t="inlineStr">
        <is>
          <t>청주시</t>
        </is>
      </c>
      <c r="AD274" s="0" t="inlineStr">
        <is>
          <t>서원구</t>
        </is>
      </c>
      <c r="AE274" s="0" t="inlineStr">
        <is>
          <t>사직동</t>
        </is>
      </c>
      <c r="AG274" s="0" t="inlineStr">
        <is>
          <t>충청북도 청주시 서원구 호국로162번길 22</t>
        </is>
      </c>
      <c r="AH274" s="0" t="n">
        <v>0</v>
      </c>
      <c r="AI274" s="0" t="n">
        <v>0</v>
      </c>
      <c r="AJ274" s="0" t="n">
        <v>0</v>
      </c>
      <c r="AK274" s="0" t="n">
        <v>0</v>
      </c>
      <c r="AL274" s="0" t="n">
        <v>0</v>
      </c>
    </row>
    <row r="275">
      <c r="A275" s="0" t="inlineStr">
        <is>
          <t>[사직동]</t>
        </is>
      </c>
      <c r="B275" s="0" t="n">
        <v>107954</v>
      </c>
      <c r="C275" s="0" t="n">
        <v>2</v>
      </c>
      <c r="D275" s="0" t="inlineStr">
        <is>
          <t>부강</t>
        </is>
      </c>
      <c r="E275" s="0" t="inlineStr">
        <is>
          <t>1985.04.</t>
        </is>
      </c>
      <c r="F275" s="0" t="n">
        <v>40</v>
      </c>
      <c r="G275" s="0" t="n">
        <v>23.54</v>
      </c>
      <c r="H275" s="0" t="n">
        <v>77.84999999999999</v>
      </c>
      <c r="I275" s="0" t="n">
        <v>21.23</v>
      </c>
      <c r="J275" s="0" t="n">
        <v>70.2</v>
      </c>
      <c r="K275" s="0" t="n">
        <v>20</v>
      </c>
      <c r="T275" s="0" t="n">
        <v>3</v>
      </c>
      <c r="U275" s="0" t="n">
        <v>2</v>
      </c>
      <c r="V275" s="0" t="inlineStr">
        <is>
          <t>복도식</t>
        </is>
      </c>
      <c r="W275" s="0" t="inlineStr">
        <is>
          <t>77B</t>
        </is>
      </c>
      <c r="X275" s="0" t="n">
        <v>5</v>
      </c>
      <c r="Y275" s="0" t="n">
        <v>5</v>
      </c>
      <c r="Z275" s="0" t="inlineStr">
        <is>
          <t>https://new.land.naver.com/complexes/107954?tab=detail&amp;rf=Y</t>
        </is>
      </c>
      <c r="AA275" s="0" t="inlineStr">
        <is>
          <t>충청북도 청주시 서원구 사직동 247-1</t>
        </is>
      </c>
      <c r="AB275" s="0" t="inlineStr">
        <is>
          <t>충청북도</t>
        </is>
      </c>
      <c r="AC275" s="0" t="inlineStr">
        <is>
          <t>청주시</t>
        </is>
      </c>
      <c r="AD275" s="0" t="inlineStr">
        <is>
          <t>서원구</t>
        </is>
      </c>
      <c r="AE275" s="0" t="inlineStr">
        <is>
          <t>사직동</t>
        </is>
      </c>
      <c r="AG275" s="0" t="inlineStr">
        <is>
          <t>충청북도 청주시 서원구 호국로162번길 22</t>
        </is>
      </c>
      <c r="AH275" s="0" t="n">
        <v>0</v>
      </c>
      <c r="AI275" s="0" t="n">
        <v>0</v>
      </c>
      <c r="AJ275" s="0" t="n">
        <v>0</v>
      </c>
      <c r="AK275" s="0" t="n">
        <v>0</v>
      </c>
      <c r="AL275" s="0" t="n">
        <v>0</v>
      </c>
    </row>
    <row r="276">
      <c r="A276" s="0" t="inlineStr">
        <is>
          <t>[사직동]</t>
        </is>
      </c>
      <c r="B276" s="0" t="n">
        <v>107954</v>
      </c>
      <c r="C276" s="0" t="n">
        <v>3</v>
      </c>
      <c r="D276" s="0" t="inlineStr">
        <is>
          <t>부강</t>
        </is>
      </c>
      <c r="E276" s="0" t="inlineStr">
        <is>
          <t>1985.04.</t>
        </is>
      </c>
      <c r="F276" s="0" t="n">
        <v>40</v>
      </c>
      <c r="G276" s="0" t="n">
        <v>23.52</v>
      </c>
      <c r="H276" s="0" t="n">
        <v>77.76000000000001</v>
      </c>
      <c r="I276" s="0" t="n">
        <v>21.2</v>
      </c>
      <c r="J276" s="0" t="n">
        <v>70.11</v>
      </c>
      <c r="K276" s="0" t="n">
        <v>10</v>
      </c>
      <c r="T276" s="0" t="n">
        <v>3</v>
      </c>
      <c r="U276" s="0" t="n">
        <v>2</v>
      </c>
      <c r="V276" s="0" t="inlineStr">
        <is>
          <t>복도식</t>
        </is>
      </c>
      <c r="W276" s="0" t="inlineStr">
        <is>
          <t>77A</t>
        </is>
      </c>
      <c r="X276" s="0" t="n">
        <v>5</v>
      </c>
      <c r="Y276" s="0" t="n">
        <v>5</v>
      </c>
      <c r="Z276" s="0" t="inlineStr">
        <is>
          <t>https://new.land.naver.com/complexes/107954?tab=detail&amp;rf=Y</t>
        </is>
      </c>
      <c r="AA276" s="0" t="inlineStr">
        <is>
          <t>충청북도 청주시 서원구 사직동 247-1</t>
        </is>
      </c>
      <c r="AB276" s="0" t="inlineStr">
        <is>
          <t>충청북도</t>
        </is>
      </c>
      <c r="AC276" s="0" t="inlineStr">
        <is>
          <t>청주시</t>
        </is>
      </c>
      <c r="AD276" s="0" t="inlineStr">
        <is>
          <t>서원구</t>
        </is>
      </c>
      <c r="AE276" s="0" t="inlineStr">
        <is>
          <t>사직동</t>
        </is>
      </c>
      <c r="AG276" s="0" t="inlineStr">
        <is>
          <t>충청북도 청주시 서원구 호국로162번길 22</t>
        </is>
      </c>
      <c r="AH276" s="0" t="n">
        <v>0</v>
      </c>
      <c r="AI276" s="0" t="n">
        <v>0</v>
      </c>
      <c r="AJ276" s="0" t="n">
        <v>0</v>
      </c>
      <c r="AK276" s="0" t="n">
        <v>0</v>
      </c>
      <c r="AL276" s="0" t="n">
        <v>0</v>
      </c>
    </row>
    <row r="277">
      <c r="A277" s="0" t="inlineStr">
        <is>
          <t>[사직동]</t>
        </is>
      </c>
      <c r="B277" s="0" t="n">
        <v>112872</v>
      </c>
      <c r="C277" s="0" t="n">
        <v>1</v>
      </c>
      <c r="D277" s="0" t="inlineStr">
        <is>
          <t>덕희아파트</t>
        </is>
      </c>
      <c r="E277" s="0" t="inlineStr">
        <is>
          <t>1994.02.</t>
        </is>
      </c>
      <c r="F277" s="0" t="n">
        <v>203</v>
      </c>
      <c r="G277" s="0" t="n">
        <v>9.630000000000001</v>
      </c>
      <c r="H277" s="0" t="n">
        <v>31.84</v>
      </c>
      <c r="I277" s="0" t="n">
        <v>6.71</v>
      </c>
      <c r="J277" s="0" t="n">
        <v>22.2</v>
      </c>
      <c r="K277" s="0" t="n">
        <v>203</v>
      </c>
      <c r="T277" s="0" t="n">
        <v>1</v>
      </c>
      <c r="U277" s="0" t="n">
        <v>1</v>
      </c>
      <c r="V277" s="0" t="inlineStr">
        <is>
          <t>복도식</t>
        </is>
      </c>
      <c r="W277" s="0" t="n">
        <v>31</v>
      </c>
      <c r="X277" s="0" t="n">
        <v>12</v>
      </c>
      <c r="Y277" s="0" t="n">
        <v>12</v>
      </c>
      <c r="Z277" s="0" t="inlineStr">
        <is>
          <t>https://new.land.naver.com/complexes/112872?tab=detail&amp;rf=Y</t>
        </is>
      </c>
      <c r="AA277" s="0" t="inlineStr">
        <is>
          <t>충청북도 청주시 서원구 사직동 358-5</t>
        </is>
      </c>
      <c r="AB277" s="0" t="inlineStr">
        <is>
          <t>충청북도</t>
        </is>
      </c>
      <c r="AC277" s="0" t="inlineStr">
        <is>
          <t>청주시</t>
        </is>
      </c>
      <c r="AD277" s="0" t="inlineStr">
        <is>
          <t>서원구</t>
        </is>
      </c>
      <c r="AE277" s="0" t="inlineStr">
        <is>
          <t>사직동</t>
        </is>
      </c>
      <c r="AG277" s="0" t="inlineStr">
        <is>
          <t>충청북도 청주시 서원구 남사로 14</t>
        </is>
      </c>
      <c r="AH277" s="0" t="n">
        <v>0</v>
      </c>
      <c r="AI277" s="0" t="n">
        <v>257</v>
      </c>
      <c r="AJ277" s="0" t="n">
        <v>23</v>
      </c>
      <c r="AK277" s="0" t="n">
        <v>52</v>
      </c>
      <c r="AL277" s="0" t="n">
        <v>0.26</v>
      </c>
    </row>
    <row r="278">
      <c r="A278" s="0" t="inlineStr">
        <is>
          <t>[사직동]</t>
        </is>
      </c>
      <c r="B278" s="0" t="n">
        <v>26944</v>
      </c>
      <c r="C278" s="0" t="n">
        <v>1</v>
      </c>
      <c r="D278" s="0" t="inlineStr">
        <is>
          <t>푸르지오캐슬1,2,3단지</t>
        </is>
      </c>
      <c r="E278" s="0" t="inlineStr">
        <is>
          <t>2010.11.</t>
        </is>
      </c>
      <c r="F278" s="0" t="n">
        <v>1832</v>
      </c>
      <c r="G278" s="0" t="n">
        <v>25.14</v>
      </c>
      <c r="H278" s="0" t="n">
        <v>83.14</v>
      </c>
      <c r="I278" s="0" t="n">
        <v>18.07</v>
      </c>
      <c r="J278" s="0" t="n">
        <v>59.74</v>
      </c>
      <c r="K278" s="0" t="n">
        <v>230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83</v>
      </c>
      <c r="X278" s="0" t="n">
        <v>25</v>
      </c>
      <c r="Y278" s="0" t="n">
        <v>10</v>
      </c>
      <c r="Z278" s="0" t="inlineStr">
        <is>
          <t>https://new.land.naver.com/complexes/26944?tab=detail&amp;rf=Y</t>
        </is>
      </c>
      <c r="AA278" s="0" t="inlineStr">
        <is>
          <t>충청북도 청주시 서원구 사직동 931</t>
        </is>
      </c>
      <c r="AB278" s="0" t="inlineStr">
        <is>
          <t>충청북도</t>
        </is>
      </c>
      <c r="AC278" s="0" t="inlineStr">
        <is>
          <t>청주시</t>
        </is>
      </c>
      <c r="AD278" s="0" t="inlineStr">
        <is>
          <t>서원구</t>
        </is>
      </c>
      <c r="AE278" s="0" t="inlineStr">
        <is>
          <t>사직동</t>
        </is>
      </c>
      <c r="AG278" s="0" t="inlineStr">
        <is>
          <t>충청북도 청주시 서원구 예체로 68</t>
        </is>
      </c>
      <c r="AH278" s="0" t="n">
        <v>0</v>
      </c>
      <c r="AI278" s="0" t="n">
        <v>249</v>
      </c>
      <c r="AJ278" s="0" t="n">
        <v>0</v>
      </c>
      <c r="AK278" s="0" t="n">
        <v>2842</v>
      </c>
      <c r="AL278" s="0" t="n">
        <v>1.55</v>
      </c>
    </row>
    <row r="279">
      <c r="A279" s="0" t="inlineStr">
        <is>
          <t>[사직동]</t>
        </is>
      </c>
      <c r="B279" s="0" t="n">
        <v>26944</v>
      </c>
      <c r="C279" s="0" t="n">
        <v>2</v>
      </c>
      <c r="D279" s="0" t="inlineStr">
        <is>
          <t>푸르지오캐슬1,2,3단지</t>
        </is>
      </c>
      <c r="E279" s="0" t="inlineStr">
        <is>
          <t>2010.11.</t>
        </is>
      </c>
      <c r="F279" s="0" t="n">
        <v>1832</v>
      </c>
      <c r="G279" s="0" t="n">
        <v>28.68</v>
      </c>
      <c r="H279" s="0" t="n">
        <v>94.84</v>
      </c>
      <c r="I279" s="0" t="n">
        <v>21.86</v>
      </c>
      <c r="J279" s="0" t="n">
        <v>72.28</v>
      </c>
      <c r="K279" s="0" t="n">
        <v>99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94</v>
      </c>
      <c r="X279" s="0" t="n">
        <v>25</v>
      </c>
      <c r="Y279" s="0" t="n">
        <v>10</v>
      </c>
      <c r="Z279" s="0" t="inlineStr">
        <is>
          <t>https://new.land.naver.com/complexes/26944?tab=detail&amp;rf=Y</t>
        </is>
      </c>
      <c r="AA279" s="0" t="inlineStr">
        <is>
          <t>충청북도 청주시 서원구 사직동 931</t>
        </is>
      </c>
      <c r="AB279" s="0" t="inlineStr">
        <is>
          <t>충청북도</t>
        </is>
      </c>
      <c r="AC279" s="0" t="inlineStr">
        <is>
          <t>청주시</t>
        </is>
      </c>
      <c r="AD279" s="0" t="inlineStr">
        <is>
          <t>서원구</t>
        </is>
      </c>
      <c r="AE279" s="0" t="inlineStr">
        <is>
          <t>사직동</t>
        </is>
      </c>
      <c r="AG279" s="0" t="inlineStr">
        <is>
          <t>충청북도 청주시 서원구 예체로 68</t>
        </is>
      </c>
      <c r="AH279" s="0" t="n">
        <v>0</v>
      </c>
      <c r="AI279" s="0" t="n">
        <v>249</v>
      </c>
      <c r="AJ279" s="0" t="n">
        <v>0</v>
      </c>
      <c r="AK279" s="0" t="n">
        <v>2842</v>
      </c>
      <c r="AL279" s="0" t="n">
        <v>1.55</v>
      </c>
    </row>
    <row r="280">
      <c r="A280" s="0" t="inlineStr">
        <is>
          <t>[사직동]</t>
        </is>
      </c>
      <c r="B280" s="0" t="n">
        <v>26944</v>
      </c>
      <c r="C280" s="0" t="n">
        <v>3</v>
      </c>
      <c r="D280" s="0" t="inlineStr">
        <is>
          <t>푸르지오캐슬1,2,3단지</t>
        </is>
      </c>
      <c r="E280" s="0" t="inlineStr">
        <is>
          <t>2010.11.</t>
        </is>
      </c>
      <c r="F280" s="0" t="n">
        <v>1832</v>
      </c>
      <c r="G280" s="0" t="n">
        <v>33.37</v>
      </c>
      <c r="H280" s="0" t="n">
        <v>110.32</v>
      </c>
      <c r="I280" s="0" t="n">
        <v>25.53</v>
      </c>
      <c r="J280" s="0" t="n">
        <v>84.40000000000001</v>
      </c>
      <c r="K280" s="0" t="n">
        <v>1055</v>
      </c>
      <c r="T280" s="0" t="n">
        <v>3</v>
      </c>
      <c r="U280" s="0" t="n">
        <v>2</v>
      </c>
      <c r="V280" s="0" t="inlineStr">
        <is>
          <t>복도식</t>
        </is>
      </c>
      <c r="W280" s="0" t="n">
        <v>110</v>
      </c>
      <c r="X280" s="0" t="n">
        <v>25</v>
      </c>
      <c r="Y280" s="0" t="n">
        <v>10</v>
      </c>
      <c r="Z280" s="0" t="inlineStr">
        <is>
          <t>https://new.land.naver.com/complexes/26944?tab=detail&amp;rf=Y</t>
        </is>
      </c>
      <c r="AA280" s="0" t="inlineStr">
        <is>
          <t>충청북도 청주시 서원구 사직동 931</t>
        </is>
      </c>
      <c r="AB280" s="0" t="inlineStr">
        <is>
          <t>충청북도</t>
        </is>
      </c>
      <c r="AC280" s="0" t="inlineStr">
        <is>
          <t>청주시</t>
        </is>
      </c>
      <c r="AD280" s="0" t="inlineStr">
        <is>
          <t>서원구</t>
        </is>
      </c>
      <c r="AE280" s="0" t="inlineStr">
        <is>
          <t>사직동</t>
        </is>
      </c>
      <c r="AG280" s="0" t="inlineStr">
        <is>
          <t>충청북도 청주시 서원구 예체로 68</t>
        </is>
      </c>
      <c r="AH280" s="0" t="n">
        <v>0</v>
      </c>
      <c r="AI280" s="0" t="n">
        <v>249</v>
      </c>
      <c r="AJ280" s="0" t="n">
        <v>0</v>
      </c>
      <c r="AK280" s="0" t="n">
        <v>2842</v>
      </c>
      <c r="AL280" s="0" t="n">
        <v>1.55</v>
      </c>
    </row>
    <row r="281">
      <c r="A281" s="0" t="inlineStr">
        <is>
          <t>[사직동]</t>
        </is>
      </c>
      <c r="B281" s="0" t="n">
        <v>26944</v>
      </c>
      <c r="C281" s="0" t="n">
        <v>4</v>
      </c>
      <c r="D281" s="0" t="inlineStr">
        <is>
          <t>푸르지오캐슬1,2,3단지</t>
        </is>
      </c>
      <c r="E281" s="0" t="inlineStr">
        <is>
          <t>2010.11.</t>
        </is>
      </c>
      <c r="F281" s="0" t="n">
        <v>1832</v>
      </c>
      <c r="G281" s="0" t="n">
        <v>40.15</v>
      </c>
      <c r="H281" s="0" t="n">
        <v>132.74</v>
      </c>
      <c r="I281" s="0" t="n">
        <v>31.47</v>
      </c>
      <c r="J281" s="0" t="n">
        <v>104.04</v>
      </c>
      <c r="K281" s="0" t="n">
        <v>144</v>
      </c>
      <c r="T281" s="0" t="n">
        <v>3</v>
      </c>
      <c r="U281" s="0" t="n">
        <v>2</v>
      </c>
      <c r="V281" s="0" t="inlineStr">
        <is>
          <t>계단식</t>
        </is>
      </c>
      <c r="W281" s="0" t="n">
        <v>132</v>
      </c>
      <c r="X281" s="0" t="n">
        <v>25</v>
      </c>
      <c r="Y281" s="0" t="n">
        <v>10</v>
      </c>
      <c r="Z281" s="0" t="inlineStr">
        <is>
          <t>https://new.land.naver.com/complexes/26944?tab=detail&amp;rf=Y</t>
        </is>
      </c>
      <c r="AA281" s="0" t="inlineStr">
        <is>
          <t>충청북도 청주시 서원구 사직동 931</t>
        </is>
      </c>
      <c r="AB281" s="0" t="inlineStr">
        <is>
          <t>충청북도</t>
        </is>
      </c>
      <c r="AC281" s="0" t="inlineStr">
        <is>
          <t>청주시</t>
        </is>
      </c>
      <c r="AD281" s="0" t="inlineStr">
        <is>
          <t>서원구</t>
        </is>
      </c>
      <c r="AE281" s="0" t="inlineStr">
        <is>
          <t>사직동</t>
        </is>
      </c>
      <c r="AG281" s="0" t="inlineStr">
        <is>
          <t>충청북도 청주시 서원구 예체로 68</t>
        </is>
      </c>
      <c r="AH281" s="0" t="n">
        <v>0</v>
      </c>
      <c r="AI281" s="0" t="n">
        <v>249</v>
      </c>
      <c r="AJ281" s="0" t="n">
        <v>0</v>
      </c>
      <c r="AK281" s="0" t="n">
        <v>2842</v>
      </c>
      <c r="AL281" s="0" t="n">
        <v>1.55</v>
      </c>
    </row>
    <row r="282">
      <c r="A282" s="0" t="inlineStr">
        <is>
          <t>[사직동]</t>
        </is>
      </c>
      <c r="B282" s="0" t="n">
        <v>26944</v>
      </c>
      <c r="C282" s="0" t="n">
        <v>5</v>
      </c>
      <c r="D282" s="0" t="inlineStr">
        <is>
          <t>푸르지오캐슬1,2,3단지</t>
        </is>
      </c>
      <c r="E282" s="0" t="inlineStr">
        <is>
          <t>2010.11.</t>
        </is>
      </c>
      <c r="F282" s="0" t="n">
        <v>1832</v>
      </c>
      <c r="G282" s="0" t="n">
        <v>47.06</v>
      </c>
      <c r="H282" s="0" t="n">
        <v>155.58</v>
      </c>
      <c r="I282" s="0" t="n">
        <v>37.34</v>
      </c>
      <c r="J282" s="0" t="n">
        <v>123.44</v>
      </c>
      <c r="K282" s="0" t="n">
        <v>128</v>
      </c>
      <c r="T282" s="0" t="n">
        <v>4</v>
      </c>
      <c r="U282" s="0" t="n">
        <v>2</v>
      </c>
      <c r="V282" s="0" t="inlineStr">
        <is>
          <t>계단식</t>
        </is>
      </c>
      <c r="W282" s="0" t="n">
        <v>155</v>
      </c>
      <c r="X282" s="0" t="n">
        <v>25</v>
      </c>
      <c r="Y282" s="0" t="n">
        <v>10</v>
      </c>
      <c r="Z282" s="0" t="inlineStr">
        <is>
          <t>https://new.land.naver.com/complexes/26944?tab=detail&amp;rf=Y</t>
        </is>
      </c>
      <c r="AA282" s="0" t="inlineStr">
        <is>
          <t>충청북도 청주시 서원구 사직동 931</t>
        </is>
      </c>
      <c r="AB282" s="0" t="inlineStr">
        <is>
          <t>충청북도</t>
        </is>
      </c>
      <c r="AC282" s="0" t="inlineStr">
        <is>
          <t>청주시</t>
        </is>
      </c>
      <c r="AD282" s="0" t="inlineStr">
        <is>
          <t>서원구</t>
        </is>
      </c>
      <c r="AE282" s="0" t="inlineStr">
        <is>
          <t>사직동</t>
        </is>
      </c>
      <c r="AG282" s="0" t="inlineStr">
        <is>
          <t>충청북도 청주시 서원구 예체로 68</t>
        </is>
      </c>
      <c r="AH282" s="0" t="n">
        <v>0</v>
      </c>
      <c r="AI282" s="0" t="n">
        <v>249</v>
      </c>
      <c r="AJ282" s="0" t="n">
        <v>0</v>
      </c>
      <c r="AK282" s="0" t="n">
        <v>2842</v>
      </c>
      <c r="AL282" s="0" t="n">
        <v>1.55</v>
      </c>
    </row>
    <row r="283">
      <c r="A283" s="0" t="inlineStr">
        <is>
          <t>[사직동]</t>
        </is>
      </c>
      <c r="B283" s="0" t="n">
        <v>26944</v>
      </c>
      <c r="C283" s="0" t="n">
        <v>6</v>
      </c>
      <c r="D283" s="0" t="inlineStr">
        <is>
          <t>푸르지오캐슬1,2,3단지</t>
        </is>
      </c>
      <c r="E283" s="0" t="inlineStr">
        <is>
          <t>2010.11.</t>
        </is>
      </c>
      <c r="F283" s="0" t="n">
        <v>1832</v>
      </c>
      <c r="G283" s="0" t="n">
        <v>52.39</v>
      </c>
      <c r="H283" s="0" t="n">
        <v>173.21</v>
      </c>
      <c r="I283" s="0" t="n">
        <v>42.33</v>
      </c>
      <c r="J283" s="0" t="n">
        <v>139.96</v>
      </c>
      <c r="K283" s="0" t="n">
        <v>88</v>
      </c>
      <c r="T283" s="0" t="n">
        <v>4</v>
      </c>
      <c r="U283" s="0" t="n">
        <v>2</v>
      </c>
      <c r="V283" s="0" t="inlineStr">
        <is>
          <t>계단식</t>
        </is>
      </c>
      <c r="W283" s="0" t="n">
        <v>173</v>
      </c>
      <c r="X283" s="0" t="n">
        <v>25</v>
      </c>
      <c r="Y283" s="0" t="n">
        <v>10</v>
      </c>
      <c r="Z283" s="0" t="inlineStr">
        <is>
          <t>https://new.land.naver.com/complexes/26944?tab=detail&amp;rf=Y</t>
        </is>
      </c>
      <c r="AA283" s="0" t="inlineStr">
        <is>
          <t>충청북도 청주시 서원구 사직동 931</t>
        </is>
      </c>
      <c r="AB283" s="0" t="inlineStr">
        <is>
          <t>충청북도</t>
        </is>
      </c>
      <c r="AC283" s="0" t="inlineStr">
        <is>
          <t>청주시</t>
        </is>
      </c>
      <c r="AD283" s="0" t="inlineStr">
        <is>
          <t>서원구</t>
        </is>
      </c>
      <c r="AE283" s="0" t="inlineStr">
        <is>
          <t>사직동</t>
        </is>
      </c>
      <c r="AG283" s="0" t="inlineStr">
        <is>
          <t>충청북도 청주시 서원구 예체로 68</t>
        </is>
      </c>
      <c r="AH283" s="0" t="n">
        <v>0</v>
      </c>
      <c r="AI283" s="0" t="n">
        <v>249</v>
      </c>
      <c r="AJ283" s="0" t="n">
        <v>0</v>
      </c>
      <c r="AK283" s="0" t="n">
        <v>2842</v>
      </c>
      <c r="AL283" s="0" t="n">
        <v>1.55</v>
      </c>
    </row>
    <row r="284">
      <c r="A284" s="0" t="inlineStr">
        <is>
          <t>[사직동]</t>
        </is>
      </c>
      <c r="B284" s="0" t="n">
        <v>26944</v>
      </c>
      <c r="C284" s="0" t="n">
        <v>7</v>
      </c>
      <c r="D284" s="0" t="inlineStr">
        <is>
          <t>푸르지오캐슬1,2,3단지</t>
        </is>
      </c>
      <c r="E284" s="0" t="inlineStr">
        <is>
          <t>2010.11.</t>
        </is>
      </c>
      <c r="F284" s="0" t="n">
        <v>1832</v>
      </c>
      <c r="G284" s="0" t="n">
        <v>65.63</v>
      </c>
      <c r="H284" s="0" t="n">
        <v>216.98</v>
      </c>
      <c r="I284" s="0" t="n">
        <v>53.24</v>
      </c>
      <c r="J284" s="0" t="n">
        <v>176.01</v>
      </c>
      <c r="K284" s="0" t="n">
        <v>88</v>
      </c>
      <c r="T284" s="0" t="n">
        <v>5</v>
      </c>
      <c r="U284" s="0" t="n">
        <v>2</v>
      </c>
      <c r="V284" s="0" t="inlineStr">
        <is>
          <t>계단식</t>
        </is>
      </c>
      <c r="W284" s="0" t="n">
        <v>216</v>
      </c>
      <c r="X284" s="0" t="n">
        <v>25</v>
      </c>
      <c r="Y284" s="0" t="n">
        <v>10</v>
      </c>
      <c r="Z284" s="0" t="inlineStr">
        <is>
          <t>https://new.land.naver.com/complexes/26944?tab=detail&amp;rf=Y</t>
        </is>
      </c>
      <c r="AA284" s="0" t="inlineStr">
        <is>
          <t>충청북도 청주시 서원구 사직동 931</t>
        </is>
      </c>
      <c r="AB284" s="0" t="inlineStr">
        <is>
          <t>충청북도</t>
        </is>
      </c>
      <c r="AC284" s="0" t="inlineStr">
        <is>
          <t>청주시</t>
        </is>
      </c>
      <c r="AD284" s="0" t="inlineStr">
        <is>
          <t>서원구</t>
        </is>
      </c>
      <c r="AE284" s="0" t="inlineStr">
        <is>
          <t>사직동</t>
        </is>
      </c>
      <c r="AG284" s="0" t="inlineStr">
        <is>
          <t>충청북도 청주시 서원구 예체로 68</t>
        </is>
      </c>
      <c r="AH284" s="0" t="n">
        <v>0</v>
      </c>
      <c r="AI284" s="0" t="n">
        <v>249</v>
      </c>
      <c r="AJ284" s="0" t="n">
        <v>0</v>
      </c>
      <c r="AK284" s="0" t="n">
        <v>2842</v>
      </c>
      <c r="AL284" s="0" t="n">
        <v>1.55</v>
      </c>
    </row>
    <row r="285">
      <c r="A285" s="0" t="inlineStr">
        <is>
          <t>[사창동]</t>
        </is>
      </c>
      <c r="B285" s="0" t="n">
        <v>12938</v>
      </c>
      <c r="C285" s="0" t="n">
        <v>1</v>
      </c>
      <c r="D285" s="0" t="inlineStr">
        <is>
          <t>중앙</t>
        </is>
      </c>
      <c r="E285" s="0" t="inlineStr">
        <is>
          <t>1985.05.</t>
        </is>
      </c>
      <c r="F285" s="0" t="n">
        <v>80</v>
      </c>
      <c r="G285" s="0" t="n">
        <v>21.48</v>
      </c>
      <c r="H285" s="0" t="n">
        <v>71.01000000000001</v>
      </c>
      <c r="I285" s="0" t="n">
        <v>19.84</v>
      </c>
      <c r="J285" s="0" t="n">
        <v>65.61</v>
      </c>
      <c r="K285" s="0" t="n">
        <v>80</v>
      </c>
      <c r="T285" s="0" t="n">
        <v>3</v>
      </c>
      <c r="U285" s="0" t="n">
        <v>1</v>
      </c>
      <c r="V285" s="0" t="inlineStr">
        <is>
          <t>계단식</t>
        </is>
      </c>
      <c r="W285" s="0" t="n">
        <v>71</v>
      </c>
      <c r="X285" s="0" t="n">
        <v>5</v>
      </c>
      <c r="Y285" s="0" t="n">
        <v>5</v>
      </c>
      <c r="Z285" s="0" t="inlineStr">
        <is>
          <t>https://new.land.naver.com/complexes/12938?tab=detail&amp;rf=Y</t>
        </is>
      </c>
      <c r="AA285" s="0" t="inlineStr">
        <is>
          <t>충청북도 청주시 서원구 사창동 249-2</t>
        </is>
      </c>
      <c r="AB285" s="0" t="inlineStr">
        <is>
          <t>충청북도</t>
        </is>
      </c>
      <c r="AC285" s="0" t="inlineStr">
        <is>
          <t>청주시</t>
        </is>
      </c>
      <c r="AD285" s="0" t="inlineStr">
        <is>
          <t>서원구</t>
        </is>
      </c>
      <c r="AE285" s="0" t="inlineStr">
        <is>
          <t>사창동</t>
        </is>
      </c>
      <c r="AG285" s="0" t="inlineStr">
        <is>
          <t>충청북도 청주시 서원구 천석로14번길 3</t>
        </is>
      </c>
      <c r="AH285" s="0" t="n">
        <v>0</v>
      </c>
      <c r="AI285" s="0" t="n">
        <v>352</v>
      </c>
      <c r="AJ285" s="0" t="n">
        <v>72</v>
      </c>
      <c r="AK285" s="0" t="n">
        <v>0</v>
      </c>
      <c r="AL285" s="0" t="n">
        <v>0</v>
      </c>
    </row>
    <row r="286">
      <c r="A286" s="0" t="inlineStr">
        <is>
          <t>[사창동]</t>
        </is>
      </c>
      <c r="B286" s="0" t="n">
        <v>119678</v>
      </c>
      <c r="C286" s="0" t="n">
        <v>1</v>
      </c>
      <c r="D286" s="0" t="inlineStr">
        <is>
          <t>부흥</t>
        </is>
      </c>
      <c r="E286" s="0" t="inlineStr">
        <is>
          <t>1984.06.</t>
        </is>
      </c>
      <c r="F286" s="0" t="n">
        <v>40</v>
      </c>
      <c r="G286" s="0" t="n">
        <v>14.21</v>
      </c>
      <c r="H286" s="0" t="n">
        <v>46.98</v>
      </c>
      <c r="I286" s="0" t="n">
        <v>14.21</v>
      </c>
      <c r="J286" s="0" t="n">
        <v>46.98</v>
      </c>
      <c r="K286" s="0" t="n">
        <v>1</v>
      </c>
      <c r="T286" s="0" t="n">
        <v>3</v>
      </c>
      <c r="U286" s="0" t="n">
        <v>1</v>
      </c>
      <c r="V286" s="0" t="inlineStr">
        <is>
          <t>계단식</t>
        </is>
      </c>
      <c r="W286" s="0" t="n">
        <v>46</v>
      </c>
      <c r="X286" s="0" t="n">
        <v>5</v>
      </c>
      <c r="Y286" s="0" t="n">
        <v>5</v>
      </c>
      <c r="Z286" s="0" t="inlineStr">
        <is>
          <t>https://new.land.naver.com/complexes/119678?tab=detail&amp;rf=Y</t>
        </is>
      </c>
      <c r="AA286" s="0" t="inlineStr">
        <is>
          <t>충청북도 청주시 서원구 사창동 368-1</t>
        </is>
      </c>
      <c r="AB286" s="0" t="inlineStr">
        <is>
          <t>충청북도</t>
        </is>
      </c>
      <c r="AC286" s="0" t="inlineStr">
        <is>
          <t>청주시</t>
        </is>
      </c>
      <c r="AD286" s="0" t="inlineStr">
        <is>
          <t>서원구</t>
        </is>
      </c>
      <c r="AE286" s="0" t="inlineStr">
        <is>
          <t>사창동</t>
        </is>
      </c>
      <c r="AG286" s="0" t="inlineStr">
        <is>
          <t>충청북도 청주시 서원구 창직로 7</t>
        </is>
      </c>
      <c r="AH286" s="0" t="n">
        <v>0</v>
      </c>
      <c r="AI286" s="0" t="n">
        <v>0</v>
      </c>
      <c r="AJ286" s="0" t="n">
        <v>0</v>
      </c>
      <c r="AK286" s="0" t="n">
        <v>0</v>
      </c>
      <c r="AL286" s="0" t="n">
        <v>0</v>
      </c>
    </row>
    <row r="287">
      <c r="A287" s="0" t="inlineStr">
        <is>
          <t>[사창동]</t>
        </is>
      </c>
      <c r="B287" s="0" t="n">
        <v>119678</v>
      </c>
      <c r="C287" s="0" t="n">
        <v>2</v>
      </c>
      <c r="D287" s="0" t="inlineStr">
        <is>
          <t>부흥</t>
        </is>
      </c>
      <c r="E287" s="0" t="inlineStr">
        <is>
          <t>1984.06.</t>
        </is>
      </c>
      <c r="F287" s="0" t="n">
        <v>40</v>
      </c>
      <c r="G287" s="0" t="n">
        <v>14.83</v>
      </c>
      <c r="H287" s="0" t="n">
        <v>49.05</v>
      </c>
      <c r="I287" s="0" t="n">
        <v>14.83</v>
      </c>
      <c r="J287" s="0" t="n">
        <v>49.05</v>
      </c>
      <c r="K287" s="0" t="n">
        <v>1</v>
      </c>
      <c r="T287" s="0" t="n">
        <v>3</v>
      </c>
      <c r="U287" s="0" t="n">
        <v>1</v>
      </c>
      <c r="V287" s="0" t="inlineStr">
        <is>
          <t>계단식</t>
        </is>
      </c>
      <c r="W287" s="0" t="n">
        <v>49</v>
      </c>
      <c r="X287" s="0" t="n">
        <v>5</v>
      </c>
      <c r="Y287" s="0" t="n">
        <v>5</v>
      </c>
      <c r="Z287" s="0" t="inlineStr">
        <is>
          <t>https://new.land.naver.com/complexes/119678?tab=detail&amp;rf=Y</t>
        </is>
      </c>
      <c r="AA287" s="0" t="inlineStr">
        <is>
          <t>충청북도 청주시 서원구 사창동 368-1</t>
        </is>
      </c>
      <c r="AB287" s="0" t="inlineStr">
        <is>
          <t>충청북도</t>
        </is>
      </c>
      <c r="AC287" s="0" t="inlineStr">
        <is>
          <t>청주시</t>
        </is>
      </c>
      <c r="AD287" s="0" t="inlineStr">
        <is>
          <t>서원구</t>
        </is>
      </c>
      <c r="AE287" s="0" t="inlineStr">
        <is>
          <t>사창동</t>
        </is>
      </c>
      <c r="AG287" s="0" t="inlineStr">
        <is>
          <t>충청북도 청주시 서원구 창직로 7</t>
        </is>
      </c>
      <c r="AH287" s="0" t="n">
        <v>0</v>
      </c>
      <c r="AI287" s="0" t="n">
        <v>0</v>
      </c>
      <c r="AJ287" s="0" t="n">
        <v>0</v>
      </c>
      <c r="AK287" s="0" t="n">
        <v>0</v>
      </c>
      <c r="AL287" s="0" t="n">
        <v>0</v>
      </c>
    </row>
    <row r="288">
      <c r="A288" s="0" t="inlineStr">
        <is>
          <t>[사창동]</t>
        </is>
      </c>
      <c r="B288" s="0" t="n">
        <v>119678</v>
      </c>
      <c r="C288" s="0" t="n">
        <v>3</v>
      </c>
      <c r="D288" s="0" t="inlineStr">
        <is>
          <t>부흥</t>
        </is>
      </c>
      <c r="E288" s="0" t="inlineStr">
        <is>
          <t>1984.06.</t>
        </is>
      </c>
      <c r="F288" s="0" t="n">
        <v>40</v>
      </c>
      <c r="G288" s="0" t="n">
        <v>16.74</v>
      </c>
      <c r="H288" s="0" t="n">
        <v>55.35</v>
      </c>
      <c r="I288" s="0" t="n">
        <v>16.74</v>
      </c>
      <c r="J288" s="0" t="n">
        <v>55.35</v>
      </c>
      <c r="K288" s="0" t="n">
        <v>4</v>
      </c>
      <c r="T288" s="0" t="n">
        <v>3</v>
      </c>
      <c r="U288" s="0" t="n">
        <v>1</v>
      </c>
      <c r="V288" s="0" t="inlineStr">
        <is>
          <t>계단식</t>
        </is>
      </c>
      <c r="W288" s="0" t="inlineStr">
        <is>
          <t>55A</t>
        </is>
      </c>
      <c r="X288" s="0" t="n">
        <v>5</v>
      </c>
      <c r="Y288" s="0" t="n">
        <v>5</v>
      </c>
      <c r="Z288" s="0" t="inlineStr">
        <is>
          <t>https://new.land.naver.com/complexes/119678?tab=detail&amp;rf=Y</t>
        </is>
      </c>
      <c r="AA288" s="0" t="inlineStr">
        <is>
          <t>충청북도 청주시 서원구 사창동 368-1</t>
        </is>
      </c>
      <c r="AB288" s="0" t="inlineStr">
        <is>
          <t>충청북도</t>
        </is>
      </c>
      <c r="AC288" s="0" t="inlineStr">
        <is>
          <t>청주시</t>
        </is>
      </c>
      <c r="AD288" s="0" t="inlineStr">
        <is>
          <t>서원구</t>
        </is>
      </c>
      <c r="AE288" s="0" t="inlineStr">
        <is>
          <t>사창동</t>
        </is>
      </c>
      <c r="AG288" s="0" t="inlineStr">
        <is>
          <t>충청북도 청주시 서원구 창직로 7</t>
        </is>
      </c>
      <c r="AH288" s="0" t="n">
        <v>0</v>
      </c>
      <c r="AI288" s="0" t="n">
        <v>0</v>
      </c>
      <c r="AJ288" s="0" t="n">
        <v>0</v>
      </c>
      <c r="AK288" s="0" t="n">
        <v>0</v>
      </c>
      <c r="AL288" s="0" t="n">
        <v>0</v>
      </c>
    </row>
    <row r="289">
      <c r="A289" s="0" t="inlineStr">
        <is>
          <t>[사창동]</t>
        </is>
      </c>
      <c r="B289" s="0" t="n">
        <v>119678</v>
      </c>
      <c r="C289" s="0" t="n">
        <v>4</v>
      </c>
      <c r="D289" s="0" t="inlineStr">
        <is>
          <t>부흥</t>
        </is>
      </c>
      <c r="E289" s="0" t="inlineStr">
        <is>
          <t>1984.06.</t>
        </is>
      </c>
      <c r="F289" s="0" t="n">
        <v>40</v>
      </c>
      <c r="G289" s="0" t="n">
        <v>17.2</v>
      </c>
      <c r="H289" s="0" t="n">
        <v>56.88</v>
      </c>
      <c r="I289" s="0" t="n">
        <v>17.2</v>
      </c>
      <c r="J289" s="0" t="n">
        <v>56.88</v>
      </c>
      <c r="K289" s="0" t="n">
        <v>1</v>
      </c>
      <c r="T289" s="0" t="n">
        <v>3</v>
      </c>
      <c r="U289" s="0" t="n">
        <v>1</v>
      </c>
      <c r="V289" s="0" t="inlineStr">
        <is>
          <t>계단식</t>
        </is>
      </c>
      <c r="W289" s="0" t="inlineStr">
        <is>
          <t>56B</t>
        </is>
      </c>
      <c r="X289" s="0" t="n">
        <v>5</v>
      </c>
      <c r="Y289" s="0" t="n">
        <v>5</v>
      </c>
      <c r="Z289" s="0" t="inlineStr">
        <is>
          <t>https://new.land.naver.com/complexes/119678?tab=detail&amp;rf=Y</t>
        </is>
      </c>
      <c r="AA289" s="0" t="inlineStr">
        <is>
          <t>충청북도 청주시 서원구 사창동 368-1</t>
        </is>
      </c>
      <c r="AB289" s="0" t="inlineStr">
        <is>
          <t>충청북도</t>
        </is>
      </c>
      <c r="AC289" s="0" t="inlineStr">
        <is>
          <t>청주시</t>
        </is>
      </c>
      <c r="AD289" s="0" t="inlineStr">
        <is>
          <t>서원구</t>
        </is>
      </c>
      <c r="AE289" s="0" t="inlineStr">
        <is>
          <t>사창동</t>
        </is>
      </c>
      <c r="AG289" s="0" t="inlineStr">
        <is>
          <t>충청북도 청주시 서원구 창직로 7</t>
        </is>
      </c>
      <c r="AH289" s="0" t="n">
        <v>0</v>
      </c>
      <c r="AI289" s="0" t="n">
        <v>0</v>
      </c>
      <c r="AJ289" s="0" t="n">
        <v>0</v>
      </c>
      <c r="AK289" s="0" t="n">
        <v>0</v>
      </c>
      <c r="AL289" s="0" t="n">
        <v>0</v>
      </c>
    </row>
    <row r="290">
      <c r="A290" s="0" t="inlineStr">
        <is>
          <t>[사창동]</t>
        </is>
      </c>
      <c r="B290" s="0" t="n">
        <v>119678</v>
      </c>
      <c r="C290" s="0" t="n">
        <v>5</v>
      </c>
      <c r="D290" s="0" t="inlineStr">
        <is>
          <t>부흥</t>
        </is>
      </c>
      <c r="E290" s="0" t="inlineStr">
        <is>
          <t>1984.06.</t>
        </is>
      </c>
      <c r="F290" s="0" t="n">
        <v>40</v>
      </c>
      <c r="G290" s="0" t="n">
        <v>19.43</v>
      </c>
      <c r="H290" s="0" t="n">
        <v>64.26000000000001</v>
      </c>
      <c r="I290" s="0" t="n">
        <v>17.69</v>
      </c>
      <c r="J290" s="0" t="n">
        <v>58.5</v>
      </c>
      <c r="K290" s="0" t="n">
        <v>15</v>
      </c>
      <c r="T290" s="0" t="n">
        <v>3</v>
      </c>
      <c r="U290" s="0" t="n">
        <v>1</v>
      </c>
      <c r="V290" s="0" t="inlineStr">
        <is>
          <t>계단식</t>
        </is>
      </c>
      <c r="W290" s="0" t="n">
        <v>64</v>
      </c>
      <c r="X290" s="0" t="n">
        <v>5</v>
      </c>
      <c r="Y290" s="0" t="n">
        <v>5</v>
      </c>
      <c r="Z290" s="0" t="inlineStr">
        <is>
          <t>https://new.land.naver.com/complexes/119678?tab=detail&amp;rf=Y</t>
        </is>
      </c>
      <c r="AA290" s="0" t="inlineStr">
        <is>
          <t>충청북도 청주시 서원구 사창동 368-1</t>
        </is>
      </c>
      <c r="AB290" s="0" t="inlineStr">
        <is>
          <t>충청북도</t>
        </is>
      </c>
      <c r="AC290" s="0" t="inlineStr">
        <is>
          <t>청주시</t>
        </is>
      </c>
      <c r="AD290" s="0" t="inlineStr">
        <is>
          <t>서원구</t>
        </is>
      </c>
      <c r="AE290" s="0" t="inlineStr">
        <is>
          <t>사창동</t>
        </is>
      </c>
      <c r="AG290" s="0" t="inlineStr">
        <is>
          <t>충청북도 청주시 서원구 창직로 7</t>
        </is>
      </c>
      <c r="AH290" s="0" t="n">
        <v>0</v>
      </c>
      <c r="AI290" s="0" t="n">
        <v>0</v>
      </c>
      <c r="AJ290" s="0" t="n">
        <v>0</v>
      </c>
      <c r="AK290" s="0" t="n">
        <v>0</v>
      </c>
      <c r="AL290" s="0" t="n">
        <v>0</v>
      </c>
    </row>
    <row r="291">
      <c r="A291" s="0" t="inlineStr">
        <is>
          <t>[사창동]</t>
        </is>
      </c>
      <c r="B291" s="0" t="n">
        <v>119678</v>
      </c>
      <c r="C291" s="0" t="n">
        <v>6</v>
      </c>
      <c r="D291" s="0" t="inlineStr">
        <is>
          <t>부흥</t>
        </is>
      </c>
      <c r="E291" s="0" t="inlineStr">
        <is>
          <t>1984.06.</t>
        </is>
      </c>
      <c r="F291" s="0" t="n">
        <v>40</v>
      </c>
      <c r="G291" s="0" t="n">
        <v>20.14</v>
      </c>
      <c r="H291" s="0" t="n">
        <v>66.59999999999999</v>
      </c>
      <c r="I291" s="0" t="n">
        <v>20.14</v>
      </c>
      <c r="J291" s="0" t="n">
        <v>66.59999999999999</v>
      </c>
      <c r="K291" s="0" t="n">
        <v>3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66</v>
      </c>
      <c r="X291" s="0" t="n">
        <v>5</v>
      </c>
      <c r="Y291" s="0" t="n">
        <v>5</v>
      </c>
      <c r="Z291" s="0" t="inlineStr">
        <is>
          <t>https://new.land.naver.com/complexes/119678?tab=detail&amp;rf=Y</t>
        </is>
      </c>
      <c r="AA291" s="0" t="inlineStr">
        <is>
          <t>충청북도 청주시 서원구 사창동 368-1</t>
        </is>
      </c>
      <c r="AB291" s="0" t="inlineStr">
        <is>
          <t>충청북도</t>
        </is>
      </c>
      <c r="AC291" s="0" t="inlineStr">
        <is>
          <t>청주시</t>
        </is>
      </c>
      <c r="AD291" s="0" t="inlineStr">
        <is>
          <t>서원구</t>
        </is>
      </c>
      <c r="AE291" s="0" t="inlineStr">
        <is>
          <t>사창동</t>
        </is>
      </c>
      <c r="AG291" s="0" t="inlineStr">
        <is>
          <t>충청북도 청주시 서원구 창직로 7</t>
        </is>
      </c>
      <c r="AH291" s="0" t="n">
        <v>0</v>
      </c>
      <c r="AI291" s="0" t="n">
        <v>0</v>
      </c>
      <c r="AJ291" s="0" t="n">
        <v>0</v>
      </c>
      <c r="AK291" s="0" t="n">
        <v>0</v>
      </c>
      <c r="AL291" s="0" t="n">
        <v>0</v>
      </c>
    </row>
    <row r="292">
      <c r="A292" s="0" t="inlineStr">
        <is>
          <t>[사창동]</t>
        </is>
      </c>
      <c r="B292" s="0" t="n">
        <v>119678</v>
      </c>
      <c r="C292" s="0" t="n">
        <v>7</v>
      </c>
      <c r="D292" s="0" t="inlineStr">
        <is>
          <t>부흥</t>
        </is>
      </c>
      <c r="E292" s="0" t="inlineStr">
        <is>
          <t>1984.06.</t>
        </is>
      </c>
      <c r="F292" s="0" t="n">
        <v>40</v>
      </c>
      <c r="G292" s="0" t="n">
        <v>22.27</v>
      </c>
      <c r="H292" s="0" t="n">
        <v>73.62</v>
      </c>
      <c r="I292" s="0" t="n">
        <v>20.52</v>
      </c>
      <c r="J292" s="0" t="n">
        <v>67.86</v>
      </c>
      <c r="K292" s="0" t="n">
        <v>15</v>
      </c>
      <c r="T292" s="0" t="n">
        <v>3</v>
      </c>
      <c r="U292" s="0" t="n">
        <v>1</v>
      </c>
      <c r="V292" s="0" t="inlineStr">
        <is>
          <t>계단식</t>
        </is>
      </c>
      <c r="W292" s="0" t="n">
        <v>73</v>
      </c>
      <c r="X292" s="0" t="n">
        <v>5</v>
      </c>
      <c r="Y292" s="0" t="n">
        <v>5</v>
      </c>
      <c r="Z292" s="0" t="inlineStr">
        <is>
          <t>https://new.land.naver.com/complexes/119678?tab=detail&amp;rf=Y</t>
        </is>
      </c>
      <c r="AA292" s="0" t="inlineStr">
        <is>
          <t>충청북도 청주시 서원구 사창동 368-1</t>
        </is>
      </c>
      <c r="AB292" s="0" t="inlineStr">
        <is>
          <t>충청북도</t>
        </is>
      </c>
      <c r="AC292" s="0" t="inlineStr">
        <is>
          <t>청주시</t>
        </is>
      </c>
      <c r="AD292" s="0" t="inlineStr">
        <is>
          <t>서원구</t>
        </is>
      </c>
      <c r="AE292" s="0" t="inlineStr">
        <is>
          <t>사창동</t>
        </is>
      </c>
      <c r="AG292" s="0" t="inlineStr">
        <is>
          <t>충청북도 청주시 서원구 창직로 7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[사창동]</t>
        </is>
      </c>
      <c r="B293" s="0" t="n">
        <v>120335</v>
      </c>
      <c r="C293" s="0" t="n">
        <v>1</v>
      </c>
      <c r="D293" s="0" t="inlineStr">
        <is>
          <t>조양(191-1)</t>
        </is>
      </c>
      <c r="E293" s="0" t="inlineStr">
        <is>
          <t>1980.05.</t>
        </is>
      </c>
      <c r="F293" s="0" t="n">
        <v>6</v>
      </c>
      <c r="G293" s="0" t="n">
        <v>25.56</v>
      </c>
      <c r="H293" s="0" t="n">
        <v>84.52</v>
      </c>
      <c r="I293" s="0" t="n">
        <v>23.32</v>
      </c>
      <c r="J293" s="0" t="n">
        <v>77.12</v>
      </c>
      <c r="K293" s="0" t="n">
        <v>3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84</v>
      </c>
      <c r="X293" s="0" t="n">
        <v>3</v>
      </c>
      <c r="Y293" s="0" t="n">
        <v>3</v>
      </c>
      <c r="Z293" s="0" t="inlineStr">
        <is>
          <t>https://new.land.naver.com/complexes/120335?tab=detail&amp;rf=Y</t>
        </is>
      </c>
      <c r="AA293" s="0" t="inlineStr">
        <is>
          <t>충청북도 청주시 서원구 사창동 191-1</t>
        </is>
      </c>
      <c r="AB293" s="0" t="inlineStr">
        <is>
          <t>충청북도</t>
        </is>
      </c>
      <c r="AC293" s="0" t="inlineStr">
        <is>
          <t>청주시</t>
        </is>
      </c>
      <c r="AD293" s="0" t="inlineStr">
        <is>
          <t>서원구</t>
        </is>
      </c>
      <c r="AE293" s="0" t="inlineStr">
        <is>
          <t>사창동</t>
        </is>
      </c>
      <c r="AG293" s="0" t="inlineStr">
        <is>
          <t>충청북도 청주시 서원구 천수로18번길 2</t>
        </is>
      </c>
      <c r="AH293" s="0" t="n">
        <v>0</v>
      </c>
      <c r="AI293" s="0" t="n">
        <v>0</v>
      </c>
      <c r="AJ293" s="0" t="n">
        <v>0</v>
      </c>
      <c r="AK293" s="0" t="n">
        <v>0</v>
      </c>
      <c r="AL293" s="0" t="n">
        <v>0</v>
      </c>
    </row>
    <row r="294">
      <c r="A294" s="0" t="inlineStr">
        <is>
          <t>[사창동]</t>
        </is>
      </c>
      <c r="B294" s="0" t="n">
        <v>120335</v>
      </c>
      <c r="C294" s="0" t="n">
        <v>2</v>
      </c>
      <c r="D294" s="0" t="inlineStr">
        <is>
          <t>조양(191-1)</t>
        </is>
      </c>
      <c r="E294" s="0" t="inlineStr">
        <is>
          <t>1980.05.</t>
        </is>
      </c>
      <c r="F294" s="0" t="n">
        <v>6</v>
      </c>
      <c r="G294" s="0" t="n">
        <v>26.96</v>
      </c>
      <c r="H294" s="0" t="n">
        <v>89.15000000000001</v>
      </c>
      <c r="I294" s="0" t="n">
        <v>24.72</v>
      </c>
      <c r="J294" s="0" t="n">
        <v>81.75</v>
      </c>
      <c r="K294" s="0" t="n">
        <v>3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89</v>
      </c>
      <c r="X294" s="0" t="n">
        <v>3</v>
      </c>
      <c r="Y294" s="0" t="n">
        <v>3</v>
      </c>
      <c r="Z294" s="0" t="inlineStr">
        <is>
          <t>https://new.land.naver.com/complexes/120335?tab=detail&amp;rf=Y</t>
        </is>
      </c>
      <c r="AA294" s="0" t="inlineStr">
        <is>
          <t>충청북도 청주시 서원구 사창동 191-1</t>
        </is>
      </c>
      <c r="AB294" s="0" t="inlineStr">
        <is>
          <t>충청북도</t>
        </is>
      </c>
      <c r="AC294" s="0" t="inlineStr">
        <is>
          <t>청주시</t>
        </is>
      </c>
      <c r="AD294" s="0" t="inlineStr">
        <is>
          <t>서원구</t>
        </is>
      </c>
      <c r="AE294" s="0" t="inlineStr">
        <is>
          <t>사창동</t>
        </is>
      </c>
      <c r="AG294" s="0" t="inlineStr">
        <is>
          <t>충청북도 청주시 서원구 천수로18번길 2</t>
        </is>
      </c>
      <c r="AH294" s="0" t="n">
        <v>0</v>
      </c>
      <c r="AI294" s="0" t="n">
        <v>0</v>
      </c>
      <c r="AJ294" s="0" t="n">
        <v>0</v>
      </c>
      <c r="AK294" s="0" t="n">
        <v>0</v>
      </c>
      <c r="AL294" s="0" t="n">
        <v>0</v>
      </c>
    </row>
    <row r="295">
      <c r="A295" s="0" t="inlineStr">
        <is>
          <t>[사창동]</t>
        </is>
      </c>
      <c r="B295" s="0" t="n">
        <v>24345</v>
      </c>
      <c r="C295" s="0" t="n">
        <v>1</v>
      </c>
      <c r="D295" s="0" t="inlineStr">
        <is>
          <t>대원칸타빌</t>
        </is>
      </c>
      <c r="E295" s="0" t="inlineStr">
        <is>
          <t>2008.06.</t>
        </is>
      </c>
      <c r="F295" s="0" t="n">
        <v>810</v>
      </c>
      <c r="G295" s="0" t="n">
        <v>26.27</v>
      </c>
      <c r="H295" s="0" t="n">
        <v>86.86</v>
      </c>
      <c r="I295" s="0" t="n">
        <v>18.13</v>
      </c>
      <c r="J295" s="0" t="n">
        <v>59.96</v>
      </c>
      <c r="K295" s="0" t="n">
        <v>296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86</v>
      </c>
      <c r="X295" s="0" t="n">
        <v>25</v>
      </c>
      <c r="Y295" s="0" t="n">
        <v>13</v>
      </c>
      <c r="Z295" s="0" t="inlineStr">
        <is>
          <t>https://new.land.naver.com/complexes/24345?tab=detail&amp;rf=Y</t>
        </is>
      </c>
      <c r="AA295" s="0" t="inlineStr">
        <is>
          <t>충청북도 청주시 서원구 사창동 285-3</t>
        </is>
      </c>
      <c r="AB295" s="0" t="inlineStr">
        <is>
          <t>충청북도</t>
        </is>
      </c>
      <c r="AC295" s="0" t="inlineStr">
        <is>
          <t>청주시</t>
        </is>
      </c>
      <c r="AD295" s="0" t="inlineStr">
        <is>
          <t>서원구</t>
        </is>
      </c>
      <c r="AE295" s="0" t="inlineStr">
        <is>
          <t>사창동</t>
        </is>
      </c>
      <c r="AG295" s="0" t="inlineStr">
        <is>
          <t>충청북도 청주시 서원구 예체로67번길 87</t>
        </is>
      </c>
      <c r="AH295" s="0" t="n">
        <v>0</v>
      </c>
      <c r="AI295" s="0" t="n">
        <v>247</v>
      </c>
      <c r="AJ295" s="0" t="n">
        <v>16</v>
      </c>
      <c r="AK295" s="0" t="n">
        <v>1224</v>
      </c>
      <c r="AL295" s="0" t="n">
        <v>1.51</v>
      </c>
    </row>
    <row r="296">
      <c r="A296" s="0" t="inlineStr">
        <is>
          <t>[사창동]</t>
        </is>
      </c>
      <c r="B296" s="0" t="n">
        <v>24345</v>
      </c>
      <c r="C296" s="0" t="n">
        <v>2</v>
      </c>
      <c r="D296" s="0" t="inlineStr">
        <is>
          <t>대원칸타빌</t>
        </is>
      </c>
      <c r="E296" s="0" t="inlineStr">
        <is>
          <t>2008.06.</t>
        </is>
      </c>
      <c r="F296" s="0" t="n">
        <v>810</v>
      </c>
      <c r="G296" s="0" t="n">
        <v>34.66</v>
      </c>
      <c r="H296" s="0" t="n">
        <v>114.59</v>
      </c>
      <c r="I296" s="0" t="n">
        <v>25.69</v>
      </c>
      <c r="J296" s="0" t="n">
        <v>84.95</v>
      </c>
      <c r="K296" s="0" t="n">
        <v>247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114</v>
      </c>
      <c r="X296" s="0" t="n">
        <v>25</v>
      </c>
      <c r="Y296" s="0" t="n">
        <v>13</v>
      </c>
      <c r="Z296" s="0" t="inlineStr">
        <is>
          <t>https://new.land.naver.com/complexes/24345?tab=detail&amp;rf=Y</t>
        </is>
      </c>
      <c r="AA296" s="0" t="inlineStr">
        <is>
          <t>충청북도 청주시 서원구 사창동 285-3</t>
        </is>
      </c>
      <c r="AB296" s="0" t="inlineStr">
        <is>
          <t>충청북도</t>
        </is>
      </c>
      <c r="AC296" s="0" t="inlineStr">
        <is>
          <t>청주시</t>
        </is>
      </c>
      <c r="AD296" s="0" t="inlineStr">
        <is>
          <t>서원구</t>
        </is>
      </c>
      <c r="AE296" s="0" t="inlineStr">
        <is>
          <t>사창동</t>
        </is>
      </c>
      <c r="AG296" s="0" t="inlineStr">
        <is>
          <t>충청북도 청주시 서원구 예체로67번길 87</t>
        </is>
      </c>
      <c r="AH296" s="0" t="n">
        <v>0</v>
      </c>
      <c r="AI296" s="0" t="n">
        <v>247</v>
      </c>
      <c r="AJ296" s="0" t="n">
        <v>16</v>
      </c>
      <c r="AK296" s="0" t="n">
        <v>1224</v>
      </c>
      <c r="AL296" s="0" t="n">
        <v>1.51</v>
      </c>
    </row>
    <row r="297">
      <c r="A297" s="0" t="inlineStr">
        <is>
          <t>[사창동]</t>
        </is>
      </c>
      <c r="B297" s="0" t="n">
        <v>24345</v>
      </c>
      <c r="C297" s="0" t="n">
        <v>3</v>
      </c>
      <c r="D297" s="0" t="inlineStr">
        <is>
          <t>대원칸타빌</t>
        </is>
      </c>
      <c r="E297" s="0" t="inlineStr">
        <is>
          <t>2008.06.</t>
        </is>
      </c>
      <c r="F297" s="0" t="n">
        <v>810</v>
      </c>
      <c r="G297" s="0" t="n">
        <v>44.64</v>
      </c>
      <c r="H297" s="0" t="n">
        <v>147.58</v>
      </c>
      <c r="I297" s="0" t="n">
        <v>34.85</v>
      </c>
      <c r="J297" s="0" t="n">
        <v>115.21</v>
      </c>
      <c r="K297" s="0" t="n">
        <v>267</v>
      </c>
      <c r="T297" s="0" t="n">
        <v>4</v>
      </c>
      <c r="U297" s="0" t="n">
        <v>2</v>
      </c>
      <c r="V297" s="0" t="inlineStr">
        <is>
          <t>계단식</t>
        </is>
      </c>
      <c r="W297" s="0" t="n">
        <v>147</v>
      </c>
      <c r="X297" s="0" t="n">
        <v>25</v>
      </c>
      <c r="Y297" s="0" t="n">
        <v>13</v>
      </c>
      <c r="Z297" s="0" t="inlineStr">
        <is>
          <t>https://new.land.naver.com/complexes/24345?tab=detail&amp;rf=Y</t>
        </is>
      </c>
      <c r="AA297" s="0" t="inlineStr">
        <is>
          <t>충청북도 청주시 서원구 사창동 285-3</t>
        </is>
      </c>
      <c r="AB297" s="0" t="inlineStr">
        <is>
          <t>충청북도</t>
        </is>
      </c>
      <c r="AC297" s="0" t="inlineStr">
        <is>
          <t>청주시</t>
        </is>
      </c>
      <c r="AD297" s="0" t="inlineStr">
        <is>
          <t>서원구</t>
        </is>
      </c>
      <c r="AE297" s="0" t="inlineStr">
        <is>
          <t>사창동</t>
        </is>
      </c>
      <c r="AG297" s="0" t="inlineStr">
        <is>
          <t>충청북도 청주시 서원구 예체로67번길 87</t>
        </is>
      </c>
      <c r="AH297" s="0" t="n">
        <v>0</v>
      </c>
      <c r="AI297" s="0" t="n">
        <v>247</v>
      </c>
      <c r="AJ297" s="0" t="n">
        <v>16</v>
      </c>
      <c r="AK297" s="0" t="n">
        <v>1224</v>
      </c>
      <c r="AL297" s="0" t="n">
        <v>1.51</v>
      </c>
    </row>
    <row r="298">
      <c r="A298" s="0" t="inlineStr">
        <is>
          <t>[사창동]</t>
        </is>
      </c>
      <c r="B298" s="0" t="n">
        <v>113940</v>
      </c>
      <c r="C298" s="0" t="n">
        <v>1</v>
      </c>
      <c r="D298" s="0" t="inlineStr">
        <is>
          <t>로얄</t>
        </is>
      </c>
      <c r="E298" s="0" t="inlineStr">
        <is>
          <t>1984.01.</t>
        </is>
      </c>
      <c r="F298" s="0" t="n">
        <v>70</v>
      </c>
      <c r="G298" s="0" t="n">
        <v>25.56</v>
      </c>
      <c r="H298" s="0" t="n">
        <v>84.52</v>
      </c>
      <c r="I298" s="0" t="n">
        <v>21.82</v>
      </c>
      <c r="J298" s="0" t="n">
        <v>72.15000000000001</v>
      </c>
      <c r="K298" s="0" t="n">
        <v>70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84</v>
      </c>
      <c r="X298" s="0" t="n">
        <v>5</v>
      </c>
      <c r="Y298" s="0" t="n">
        <v>5</v>
      </c>
      <c r="Z298" s="0" t="inlineStr">
        <is>
          <t>https://new.land.naver.com/complexes/113940?tab=detail&amp;rf=Y</t>
        </is>
      </c>
      <c r="AA298" s="0" t="inlineStr">
        <is>
          <t>충청북도 청주시 서원구 사창동 241-2</t>
        </is>
      </c>
      <c r="AB298" s="0" t="inlineStr">
        <is>
          <t>충청북도</t>
        </is>
      </c>
      <c r="AC298" s="0" t="inlineStr">
        <is>
          <t>청주시</t>
        </is>
      </c>
      <c r="AD298" s="0" t="inlineStr">
        <is>
          <t>서원구</t>
        </is>
      </c>
      <c r="AE298" s="0" t="inlineStr">
        <is>
          <t>사창동</t>
        </is>
      </c>
      <c r="AG298" s="0" t="inlineStr">
        <is>
          <t>충청북도 청주시 서원구 예체로139번길 22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[사창동]</t>
        </is>
      </c>
      <c r="B299" s="0" t="n">
        <v>7390</v>
      </c>
      <c r="C299" s="0" t="n">
        <v>1</v>
      </c>
      <c r="D299" s="0" t="inlineStr">
        <is>
          <t>현대(227-2)</t>
        </is>
      </c>
      <c r="E299" s="0" t="inlineStr">
        <is>
          <t>1988.12.</t>
        </is>
      </c>
      <c r="F299" s="0" t="n">
        <v>229</v>
      </c>
      <c r="G299" s="0" t="n">
        <v>27.06</v>
      </c>
      <c r="H299" s="0" t="n">
        <v>89.48</v>
      </c>
      <c r="I299" s="0" t="n">
        <v>21.67</v>
      </c>
      <c r="J299" s="0" t="n">
        <v>71.64</v>
      </c>
      <c r="K299" s="0" t="n">
        <v>68</v>
      </c>
      <c r="T299" s="0" t="n">
        <v>3</v>
      </c>
      <c r="U299" s="0" t="n">
        <v>1</v>
      </c>
      <c r="V299" s="0" t="inlineStr">
        <is>
          <t>계단식</t>
        </is>
      </c>
      <c r="W299" s="0" t="n">
        <v>89</v>
      </c>
      <c r="X299" s="0" t="n">
        <v>14</v>
      </c>
      <c r="Y299" s="0" t="n">
        <v>7</v>
      </c>
      <c r="Z299" s="0" t="inlineStr">
        <is>
          <t>https://new.land.naver.com/complexes/7390?tab=detail&amp;rf=Y</t>
        </is>
      </c>
      <c r="AA299" s="0" t="inlineStr">
        <is>
          <t>충청북도 청주시 서원구 사창동 227-2</t>
        </is>
      </c>
      <c r="AB299" s="0" t="inlineStr">
        <is>
          <t>충청북도</t>
        </is>
      </c>
      <c r="AC299" s="0" t="inlineStr">
        <is>
          <t>청주시</t>
        </is>
      </c>
      <c r="AD299" s="0" t="inlineStr">
        <is>
          <t>서원구</t>
        </is>
      </c>
      <c r="AE299" s="0" t="inlineStr">
        <is>
          <t>사창동</t>
        </is>
      </c>
      <c r="AG299" s="0" t="inlineStr">
        <is>
          <t>충청북도 청주시 서원구 사직대로157번길 18</t>
        </is>
      </c>
      <c r="AH299" s="0" t="n">
        <v>0</v>
      </c>
      <c r="AI299" s="0" t="n">
        <v>0</v>
      </c>
      <c r="AJ299" s="0" t="n">
        <v>0</v>
      </c>
      <c r="AK299" s="0" t="n">
        <v>0</v>
      </c>
      <c r="AL299" s="0" t="n">
        <v>0</v>
      </c>
    </row>
    <row r="300">
      <c r="A300" s="0" t="inlineStr">
        <is>
          <t>[사창동]</t>
        </is>
      </c>
      <c r="B300" s="0" t="n">
        <v>7390</v>
      </c>
      <c r="C300" s="0" t="n">
        <v>2</v>
      </c>
      <c r="D300" s="0" t="inlineStr">
        <is>
          <t>현대(227-2)</t>
        </is>
      </c>
      <c r="E300" s="0" t="inlineStr">
        <is>
          <t>1988.12.</t>
        </is>
      </c>
      <c r="F300" s="0" t="n">
        <v>229</v>
      </c>
      <c r="G300" s="0" t="n">
        <v>32.19</v>
      </c>
      <c r="H300" s="0" t="n">
        <v>106.42</v>
      </c>
      <c r="I300" s="0" t="n">
        <v>25.68</v>
      </c>
      <c r="J300" s="0" t="n">
        <v>84.91</v>
      </c>
      <c r="K300" s="0" t="n">
        <v>106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106</v>
      </c>
      <c r="X300" s="0" t="n">
        <v>14</v>
      </c>
      <c r="Y300" s="0" t="n">
        <v>7</v>
      </c>
      <c r="Z300" s="0" t="inlineStr">
        <is>
          <t>https://new.land.naver.com/complexes/7390?tab=detail&amp;rf=Y</t>
        </is>
      </c>
      <c r="AA300" s="0" t="inlineStr">
        <is>
          <t>충청북도 청주시 서원구 사창동 227-2</t>
        </is>
      </c>
      <c r="AB300" s="0" t="inlineStr">
        <is>
          <t>충청북도</t>
        </is>
      </c>
      <c r="AC300" s="0" t="inlineStr">
        <is>
          <t>청주시</t>
        </is>
      </c>
      <c r="AD300" s="0" t="inlineStr">
        <is>
          <t>서원구</t>
        </is>
      </c>
      <c r="AE300" s="0" t="inlineStr">
        <is>
          <t>사창동</t>
        </is>
      </c>
      <c r="AG300" s="0" t="inlineStr">
        <is>
          <t>충청북도 청주시 서원구 사직대로157번길 18</t>
        </is>
      </c>
      <c r="AH300" s="0" t="n">
        <v>0</v>
      </c>
      <c r="AI300" s="0" t="n">
        <v>0</v>
      </c>
      <c r="AJ300" s="0" t="n">
        <v>0</v>
      </c>
      <c r="AK300" s="0" t="n">
        <v>0</v>
      </c>
      <c r="AL300" s="0" t="n">
        <v>0</v>
      </c>
    </row>
    <row r="301">
      <c r="A301" s="0" t="inlineStr">
        <is>
          <t>[사창동]</t>
        </is>
      </c>
      <c r="B301" s="0" t="n">
        <v>7390</v>
      </c>
      <c r="C301" s="0" t="n">
        <v>3</v>
      </c>
      <c r="D301" s="0" t="inlineStr">
        <is>
          <t>현대(227-2)</t>
        </is>
      </c>
      <c r="E301" s="0" t="inlineStr">
        <is>
          <t>1988.12.</t>
        </is>
      </c>
      <c r="F301" s="0" t="n">
        <v>229</v>
      </c>
      <c r="G301" s="0" t="n">
        <v>47.51</v>
      </c>
      <c r="H301" s="0" t="n">
        <v>157.08</v>
      </c>
      <c r="I301" s="0" t="n">
        <v>38.42</v>
      </c>
      <c r="J301" s="0" t="n">
        <v>127.01</v>
      </c>
      <c r="K301" s="0" t="n">
        <v>55</v>
      </c>
      <c r="T301" s="0" t="n">
        <v>4</v>
      </c>
      <c r="U301" s="0" t="n">
        <v>2</v>
      </c>
      <c r="V301" s="0" t="inlineStr">
        <is>
          <t>계단식</t>
        </is>
      </c>
      <c r="W301" s="0" t="n">
        <v>157</v>
      </c>
      <c r="X301" s="0" t="n">
        <v>14</v>
      </c>
      <c r="Y301" s="0" t="n">
        <v>7</v>
      </c>
      <c r="Z301" s="0" t="inlineStr">
        <is>
          <t>https://new.land.naver.com/complexes/7390?tab=detail&amp;rf=Y</t>
        </is>
      </c>
      <c r="AA301" s="0" t="inlineStr">
        <is>
          <t>충청북도 청주시 서원구 사창동 227-2</t>
        </is>
      </c>
      <c r="AB301" s="0" t="inlineStr">
        <is>
          <t>충청북도</t>
        </is>
      </c>
      <c r="AC301" s="0" t="inlineStr">
        <is>
          <t>청주시</t>
        </is>
      </c>
      <c r="AD301" s="0" t="inlineStr">
        <is>
          <t>서원구</t>
        </is>
      </c>
      <c r="AE301" s="0" t="inlineStr">
        <is>
          <t>사창동</t>
        </is>
      </c>
      <c r="AG301" s="0" t="inlineStr">
        <is>
          <t>충청북도 청주시 서원구 사직대로157번길 18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[사창동]</t>
        </is>
      </c>
      <c r="B302" s="0" t="n">
        <v>114607</v>
      </c>
      <c r="C302" s="0" t="n">
        <v>1</v>
      </c>
      <c r="D302" s="0" t="inlineStr">
        <is>
          <t>평화</t>
        </is>
      </c>
      <c r="E302" s="0" t="inlineStr">
        <is>
          <t>1981.11.</t>
        </is>
      </c>
      <c r="F302" s="0" t="n">
        <v>60</v>
      </c>
      <c r="G302" s="0" t="n">
        <v>18.09</v>
      </c>
      <c r="H302" s="0" t="n">
        <v>59.83</v>
      </c>
      <c r="I302" s="0" t="n">
        <v>18.09</v>
      </c>
      <c r="J302" s="0" t="n">
        <v>59.83</v>
      </c>
      <c r="K302" s="0" t="n">
        <v>29</v>
      </c>
      <c r="T302" s="0" t="n">
        <v>1</v>
      </c>
      <c r="U302" s="0" t="n">
        <v>1</v>
      </c>
      <c r="V302" s="0" t="inlineStr">
        <is>
          <t>계단식</t>
        </is>
      </c>
      <c r="W302" s="0" t="inlineStr">
        <is>
          <t>59B</t>
        </is>
      </c>
      <c r="X302" s="0" t="n">
        <v>5</v>
      </c>
      <c r="Y302" s="0" t="n">
        <v>5</v>
      </c>
      <c r="Z302" s="0" t="inlineStr">
        <is>
          <t>https://new.land.naver.com/complexes/114607?tab=detail&amp;rf=Y</t>
        </is>
      </c>
      <c r="AA302" s="0" t="inlineStr">
        <is>
          <t>충청북도 청주시 서원구 사창동 253-4</t>
        </is>
      </c>
      <c r="AB302" s="0" t="inlineStr">
        <is>
          <t>충청북도</t>
        </is>
      </c>
      <c r="AC302" s="0" t="inlineStr">
        <is>
          <t>청주시</t>
        </is>
      </c>
      <c r="AD302" s="0" t="inlineStr">
        <is>
          <t>서원구</t>
        </is>
      </c>
      <c r="AE302" s="0" t="inlineStr">
        <is>
          <t>사창동</t>
        </is>
      </c>
      <c r="AG302" s="0" t="inlineStr">
        <is>
          <t>충청북도 청주시 서원구 사직대로185번길 7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[사창동]</t>
        </is>
      </c>
      <c r="B303" s="0" t="n">
        <v>114607</v>
      </c>
      <c r="C303" s="0" t="n">
        <v>2</v>
      </c>
      <c r="D303" s="0" t="inlineStr">
        <is>
          <t>평화</t>
        </is>
      </c>
      <c r="E303" s="0" t="inlineStr">
        <is>
          <t>1981.11.</t>
        </is>
      </c>
      <c r="F303" s="0" t="n">
        <v>60</v>
      </c>
      <c r="G303" s="0" t="n">
        <v>17.88</v>
      </c>
      <c r="H303" s="0" t="n">
        <v>59.13</v>
      </c>
      <c r="I303" s="0" t="n">
        <v>17.88</v>
      </c>
      <c r="J303" s="0" t="n">
        <v>59.13</v>
      </c>
      <c r="K303" s="0" t="n">
        <v>1</v>
      </c>
      <c r="T303" s="0" t="n">
        <v>1</v>
      </c>
      <c r="U303" s="0" t="n">
        <v>1</v>
      </c>
      <c r="V303" s="0" t="inlineStr">
        <is>
          <t>계단식</t>
        </is>
      </c>
      <c r="W303" s="0" t="inlineStr">
        <is>
          <t>59A</t>
        </is>
      </c>
      <c r="X303" s="0" t="n">
        <v>5</v>
      </c>
      <c r="Y303" s="0" t="n">
        <v>5</v>
      </c>
      <c r="Z303" s="0" t="inlineStr">
        <is>
          <t>https://new.land.naver.com/complexes/114607?tab=detail&amp;rf=Y</t>
        </is>
      </c>
      <c r="AA303" s="0" t="inlineStr">
        <is>
          <t>충청북도 청주시 서원구 사창동 253-4</t>
        </is>
      </c>
      <c r="AB303" s="0" t="inlineStr">
        <is>
          <t>충청북도</t>
        </is>
      </c>
      <c r="AC303" s="0" t="inlineStr">
        <is>
          <t>청주시</t>
        </is>
      </c>
      <c r="AD303" s="0" t="inlineStr">
        <is>
          <t>서원구</t>
        </is>
      </c>
      <c r="AE303" s="0" t="inlineStr">
        <is>
          <t>사창동</t>
        </is>
      </c>
      <c r="AG303" s="0" t="inlineStr">
        <is>
          <t>충청북도 청주시 서원구 사직대로185번길 7</t>
        </is>
      </c>
      <c r="AH303" s="0" t="n">
        <v>0</v>
      </c>
      <c r="AI303" s="0" t="n">
        <v>0</v>
      </c>
      <c r="AJ303" s="0" t="n">
        <v>0</v>
      </c>
      <c r="AK303" s="0" t="n">
        <v>0</v>
      </c>
      <c r="AL303" s="0" t="n">
        <v>0</v>
      </c>
    </row>
    <row r="304">
      <c r="A304" s="0" t="inlineStr">
        <is>
          <t>[사창동]</t>
        </is>
      </c>
      <c r="B304" s="0" t="n">
        <v>114607</v>
      </c>
      <c r="C304" s="0" t="n">
        <v>3</v>
      </c>
      <c r="D304" s="0" t="inlineStr">
        <is>
          <t>평화</t>
        </is>
      </c>
      <c r="E304" s="0" t="inlineStr">
        <is>
          <t>1981.11.</t>
        </is>
      </c>
      <c r="F304" s="0" t="n">
        <v>60</v>
      </c>
      <c r="G304" s="0" t="n">
        <v>20.72</v>
      </c>
      <c r="H304" s="0" t="n">
        <v>68.5</v>
      </c>
      <c r="I304" s="0" t="n">
        <v>19.03</v>
      </c>
      <c r="J304" s="0" t="n">
        <v>62.91</v>
      </c>
      <c r="K304" s="0" t="n">
        <v>20</v>
      </c>
      <c r="T304" s="0" t="n">
        <v>3</v>
      </c>
      <c r="U304" s="0" t="n">
        <v>1</v>
      </c>
      <c r="V304" s="0" t="inlineStr">
        <is>
          <t>계단식</t>
        </is>
      </c>
      <c r="W304" s="0" t="n">
        <v>68</v>
      </c>
      <c r="X304" s="0" t="n">
        <v>5</v>
      </c>
      <c r="Y304" s="0" t="n">
        <v>5</v>
      </c>
      <c r="Z304" s="0" t="inlineStr">
        <is>
          <t>https://new.land.naver.com/complexes/114607?tab=detail&amp;rf=Y</t>
        </is>
      </c>
      <c r="AA304" s="0" t="inlineStr">
        <is>
          <t>충청북도 청주시 서원구 사창동 253-4</t>
        </is>
      </c>
      <c r="AB304" s="0" t="inlineStr">
        <is>
          <t>충청북도</t>
        </is>
      </c>
      <c r="AC304" s="0" t="inlineStr">
        <is>
          <t>청주시</t>
        </is>
      </c>
      <c r="AD304" s="0" t="inlineStr">
        <is>
          <t>서원구</t>
        </is>
      </c>
      <c r="AE304" s="0" t="inlineStr">
        <is>
          <t>사창동</t>
        </is>
      </c>
      <c r="AG304" s="0" t="inlineStr">
        <is>
          <t>충청북도 청주시 서원구 사직대로185번길 7</t>
        </is>
      </c>
      <c r="AH304" s="0" t="n">
        <v>0</v>
      </c>
      <c r="AI304" s="0" t="n">
        <v>0</v>
      </c>
      <c r="AJ304" s="0" t="n">
        <v>0</v>
      </c>
      <c r="AK304" s="0" t="n">
        <v>0</v>
      </c>
      <c r="AL304" s="0" t="n">
        <v>0</v>
      </c>
    </row>
    <row r="305">
      <c r="A305" s="0" t="inlineStr">
        <is>
          <t>[사창동]</t>
        </is>
      </c>
      <c r="B305" s="0" t="n">
        <v>114607</v>
      </c>
      <c r="C305" s="0" t="n">
        <v>4</v>
      </c>
      <c r="D305" s="0" t="inlineStr">
        <is>
          <t>평화</t>
        </is>
      </c>
      <c r="E305" s="0" t="inlineStr">
        <is>
          <t>1981.11.</t>
        </is>
      </c>
      <c r="F305" s="0" t="n">
        <v>60</v>
      </c>
      <c r="G305" s="0" t="n">
        <v>24.25</v>
      </c>
      <c r="H305" s="0" t="n">
        <v>80.19</v>
      </c>
      <c r="I305" s="0" t="n">
        <v>20.87</v>
      </c>
      <c r="J305" s="0" t="n">
        <v>69.02</v>
      </c>
      <c r="K305" s="0" t="n">
        <v>5</v>
      </c>
      <c r="T305" s="0" t="n">
        <v>3</v>
      </c>
      <c r="U305" s="0" t="n">
        <v>1</v>
      </c>
      <c r="V305" s="0" t="inlineStr">
        <is>
          <t>계단식</t>
        </is>
      </c>
      <c r="W305" s="0" t="n">
        <v>80</v>
      </c>
      <c r="X305" s="0" t="n">
        <v>5</v>
      </c>
      <c r="Y305" s="0" t="n">
        <v>5</v>
      </c>
      <c r="Z305" s="0" t="inlineStr">
        <is>
          <t>https://new.land.naver.com/complexes/114607?tab=detail&amp;rf=Y</t>
        </is>
      </c>
      <c r="AA305" s="0" t="inlineStr">
        <is>
          <t>충청북도 청주시 서원구 사창동 253-4</t>
        </is>
      </c>
      <c r="AB305" s="0" t="inlineStr">
        <is>
          <t>충청북도</t>
        </is>
      </c>
      <c r="AC305" s="0" t="inlineStr">
        <is>
          <t>청주시</t>
        </is>
      </c>
      <c r="AD305" s="0" t="inlineStr">
        <is>
          <t>서원구</t>
        </is>
      </c>
      <c r="AE305" s="0" t="inlineStr">
        <is>
          <t>사창동</t>
        </is>
      </c>
      <c r="AG305" s="0" t="inlineStr">
        <is>
          <t>충청북도 청주시 서원구 사직대로185번길 7</t>
        </is>
      </c>
      <c r="AH305" s="0" t="n">
        <v>0</v>
      </c>
      <c r="AI305" s="0" t="n">
        <v>0</v>
      </c>
      <c r="AJ305" s="0" t="n">
        <v>0</v>
      </c>
      <c r="AK305" s="0" t="n">
        <v>0</v>
      </c>
      <c r="AL305" s="0" t="n">
        <v>0</v>
      </c>
    </row>
    <row r="306">
      <c r="A306" s="0" t="inlineStr">
        <is>
          <t>[사창동]</t>
        </is>
      </c>
      <c r="B306" s="0" t="n">
        <v>114607</v>
      </c>
      <c r="C306" s="0" t="n">
        <v>5</v>
      </c>
      <c r="D306" s="0" t="inlineStr">
        <is>
          <t>평화</t>
        </is>
      </c>
      <c r="E306" s="0" t="inlineStr">
        <is>
          <t>1981.11.</t>
        </is>
      </c>
      <c r="F306" s="0" t="n">
        <v>60</v>
      </c>
      <c r="G306" s="0" t="n">
        <v>25.33</v>
      </c>
      <c r="H306" s="0" t="n">
        <v>83.73999999999999</v>
      </c>
      <c r="I306" s="0" t="n">
        <v>19.91</v>
      </c>
      <c r="J306" s="0" t="n">
        <v>65.81999999999999</v>
      </c>
      <c r="K306" s="0" t="n">
        <v>5</v>
      </c>
      <c r="T306" s="0" t="n">
        <v>3</v>
      </c>
      <c r="U306" s="0" t="n">
        <v>2</v>
      </c>
      <c r="V306" s="0" t="inlineStr">
        <is>
          <t>계단식</t>
        </is>
      </c>
      <c r="W306" s="0" t="n">
        <v>83</v>
      </c>
      <c r="X306" s="0" t="n">
        <v>5</v>
      </c>
      <c r="Y306" s="0" t="n">
        <v>5</v>
      </c>
      <c r="Z306" s="0" t="inlineStr">
        <is>
          <t>https://new.land.naver.com/complexes/114607?tab=detail&amp;rf=Y</t>
        </is>
      </c>
      <c r="AA306" s="0" t="inlineStr">
        <is>
          <t>충청북도 청주시 서원구 사창동 253-4</t>
        </is>
      </c>
      <c r="AB306" s="0" t="inlineStr">
        <is>
          <t>충청북도</t>
        </is>
      </c>
      <c r="AC306" s="0" t="inlineStr">
        <is>
          <t>청주시</t>
        </is>
      </c>
      <c r="AD306" s="0" t="inlineStr">
        <is>
          <t>서원구</t>
        </is>
      </c>
      <c r="AE306" s="0" t="inlineStr">
        <is>
          <t>사창동</t>
        </is>
      </c>
      <c r="AG306" s="0" t="inlineStr">
        <is>
          <t>충청북도 청주시 서원구 사직대로185번길 7</t>
        </is>
      </c>
      <c r="AH306" s="0" t="n">
        <v>0</v>
      </c>
      <c r="AI306" s="0" t="n">
        <v>0</v>
      </c>
      <c r="AJ306" s="0" t="n">
        <v>0</v>
      </c>
      <c r="AK306" s="0" t="n">
        <v>0</v>
      </c>
      <c r="AL306" s="0" t="n">
        <v>0</v>
      </c>
    </row>
    <row r="307">
      <c r="A307" s="0" t="inlineStr">
        <is>
          <t>[사창동]</t>
        </is>
      </c>
      <c r="B307" s="0" t="n">
        <v>106607</v>
      </c>
      <c r="C307" s="0" t="n">
        <v>1</v>
      </c>
      <c r="D307" s="0" t="inlineStr">
        <is>
          <t>주성</t>
        </is>
      </c>
      <c r="E307" s="0" t="inlineStr">
        <is>
          <t>1981.06.</t>
        </is>
      </c>
      <c r="F307" s="0" t="n">
        <v>199</v>
      </c>
      <c r="G307" s="0" t="n">
        <v>18.35</v>
      </c>
      <c r="H307" s="0" t="n">
        <v>60.69</v>
      </c>
      <c r="I307" s="0" t="n">
        <v>18.35</v>
      </c>
      <c r="J307" s="0" t="n">
        <v>60.69</v>
      </c>
      <c r="K307" s="0" t="n">
        <v>50</v>
      </c>
      <c r="T307" s="0" t="n">
        <v>3</v>
      </c>
      <c r="U307" s="0" t="n">
        <v>1</v>
      </c>
      <c r="V307" s="0" t="inlineStr">
        <is>
          <t>계단식</t>
        </is>
      </c>
      <c r="W307" s="0" t="n">
        <v>60</v>
      </c>
      <c r="X307" s="0" t="n">
        <v>5</v>
      </c>
      <c r="Y307" s="0" t="n">
        <v>5</v>
      </c>
      <c r="Z307" s="0" t="inlineStr">
        <is>
          <t>https://new.land.naver.com/complexes/106607?tab=detail&amp;rf=Y</t>
        </is>
      </c>
      <c r="AA307" s="0" t="inlineStr">
        <is>
          <t>충청북도 청주시 서원구 사창동 285-12</t>
        </is>
      </c>
      <c r="AB307" s="0" t="inlineStr">
        <is>
          <t>충청북도</t>
        </is>
      </c>
      <c r="AC307" s="0" t="inlineStr">
        <is>
          <t>청주시</t>
        </is>
      </c>
      <c r="AD307" s="0" t="inlineStr">
        <is>
          <t>서원구</t>
        </is>
      </c>
      <c r="AE307" s="0" t="inlineStr">
        <is>
          <t>사창동</t>
        </is>
      </c>
      <c r="AG307" s="0" t="inlineStr">
        <is>
          <t>충청북도 청주시 서원구 1순환로 689</t>
        </is>
      </c>
      <c r="AH307" s="0" t="n">
        <v>0</v>
      </c>
      <c r="AI307" s="0" t="n">
        <v>0</v>
      </c>
      <c r="AJ307" s="0" t="n">
        <v>0</v>
      </c>
      <c r="AK307" s="0" t="n">
        <v>0</v>
      </c>
      <c r="AL307" s="0" t="n">
        <v>0</v>
      </c>
    </row>
    <row r="308">
      <c r="A308" s="0" t="inlineStr">
        <is>
          <t>[사창동]</t>
        </is>
      </c>
      <c r="B308" s="0" t="n">
        <v>106607</v>
      </c>
      <c r="C308" s="0" t="n">
        <v>2</v>
      </c>
      <c r="D308" s="0" t="inlineStr">
        <is>
          <t>주성</t>
        </is>
      </c>
      <c r="E308" s="0" t="inlineStr">
        <is>
          <t>1981.06.</t>
        </is>
      </c>
      <c r="F308" s="0" t="n">
        <v>199</v>
      </c>
      <c r="G308" s="0" t="n">
        <v>20.28</v>
      </c>
      <c r="H308" s="0" t="n">
        <v>67.05</v>
      </c>
      <c r="I308" s="0" t="n">
        <v>18.11</v>
      </c>
      <c r="J308" s="0" t="n">
        <v>59.87</v>
      </c>
      <c r="K308" s="0" t="n">
        <v>31</v>
      </c>
      <c r="T308" s="0" t="n">
        <v>2</v>
      </c>
      <c r="U308" s="0" t="n">
        <v>1</v>
      </c>
      <c r="V308" s="0" t="inlineStr">
        <is>
          <t>계단식</t>
        </is>
      </c>
      <c r="W308" s="0" t="inlineStr">
        <is>
          <t>67A</t>
        </is>
      </c>
      <c r="X308" s="0" t="n">
        <v>5</v>
      </c>
      <c r="Y308" s="0" t="n">
        <v>5</v>
      </c>
      <c r="Z308" s="0" t="inlineStr">
        <is>
          <t>https://new.land.naver.com/complexes/106607?tab=detail&amp;rf=Y</t>
        </is>
      </c>
      <c r="AA308" s="0" t="inlineStr">
        <is>
          <t>충청북도 청주시 서원구 사창동 285-12</t>
        </is>
      </c>
      <c r="AB308" s="0" t="inlineStr">
        <is>
          <t>충청북도</t>
        </is>
      </c>
      <c r="AC308" s="0" t="inlineStr">
        <is>
          <t>청주시</t>
        </is>
      </c>
      <c r="AD308" s="0" t="inlineStr">
        <is>
          <t>서원구</t>
        </is>
      </c>
      <c r="AE308" s="0" t="inlineStr">
        <is>
          <t>사창동</t>
        </is>
      </c>
      <c r="AG308" s="0" t="inlineStr">
        <is>
          <t>충청북도 청주시 서원구 1순환로 689</t>
        </is>
      </c>
      <c r="AH308" s="0" t="n">
        <v>0</v>
      </c>
      <c r="AI308" s="0" t="n">
        <v>0</v>
      </c>
      <c r="AJ308" s="0" t="n">
        <v>0</v>
      </c>
      <c r="AK308" s="0" t="n">
        <v>0</v>
      </c>
      <c r="AL308" s="0" t="n">
        <v>0</v>
      </c>
    </row>
    <row r="309">
      <c r="A309" s="0" t="inlineStr">
        <is>
          <t>[사창동]</t>
        </is>
      </c>
      <c r="B309" s="0" t="n">
        <v>106607</v>
      </c>
      <c r="C309" s="0" t="n">
        <v>3</v>
      </c>
      <c r="D309" s="0" t="inlineStr">
        <is>
          <t>주성</t>
        </is>
      </c>
      <c r="E309" s="0" t="inlineStr">
        <is>
          <t>1981.06.</t>
        </is>
      </c>
      <c r="F309" s="0" t="n">
        <v>199</v>
      </c>
      <c r="G309" s="0" t="n">
        <v>20.43</v>
      </c>
      <c r="H309" s="0" t="n">
        <v>67.56999999999999</v>
      </c>
      <c r="I309" s="0" t="n">
        <v>18.15</v>
      </c>
      <c r="J309" s="0" t="n">
        <v>60.03</v>
      </c>
      <c r="K309" s="0" t="n">
        <v>29</v>
      </c>
      <c r="T309" s="0" t="n">
        <v>2</v>
      </c>
      <c r="U309" s="0" t="n">
        <v>1</v>
      </c>
      <c r="V309" s="0" t="inlineStr">
        <is>
          <t>계단식</t>
        </is>
      </c>
      <c r="W309" s="0" t="inlineStr">
        <is>
          <t>67B</t>
        </is>
      </c>
      <c r="X309" s="0" t="n">
        <v>5</v>
      </c>
      <c r="Y309" s="0" t="n">
        <v>5</v>
      </c>
      <c r="Z309" s="0" t="inlineStr">
        <is>
          <t>https://new.land.naver.com/complexes/106607?tab=detail&amp;rf=Y</t>
        </is>
      </c>
      <c r="AA309" s="0" t="inlineStr">
        <is>
          <t>충청북도 청주시 서원구 사창동 285-12</t>
        </is>
      </c>
      <c r="AB309" s="0" t="inlineStr">
        <is>
          <t>충청북도</t>
        </is>
      </c>
      <c r="AC309" s="0" t="inlineStr">
        <is>
          <t>청주시</t>
        </is>
      </c>
      <c r="AD309" s="0" t="inlineStr">
        <is>
          <t>서원구</t>
        </is>
      </c>
      <c r="AE309" s="0" t="inlineStr">
        <is>
          <t>사창동</t>
        </is>
      </c>
      <c r="AG309" s="0" t="inlineStr">
        <is>
          <t>충청북도 청주시 서원구 1순환로 689</t>
        </is>
      </c>
      <c r="AH309" s="0" t="n">
        <v>0</v>
      </c>
      <c r="AI309" s="0" t="n">
        <v>0</v>
      </c>
      <c r="AJ309" s="0" t="n">
        <v>0</v>
      </c>
      <c r="AK309" s="0" t="n">
        <v>0</v>
      </c>
      <c r="AL309" s="0" t="n">
        <v>0</v>
      </c>
    </row>
    <row r="310">
      <c r="A310" s="0" t="inlineStr">
        <is>
          <t>[사창동]</t>
        </is>
      </c>
      <c r="B310" s="0" t="n">
        <v>106607</v>
      </c>
      <c r="C310" s="0" t="n">
        <v>4</v>
      </c>
      <c r="D310" s="0" t="inlineStr">
        <is>
          <t>주성</t>
        </is>
      </c>
      <c r="E310" s="0" t="inlineStr">
        <is>
          <t>1981.06.</t>
        </is>
      </c>
      <c r="F310" s="0" t="n">
        <v>199</v>
      </c>
      <c r="G310" s="0" t="n">
        <v>20.87</v>
      </c>
      <c r="H310" s="0" t="n">
        <v>69.02</v>
      </c>
      <c r="I310" s="0" t="n">
        <v>20.87</v>
      </c>
      <c r="J310" s="0" t="n">
        <v>69.02</v>
      </c>
      <c r="K310" s="0" t="n">
        <v>48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69</v>
      </c>
      <c r="X310" s="0" t="n">
        <v>5</v>
      </c>
      <c r="Y310" s="0" t="n">
        <v>5</v>
      </c>
      <c r="Z310" s="0" t="inlineStr">
        <is>
          <t>https://new.land.naver.com/complexes/106607?tab=detail&amp;rf=Y</t>
        </is>
      </c>
      <c r="AA310" s="0" t="inlineStr">
        <is>
          <t>충청북도 청주시 서원구 사창동 285-12</t>
        </is>
      </c>
      <c r="AB310" s="0" t="inlineStr">
        <is>
          <t>충청북도</t>
        </is>
      </c>
      <c r="AC310" s="0" t="inlineStr">
        <is>
          <t>청주시</t>
        </is>
      </c>
      <c r="AD310" s="0" t="inlineStr">
        <is>
          <t>서원구</t>
        </is>
      </c>
      <c r="AE310" s="0" t="inlineStr">
        <is>
          <t>사창동</t>
        </is>
      </c>
      <c r="AG310" s="0" t="inlineStr">
        <is>
          <t>충청북도 청주시 서원구 1순환로 689</t>
        </is>
      </c>
      <c r="AH310" s="0" t="n">
        <v>0</v>
      </c>
      <c r="AI310" s="0" t="n">
        <v>0</v>
      </c>
      <c r="AJ310" s="0" t="n">
        <v>0</v>
      </c>
      <c r="AK310" s="0" t="n">
        <v>0</v>
      </c>
      <c r="AL310" s="0" t="n">
        <v>0</v>
      </c>
    </row>
    <row r="311">
      <c r="A311" s="0" t="inlineStr">
        <is>
          <t>[사창동]</t>
        </is>
      </c>
      <c r="B311" s="0" t="n">
        <v>106607</v>
      </c>
      <c r="C311" s="0" t="n">
        <v>5</v>
      </c>
      <c r="D311" s="0" t="inlineStr">
        <is>
          <t>주성</t>
        </is>
      </c>
      <c r="E311" s="0" t="inlineStr">
        <is>
          <t>1981.06.</t>
        </is>
      </c>
      <c r="F311" s="0" t="n">
        <v>199</v>
      </c>
      <c r="G311" s="0" t="n">
        <v>24.23</v>
      </c>
      <c r="H311" s="0" t="n">
        <v>80.09999999999999</v>
      </c>
      <c r="I311" s="0" t="n">
        <v>21.94</v>
      </c>
      <c r="J311" s="0" t="n">
        <v>72.56</v>
      </c>
      <c r="K311" s="0" t="n">
        <v>20</v>
      </c>
      <c r="T311" s="0" t="n">
        <v>3</v>
      </c>
      <c r="U311" s="0" t="n">
        <v>1</v>
      </c>
      <c r="V311" s="0" t="inlineStr">
        <is>
          <t>계단식</t>
        </is>
      </c>
      <c r="W311" s="0" t="n">
        <v>80</v>
      </c>
      <c r="X311" s="0" t="n">
        <v>5</v>
      </c>
      <c r="Y311" s="0" t="n">
        <v>5</v>
      </c>
      <c r="Z311" s="0" t="inlineStr">
        <is>
          <t>https://new.land.naver.com/complexes/106607?tab=detail&amp;rf=Y</t>
        </is>
      </c>
      <c r="AA311" s="0" t="inlineStr">
        <is>
          <t>충청북도 청주시 서원구 사창동 285-12</t>
        </is>
      </c>
      <c r="AB311" s="0" t="inlineStr">
        <is>
          <t>충청북도</t>
        </is>
      </c>
      <c r="AC311" s="0" t="inlineStr">
        <is>
          <t>청주시</t>
        </is>
      </c>
      <c r="AD311" s="0" t="inlineStr">
        <is>
          <t>서원구</t>
        </is>
      </c>
      <c r="AE311" s="0" t="inlineStr">
        <is>
          <t>사창동</t>
        </is>
      </c>
      <c r="AG311" s="0" t="inlineStr">
        <is>
          <t>충청북도 청주시 서원구 1순환로 689</t>
        </is>
      </c>
      <c r="AH311" s="0" t="n">
        <v>0</v>
      </c>
      <c r="AI311" s="0" t="n">
        <v>0</v>
      </c>
      <c r="AJ311" s="0" t="n">
        <v>0</v>
      </c>
      <c r="AK311" s="0" t="n">
        <v>0</v>
      </c>
      <c r="AL311" s="0" t="n">
        <v>0</v>
      </c>
    </row>
    <row r="312">
      <c r="A312" s="0" t="inlineStr">
        <is>
          <t>[사창동]</t>
        </is>
      </c>
      <c r="B312" s="0" t="n">
        <v>106607</v>
      </c>
      <c r="C312" s="0" t="n">
        <v>6</v>
      </c>
      <c r="D312" s="0" t="inlineStr">
        <is>
          <t>주성</t>
        </is>
      </c>
      <c r="E312" s="0" t="inlineStr">
        <is>
          <t>1981.06.</t>
        </is>
      </c>
      <c r="F312" s="0" t="n">
        <v>199</v>
      </c>
      <c r="G312" s="0" t="n">
        <v>26.51</v>
      </c>
      <c r="H312" s="0" t="n">
        <v>87.65000000000001</v>
      </c>
      <c r="I312" s="0" t="n">
        <v>21.91</v>
      </c>
      <c r="J312" s="0" t="n">
        <v>72.43000000000001</v>
      </c>
      <c r="K312" s="0" t="n">
        <v>20</v>
      </c>
      <c r="T312" s="0" t="n">
        <v>3</v>
      </c>
      <c r="U312" s="0" t="n">
        <v>1</v>
      </c>
      <c r="V312" s="0" t="inlineStr">
        <is>
          <t>계단식</t>
        </is>
      </c>
      <c r="W312" s="0" t="n">
        <v>87</v>
      </c>
      <c r="X312" s="0" t="n">
        <v>5</v>
      </c>
      <c r="Y312" s="0" t="n">
        <v>5</v>
      </c>
      <c r="Z312" s="0" t="inlineStr">
        <is>
          <t>https://new.land.naver.com/complexes/106607?tab=detail&amp;rf=Y</t>
        </is>
      </c>
      <c r="AA312" s="0" t="inlineStr">
        <is>
          <t>충청북도 청주시 서원구 사창동 285-12</t>
        </is>
      </c>
      <c r="AB312" s="0" t="inlineStr">
        <is>
          <t>충청북도</t>
        </is>
      </c>
      <c r="AC312" s="0" t="inlineStr">
        <is>
          <t>청주시</t>
        </is>
      </c>
      <c r="AD312" s="0" t="inlineStr">
        <is>
          <t>서원구</t>
        </is>
      </c>
      <c r="AE312" s="0" t="inlineStr">
        <is>
          <t>사창동</t>
        </is>
      </c>
      <c r="AG312" s="0" t="inlineStr">
        <is>
          <t>충청북도 청주시 서원구 1순환로 689</t>
        </is>
      </c>
      <c r="AH312" s="0" t="n">
        <v>0</v>
      </c>
      <c r="AI312" s="0" t="n">
        <v>0</v>
      </c>
      <c r="AJ312" s="0" t="n">
        <v>0</v>
      </c>
      <c r="AK312" s="0" t="n">
        <v>0</v>
      </c>
      <c r="AL312" s="0" t="n">
        <v>0</v>
      </c>
    </row>
    <row r="313">
      <c r="A313" s="0" t="inlineStr">
        <is>
          <t>[사창동]</t>
        </is>
      </c>
      <c r="B313" s="0" t="n">
        <v>106607</v>
      </c>
      <c r="C313" s="0" t="n">
        <v>7</v>
      </c>
      <c r="D313" s="0" t="inlineStr">
        <is>
          <t>주성</t>
        </is>
      </c>
      <c r="E313" s="0" t="inlineStr">
        <is>
          <t>1981.06.</t>
        </is>
      </c>
      <c r="F313" s="0" t="n">
        <v>199</v>
      </c>
      <c r="G313" s="0" t="n">
        <v>52.43</v>
      </c>
      <c r="H313" s="0" t="n">
        <v>173.34</v>
      </c>
      <c r="I313" s="0" t="n">
        <v>41.75</v>
      </c>
      <c r="J313" s="0" t="n">
        <v>138.04</v>
      </c>
      <c r="K313" s="0" t="n">
        <v>1</v>
      </c>
      <c r="T313" s="0" t="n">
        <v>5</v>
      </c>
      <c r="U313" s="0" t="n">
        <v>3</v>
      </c>
      <c r="V313" s="0" t="inlineStr">
        <is>
          <t>계단식</t>
        </is>
      </c>
      <c r="W313" s="0" t="n">
        <v>173</v>
      </c>
      <c r="X313" s="0" t="n">
        <v>5</v>
      </c>
      <c r="Y313" s="0" t="n">
        <v>5</v>
      </c>
      <c r="Z313" s="0" t="inlineStr">
        <is>
          <t>https://new.land.naver.com/complexes/106607?tab=detail&amp;rf=Y</t>
        </is>
      </c>
      <c r="AA313" s="0" t="inlineStr">
        <is>
          <t>충청북도 청주시 서원구 사창동 285-12</t>
        </is>
      </c>
      <c r="AB313" s="0" t="inlineStr">
        <is>
          <t>충청북도</t>
        </is>
      </c>
      <c r="AC313" s="0" t="inlineStr">
        <is>
          <t>청주시</t>
        </is>
      </c>
      <c r="AD313" s="0" t="inlineStr">
        <is>
          <t>서원구</t>
        </is>
      </c>
      <c r="AE313" s="0" t="inlineStr">
        <is>
          <t>사창동</t>
        </is>
      </c>
      <c r="AG313" s="0" t="inlineStr">
        <is>
          <t>충청북도 청주시 서원구 1순환로 689</t>
        </is>
      </c>
      <c r="AH313" s="0" t="n">
        <v>0</v>
      </c>
      <c r="AI313" s="0" t="n">
        <v>0</v>
      </c>
      <c r="AJ313" s="0" t="n">
        <v>0</v>
      </c>
      <c r="AK313" s="0" t="n">
        <v>0</v>
      </c>
      <c r="AL313" s="0" t="n">
        <v>0</v>
      </c>
    </row>
    <row r="314">
      <c r="A314" s="0" t="inlineStr">
        <is>
          <t>[사창동]</t>
        </is>
      </c>
      <c r="B314" s="0" t="n">
        <v>126452</v>
      </c>
      <c r="C314" s="0" t="n">
        <v>1</v>
      </c>
      <c r="D314" s="0" t="inlineStr">
        <is>
          <t>천지인</t>
        </is>
      </c>
      <c r="E314" s="0" t="inlineStr">
        <is>
          <t>2004.04.</t>
        </is>
      </c>
      <c r="F314" s="0" t="n">
        <v>16</v>
      </c>
      <c r="G314" s="0" t="n">
        <v>20.68</v>
      </c>
      <c r="H314" s="0" t="n">
        <v>68.39</v>
      </c>
      <c r="I314" s="0" t="n">
        <v>18.31</v>
      </c>
      <c r="J314" s="0" t="n">
        <v>60.54</v>
      </c>
      <c r="K314" s="0" t="n">
        <v>1</v>
      </c>
      <c r="T314" s="0" t="n">
        <v>3</v>
      </c>
      <c r="U314" s="0" t="n">
        <v>1</v>
      </c>
      <c r="V314" s="0" t="inlineStr">
        <is>
          <t>계단식</t>
        </is>
      </c>
      <c r="W314" s="0" t="n">
        <v>68</v>
      </c>
      <c r="X314" s="0" t="n">
        <v>5</v>
      </c>
      <c r="Y314" s="0" t="n">
        <v>5</v>
      </c>
      <c r="Z314" s="0" t="inlineStr">
        <is>
          <t>https://new.land.naver.com/complexes/126452?tab=detail&amp;rf=Y</t>
        </is>
      </c>
      <c r="AA314" s="0" t="inlineStr">
        <is>
          <t>충청북도 청주시 서원구 사창동 290-121</t>
        </is>
      </c>
      <c r="AB314" s="0" t="inlineStr">
        <is>
          <t>충청북도</t>
        </is>
      </c>
      <c r="AC314" s="0" t="inlineStr">
        <is>
          <t>청주시</t>
        </is>
      </c>
      <c r="AD314" s="0" t="inlineStr">
        <is>
          <t>서원구</t>
        </is>
      </c>
      <c r="AE314" s="0" t="inlineStr">
        <is>
          <t>사창동</t>
        </is>
      </c>
      <c r="AG314" s="0" t="inlineStr">
        <is>
          <t>충청북도 청주시 서원구 사직대로176번길 41</t>
        </is>
      </c>
      <c r="AH314" s="0" t="n">
        <v>0</v>
      </c>
      <c r="AI314" s="0" t="n">
        <v>228</v>
      </c>
      <c r="AJ314" s="0" t="n">
        <v>56</v>
      </c>
      <c r="AK314" s="0" t="n">
        <v>17</v>
      </c>
      <c r="AL314" s="0" t="n">
        <v>1.06</v>
      </c>
    </row>
    <row r="315">
      <c r="A315" s="0" t="inlineStr">
        <is>
          <t>[사창동]</t>
        </is>
      </c>
      <c r="B315" s="0" t="n">
        <v>126452</v>
      </c>
      <c r="C315" s="0" t="n">
        <v>2</v>
      </c>
      <c r="D315" s="0" t="inlineStr">
        <is>
          <t>천지인</t>
        </is>
      </c>
      <c r="E315" s="0" t="inlineStr">
        <is>
          <t>2004.04.</t>
        </is>
      </c>
      <c r="F315" s="0" t="n">
        <v>16</v>
      </c>
      <c r="G315" s="0" t="n">
        <v>27.09</v>
      </c>
      <c r="H315" s="0" t="n">
        <v>89.56</v>
      </c>
      <c r="I315" s="0" t="n">
        <v>23.98</v>
      </c>
      <c r="J315" s="0" t="n">
        <v>79.29000000000001</v>
      </c>
      <c r="K315" s="0" t="n">
        <v>1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89</v>
      </c>
      <c r="X315" s="0" t="n">
        <v>5</v>
      </c>
      <c r="Y315" s="0" t="n">
        <v>5</v>
      </c>
      <c r="Z315" s="0" t="inlineStr">
        <is>
          <t>https://new.land.naver.com/complexes/126452?tab=detail&amp;rf=Y</t>
        </is>
      </c>
      <c r="AA315" s="0" t="inlineStr">
        <is>
          <t>충청북도 청주시 서원구 사창동 290-121</t>
        </is>
      </c>
      <c r="AB315" s="0" t="inlineStr">
        <is>
          <t>충청북도</t>
        </is>
      </c>
      <c r="AC315" s="0" t="inlineStr">
        <is>
          <t>청주시</t>
        </is>
      </c>
      <c r="AD315" s="0" t="inlineStr">
        <is>
          <t>서원구</t>
        </is>
      </c>
      <c r="AE315" s="0" t="inlineStr">
        <is>
          <t>사창동</t>
        </is>
      </c>
      <c r="AG315" s="0" t="inlineStr">
        <is>
          <t>충청북도 청주시 서원구 사직대로176번길 41</t>
        </is>
      </c>
      <c r="AH315" s="0" t="n">
        <v>0</v>
      </c>
      <c r="AI315" s="0" t="n">
        <v>228</v>
      </c>
      <c r="AJ315" s="0" t="n">
        <v>56</v>
      </c>
      <c r="AK315" s="0" t="n">
        <v>17</v>
      </c>
      <c r="AL315" s="0" t="n">
        <v>1.06</v>
      </c>
    </row>
    <row r="316">
      <c r="A316" s="0" t="inlineStr">
        <is>
          <t>[사창동]</t>
        </is>
      </c>
      <c r="B316" s="0" t="n">
        <v>126452</v>
      </c>
      <c r="C316" s="0" t="n">
        <v>3</v>
      </c>
      <c r="D316" s="0" t="inlineStr">
        <is>
          <t>천지인</t>
        </is>
      </c>
      <c r="E316" s="0" t="inlineStr">
        <is>
          <t>2004.04.</t>
        </is>
      </c>
      <c r="F316" s="0" t="n">
        <v>16</v>
      </c>
      <c r="G316" s="0" t="n">
        <v>27.55</v>
      </c>
      <c r="H316" s="0" t="n">
        <v>91.09</v>
      </c>
      <c r="I316" s="0" t="n">
        <v>24.39</v>
      </c>
      <c r="J316" s="0" t="n">
        <v>80.64</v>
      </c>
      <c r="K316" s="0" t="n">
        <v>2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91A</t>
        </is>
      </c>
      <c r="X316" s="0" t="n">
        <v>5</v>
      </c>
      <c r="Y316" s="0" t="n">
        <v>5</v>
      </c>
      <c r="Z316" s="0" t="inlineStr">
        <is>
          <t>https://new.land.naver.com/complexes/126452?tab=detail&amp;rf=Y</t>
        </is>
      </c>
      <c r="AA316" s="0" t="inlineStr">
        <is>
          <t>충청북도 청주시 서원구 사창동 290-121</t>
        </is>
      </c>
      <c r="AB316" s="0" t="inlineStr">
        <is>
          <t>충청북도</t>
        </is>
      </c>
      <c r="AC316" s="0" t="inlineStr">
        <is>
          <t>청주시</t>
        </is>
      </c>
      <c r="AD316" s="0" t="inlineStr">
        <is>
          <t>서원구</t>
        </is>
      </c>
      <c r="AE316" s="0" t="inlineStr">
        <is>
          <t>사창동</t>
        </is>
      </c>
      <c r="AG316" s="0" t="inlineStr">
        <is>
          <t>충청북도 청주시 서원구 사직대로176번길 41</t>
        </is>
      </c>
      <c r="AH316" s="0" t="n">
        <v>0</v>
      </c>
      <c r="AI316" s="0" t="n">
        <v>228</v>
      </c>
      <c r="AJ316" s="0" t="n">
        <v>56</v>
      </c>
      <c r="AK316" s="0" t="n">
        <v>17</v>
      </c>
      <c r="AL316" s="0" t="n">
        <v>1.06</v>
      </c>
    </row>
    <row r="317">
      <c r="A317" s="0" t="inlineStr">
        <is>
          <t>[사창동]</t>
        </is>
      </c>
      <c r="B317" s="0" t="n">
        <v>126452</v>
      </c>
      <c r="C317" s="0" t="n">
        <v>4</v>
      </c>
      <c r="D317" s="0" t="inlineStr">
        <is>
          <t>천지인</t>
        </is>
      </c>
      <c r="E317" s="0" t="inlineStr">
        <is>
          <t>2004.04.</t>
        </is>
      </c>
      <c r="F317" s="0" t="n">
        <v>16</v>
      </c>
      <c r="G317" s="0" t="n">
        <v>27.87</v>
      </c>
      <c r="H317" s="0" t="n">
        <v>92.16</v>
      </c>
      <c r="I317" s="0" t="n">
        <v>24.68</v>
      </c>
      <c r="J317" s="0" t="n">
        <v>81.59</v>
      </c>
      <c r="K317" s="0" t="n">
        <v>2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92B</t>
        </is>
      </c>
      <c r="X317" s="0" t="n">
        <v>5</v>
      </c>
      <c r="Y317" s="0" t="n">
        <v>5</v>
      </c>
      <c r="Z317" s="0" t="inlineStr">
        <is>
          <t>https://new.land.naver.com/complexes/126452?tab=detail&amp;rf=Y</t>
        </is>
      </c>
      <c r="AA317" s="0" t="inlineStr">
        <is>
          <t>충청북도 청주시 서원구 사창동 290-121</t>
        </is>
      </c>
      <c r="AB317" s="0" t="inlineStr">
        <is>
          <t>충청북도</t>
        </is>
      </c>
      <c r="AC317" s="0" t="inlineStr">
        <is>
          <t>청주시</t>
        </is>
      </c>
      <c r="AD317" s="0" t="inlineStr">
        <is>
          <t>서원구</t>
        </is>
      </c>
      <c r="AE317" s="0" t="inlineStr">
        <is>
          <t>사창동</t>
        </is>
      </c>
      <c r="AG317" s="0" t="inlineStr">
        <is>
          <t>충청북도 청주시 서원구 사직대로176번길 41</t>
        </is>
      </c>
      <c r="AH317" s="0" t="n">
        <v>0</v>
      </c>
      <c r="AI317" s="0" t="n">
        <v>228</v>
      </c>
      <c r="AJ317" s="0" t="n">
        <v>56</v>
      </c>
      <c r="AK317" s="0" t="n">
        <v>17</v>
      </c>
      <c r="AL317" s="0" t="n">
        <v>1.06</v>
      </c>
    </row>
    <row r="318">
      <c r="A318" s="0" t="inlineStr">
        <is>
          <t>[사창동]</t>
        </is>
      </c>
      <c r="B318" s="0" t="n">
        <v>126452</v>
      </c>
      <c r="C318" s="0" t="n">
        <v>5</v>
      </c>
      <c r="D318" s="0" t="inlineStr">
        <is>
          <t>천지인</t>
        </is>
      </c>
      <c r="E318" s="0" t="inlineStr">
        <is>
          <t>2004.04.</t>
        </is>
      </c>
      <c r="F318" s="0" t="n">
        <v>16</v>
      </c>
      <c r="G318" s="0" t="n">
        <v>27.92</v>
      </c>
      <c r="H318" s="0" t="n">
        <v>92.3</v>
      </c>
      <c r="I318" s="0" t="n">
        <v>24.71</v>
      </c>
      <c r="J318" s="0" t="n">
        <v>81.70999999999999</v>
      </c>
      <c r="K318" s="0" t="n">
        <v>1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92C</t>
        </is>
      </c>
      <c r="X318" s="0" t="n">
        <v>5</v>
      </c>
      <c r="Y318" s="0" t="n">
        <v>5</v>
      </c>
      <c r="Z318" s="0" t="inlineStr">
        <is>
          <t>https://new.land.naver.com/complexes/126452?tab=detail&amp;rf=Y</t>
        </is>
      </c>
      <c r="AA318" s="0" t="inlineStr">
        <is>
          <t>충청북도 청주시 서원구 사창동 290-121</t>
        </is>
      </c>
      <c r="AB318" s="0" t="inlineStr">
        <is>
          <t>충청북도</t>
        </is>
      </c>
      <c r="AC318" s="0" t="inlineStr">
        <is>
          <t>청주시</t>
        </is>
      </c>
      <c r="AD318" s="0" t="inlineStr">
        <is>
          <t>서원구</t>
        </is>
      </c>
      <c r="AE318" s="0" t="inlineStr">
        <is>
          <t>사창동</t>
        </is>
      </c>
      <c r="AG318" s="0" t="inlineStr">
        <is>
          <t>충청북도 청주시 서원구 사직대로176번길 41</t>
        </is>
      </c>
      <c r="AH318" s="0" t="n">
        <v>0</v>
      </c>
      <c r="AI318" s="0" t="n">
        <v>228</v>
      </c>
      <c r="AJ318" s="0" t="n">
        <v>56</v>
      </c>
      <c r="AK318" s="0" t="n">
        <v>17</v>
      </c>
      <c r="AL318" s="0" t="n">
        <v>1.06</v>
      </c>
    </row>
    <row r="319">
      <c r="A319" s="0" t="inlineStr">
        <is>
          <t>[사창동]</t>
        </is>
      </c>
      <c r="B319" s="0" t="n">
        <v>126452</v>
      </c>
      <c r="C319" s="0" t="n">
        <v>6</v>
      </c>
      <c r="D319" s="0" t="inlineStr">
        <is>
          <t>천지인</t>
        </is>
      </c>
      <c r="E319" s="0" t="inlineStr">
        <is>
          <t>2004.04.</t>
        </is>
      </c>
      <c r="F319" s="0" t="n">
        <v>16</v>
      </c>
      <c r="G319" s="0" t="n">
        <v>29.01</v>
      </c>
      <c r="H319" s="0" t="n">
        <v>95.93000000000001</v>
      </c>
      <c r="I319" s="0" t="n">
        <v>25.68</v>
      </c>
      <c r="J319" s="0" t="n">
        <v>84.92</v>
      </c>
      <c r="K319" s="0" t="n">
        <v>6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95A</t>
        </is>
      </c>
      <c r="X319" s="0" t="n">
        <v>5</v>
      </c>
      <c r="Y319" s="0" t="n">
        <v>5</v>
      </c>
      <c r="Z319" s="0" t="inlineStr">
        <is>
          <t>https://new.land.naver.com/complexes/126452?tab=detail&amp;rf=Y</t>
        </is>
      </c>
      <c r="AA319" s="0" t="inlineStr">
        <is>
          <t>충청북도 청주시 서원구 사창동 290-121</t>
        </is>
      </c>
      <c r="AB319" s="0" t="inlineStr">
        <is>
          <t>충청북도</t>
        </is>
      </c>
      <c r="AC319" s="0" t="inlineStr">
        <is>
          <t>청주시</t>
        </is>
      </c>
      <c r="AD319" s="0" t="inlineStr">
        <is>
          <t>서원구</t>
        </is>
      </c>
      <c r="AE319" s="0" t="inlineStr">
        <is>
          <t>사창동</t>
        </is>
      </c>
      <c r="AG319" s="0" t="inlineStr">
        <is>
          <t>충청북도 청주시 서원구 사직대로176번길 41</t>
        </is>
      </c>
      <c r="AH319" s="0" t="n">
        <v>0</v>
      </c>
      <c r="AI319" s="0" t="n">
        <v>228</v>
      </c>
      <c r="AJ319" s="0" t="n">
        <v>56</v>
      </c>
      <c r="AK319" s="0" t="n">
        <v>17</v>
      </c>
      <c r="AL319" s="0" t="n">
        <v>1.06</v>
      </c>
    </row>
    <row r="320">
      <c r="A320" s="0" t="inlineStr">
        <is>
          <t>[사창동]</t>
        </is>
      </c>
      <c r="B320" s="0" t="n">
        <v>126452</v>
      </c>
      <c r="C320" s="0" t="n">
        <v>7</v>
      </c>
      <c r="D320" s="0" t="inlineStr">
        <is>
          <t>천지인</t>
        </is>
      </c>
      <c r="E320" s="0" t="inlineStr">
        <is>
          <t>2004.04.</t>
        </is>
      </c>
      <c r="F320" s="0" t="n">
        <v>16</v>
      </c>
      <c r="G320" s="0" t="n">
        <v>29.02</v>
      </c>
      <c r="H320" s="0" t="n">
        <v>95.95999999999999</v>
      </c>
      <c r="I320" s="0" t="n">
        <v>25.69</v>
      </c>
      <c r="J320" s="0" t="n">
        <v>84.95</v>
      </c>
      <c r="K320" s="0" t="n">
        <v>3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95B</t>
        </is>
      </c>
      <c r="X320" s="0" t="n">
        <v>5</v>
      </c>
      <c r="Y320" s="0" t="n">
        <v>5</v>
      </c>
      <c r="Z320" s="0" t="inlineStr">
        <is>
          <t>https://new.land.naver.com/complexes/126452?tab=detail&amp;rf=Y</t>
        </is>
      </c>
      <c r="AA320" s="0" t="inlineStr">
        <is>
          <t>충청북도 청주시 서원구 사창동 290-121</t>
        </is>
      </c>
      <c r="AB320" s="0" t="inlineStr">
        <is>
          <t>충청북도</t>
        </is>
      </c>
      <c r="AC320" s="0" t="inlineStr">
        <is>
          <t>청주시</t>
        </is>
      </c>
      <c r="AD320" s="0" t="inlineStr">
        <is>
          <t>서원구</t>
        </is>
      </c>
      <c r="AE320" s="0" t="inlineStr">
        <is>
          <t>사창동</t>
        </is>
      </c>
      <c r="AG320" s="0" t="inlineStr">
        <is>
          <t>충청북도 청주시 서원구 사직대로176번길 41</t>
        </is>
      </c>
      <c r="AH320" s="0" t="n">
        <v>0</v>
      </c>
      <c r="AI320" s="0" t="n">
        <v>228</v>
      </c>
      <c r="AJ320" s="0" t="n">
        <v>56</v>
      </c>
      <c r="AK320" s="0" t="n">
        <v>17</v>
      </c>
      <c r="AL320" s="0" t="n">
        <v>1.06</v>
      </c>
    </row>
    <row r="321">
      <c r="A321" s="0" t="inlineStr">
        <is>
          <t>[사창동]</t>
        </is>
      </c>
      <c r="B321" s="0" t="n">
        <v>116400</v>
      </c>
      <c r="C321" s="0" t="n">
        <v>1</v>
      </c>
      <c r="D321" s="0" t="inlineStr">
        <is>
          <t>현대(150-1)</t>
        </is>
      </c>
      <c r="E321" s="0" t="inlineStr">
        <is>
          <t>1985.11.</t>
        </is>
      </c>
      <c r="F321" s="0" t="n">
        <v>25</v>
      </c>
      <c r="G321" s="0" t="n">
        <v>26.02</v>
      </c>
      <c r="H321" s="0" t="n">
        <v>86.04000000000001</v>
      </c>
      <c r="I321" s="0" t="n">
        <v>24.39</v>
      </c>
      <c r="J321" s="0" t="n">
        <v>80.64</v>
      </c>
      <c r="K321" s="0" t="n">
        <v>20</v>
      </c>
      <c r="T321" s="0" t="n">
        <v>3</v>
      </c>
      <c r="U321" s="0" t="n">
        <v>2</v>
      </c>
      <c r="V321" s="0" t="inlineStr">
        <is>
          <t>복도식</t>
        </is>
      </c>
      <c r="W321" s="0" t="n">
        <v>86</v>
      </c>
      <c r="X321" s="0" t="n">
        <v>5</v>
      </c>
      <c r="Y321" s="0" t="n">
        <v>5</v>
      </c>
      <c r="Z321" s="0" t="inlineStr">
        <is>
          <t>https://new.land.naver.com/complexes/116400?tab=detail&amp;rf=Y</t>
        </is>
      </c>
      <c r="AA321" s="0" t="inlineStr">
        <is>
          <t>충청북도 청주시 서원구 사창동 150-1</t>
        </is>
      </c>
      <c r="AB321" s="0" t="inlineStr">
        <is>
          <t>충청북도</t>
        </is>
      </c>
      <c r="AC321" s="0" t="inlineStr">
        <is>
          <t>청주시</t>
        </is>
      </c>
      <c r="AD321" s="0" t="inlineStr">
        <is>
          <t>서원구</t>
        </is>
      </c>
      <c r="AE321" s="0" t="inlineStr">
        <is>
          <t>사창동</t>
        </is>
      </c>
      <c r="AG321" s="0" t="inlineStr">
        <is>
          <t>충청북도 청주시 서원구 사직대로82번길 13</t>
        </is>
      </c>
      <c r="AH321" s="0" t="n">
        <v>0</v>
      </c>
      <c r="AI321" s="0" t="n">
        <v>0</v>
      </c>
      <c r="AJ321" s="0" t="n">
        <v>0</v>
      </c>
      <c r="AK321" s="0" t="n">
        <v>0</v>
      </c>
      <c r="AL321" s="0" t="n">
        <v>0</v>
      </c>
    </row>
    <row r="322">
      <c r="A322" s="0" t="inlineStr">
        <is>
          <t>[사창동]</t>
        </is>
      </c>
      <c r="B322" s="0" t="n">
        <v>116400</v>
      </c>
      <c r="C322" s="0" t="n">
        <v>2</v>
      </c>
      <c r="D322" s="0" t="inlineStr">
        <is>
          <t>현대(150-1)</t>
        </is>
      </c>
      <c r="E322" s="0" t="inlineStr">
        <is>
          <t>1985.11.</t>
        </is>
      </c>
      <c r="F322" s="0" t="n">
        <v>25</v>
      </c>
      <c r="G322" s="0" t="n">
        <v>27.66</v>
      </c>
      <c r="H322" s="0" t="n">
        <v>91.44</v>
      </c>
      <c r="I322" s="0" t="n">
        <v>24.39</v>
      </c>
      <c r="J322" s="0" t="n">
        <v>80.64</v>
      </c>
      <c r="K322" s="0" t="n">
        <v>5</v>
      </c>
      <c r="T322" s="0" t="n">
        <v>3</v>
      </c>
      <c r="U322" s="0" t="n">
        <v>2</v>
      </c>
      <c r="V322" s="0" t="inlineStr">
        <is>
          <t>복도식</t>
        </is>
      </c>
      <c r="W322" s="0" t="n">
        <v>91</v>
      </c>
      <c r="X322" s="0" t="n">
        <v>5</v>
      </c>
      <c r="Y322" s="0" t="n">
        <v>5</v>
      </c>
      <c r="Z322" s="0" t="inlineStr">
        <is>
          <t>https://new.land.naver.com/complexes/116400?tab=detail&amp;rf=Y</t>
        </is>
      </c>
      <c r="AA322" s="0" t="inlineStr">
        <is>
          <t>충청북도 청주시 서원구 사창동 150-1</t>
        </is>
      </c>
      <c r="AB322" s="0" t="inlineStr">
        <is>
          <t>충청북도</t>
        </is>
      </c>
      <c r="AC322" s="0" t="inlineStr">
        <is>
          <t>청주시</t>
        </is>
      </c>
      <c r="AD322" s="0" t="inlineStr">
        <is>
          <t>서원구</t>
        </is>
      </c>
      <c r="AE322" s="0" t="inlineStr">
        <is>
          <t>사창동</t>
        </is>
      </c>
      <c r="AG322" s="0" t="inlineStr">
        <is>
          <t>충청북도 청주시 서원구 사직대로82번길 13</t>
        </is>
      </c>
      <c r="AH322" s="0" t="n">
        <v>0</v>
      </c>
      <c r="AI322" s="0" t="n">
        <v>0</v>
      </c>
      <c r="AJ322" s="0" t="n">
        <v>0</v>
      </c>
      <c r="AK322" s="0" t="n">
        <v>0</v>
      </c>
      <c r="AL322" s="0" t="n">
        <v>0</v>
      </c>
    </row>
    <row r="323">
      <c r="A323" s="0" t="inlineStr">
        <is>
          <t>[사창동]</t>
        </is>
      </c>
      <c r="B323" s="0" t="n">
        <v>121405</v>
      </c>
      <c r="C323" s="0" t="n">
        <v>1</v>
      </c>
      <c r="D323" s="0" t="inlineStr">
        <is>
          <t>에스텔하우스</t>
        </is>
      </c>
      <c r="E323" s="0" t="inlineStr">
        <is>
          <t>2015.06.</t>
        </is>
      </c>
      <c r="F323" s="0" t="n">
        <v>16</v>
      </c>
      <c r="G323" s="0" t="n">
        <v>24.55</v>
      </c>
      <c r="H323" s="0" t="n">
        <v>81.19</v>
      </c>
      <c r="I323" s="0" t="n">
        <v>20.2</v>
      </c>
      <c r="J323" s="0" t="n">
        <v>66.78</v>
      </c>
      <c r="K323" s="0" t="n">
        <v>4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81A</t>
        </is>
      </c>
      <c r="X323" s="0" t="n">
        <v>5</v>
      </c>
      <c r="Y323" s="0" t="n">
        <v>5</v>
      </c>
      <c r="Z323" s="0" t="inlineStr">
        <is>
          <t>https://new.land.naver.com/complexes/121405?tab=detail&amp;rf=Y</t>
        </is>
      </c>
      <c r="AA323" s="0" t="inlineStr">
        <is>
          <t>충청북도 청주시 서원구 사창동 323-1</t>
        </is>
      </c>
      <c r="AB323" s="0" t="inlineStr">
        <is>
          <t>충청북도</t>
        </is>
      </c>
      <c r="AC323" s="0" t="inlineStr">
        <is>
          <t>청주시</t>
        </is>
      </c>
      <c r="AD323" s="0" t="inlineStr">
        <is>
          <t>서원구</t>
        </is>
      </c>
      <c r="AE323" s="0" t="inlineStr">
        <is>
          <t>사창동</t>
        </is>
      </c>
      <c r="AG323" s="0" t="inlineStr">
        <is>
          <t>충청북도 청주시 서원구 창신로22번길 65-10</t>
        </is>
      </c>
      <c r="AH323" s="0" t="n">
        <v>0</v>
      </c>
      <c r="AI323" s="0" t="n">
        <v>153</v>
      </c>
      <c r="AJ323" s="0" t="n">
        <v>47</v>
      </c>
      <c r="AK323" s="0" t="n">
        <v>16</v>
      </c>
      <c r="AL323" s="0" t="n">
        <v>1</v>
      </c>
    </row>
    <row r="324">
      <c r="A324" s="0" t="inlineStr">
        <is>
          <t>[사창동]</t>
        </is>
      </c>
      <c r="B324" s="0" t="n">
        <v>121405</v>
      </c>
      <c r="C324" s="0" t="n">
        <v>2</v>
      </c>
      <c r="D324" s="0" t="inlineStr">
        <is>
          <t>에스텔하우스</t>
        </is>
      </c>
      <c r="E324" s="0" t="inlineStr">
        <is>
          <t>2015.06.</t>
        </is>
      </c>
      <c r="F324" s="0" t="n">
        <v>16</v>
      </c>
      <c r="G324" s="0" t="n">
        <v>24.86</v>
      </c>
      <c r="H324" s="0" t="n">
        <v>82.20999999999999</v>
      </c>
      <c r="I324" s="0" t="n">
        <v>20.65</v>
      </c>
      <c r="J324" s="0" t="n">
        <v>68.27</v>
      </c>
      <c r="K324" s="0" t="n">
        <v>4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82B</t>
        </is>
      </c>
      <c r="X324" s="0" t="n">
        <v>5</v>
      </c>
      <c r="Y324" s="0" t="n">
        <v>5</v>
      </c>
      <c r="Z324" s="0" t="inlineStr">
        <is>
          <t>https://new.land.naver.com/complexes/121405?tab=detail&amp;rf=Y</t>
        </is>
      </c>
      <c r="AA324" s="0" t="inlineStr">
        <is>
          <t>충청북도 청주시 서원구 사창동 323-1</t>
        </is>
      </c>
      <c r="AB324" s="0" t="inlineStr">
        <is>
          <t>충청북도</t>
        </is>
      </c>
      <c r="AC324" s="0" t="inlineStr">
        <is>
          <t>청주시</t>
        </is>
      </c>
      <c r="AD324" s="0" t="inlineStr">
        <is>
          <t>서원구</t>
        </is>
      </c>
      <c r="AE324" s="0" t="inlineStr">
        <is>
          <t>사창동</t>
        </is>
      </c>
      <c r="AG324" s="0" t="inlineStr">
        <is>
          <t>충청북도 청주시 서원구 창신로22번길 65-10</t>
        </is>
      </c>
      <c r="AH324" s="0" t="n">
        <v>0</v>
      </c>
      <c r="AI324" s="0" t="n">
        <v>153</v>
      </c>
      <c r="AJ324" s="0" t="n">
        <v>47</v>
      </c>
      <c r="AK324" s="0" t="n">
        <v>16</v>
      </c>
      <c r="AL324" s="0" t="n">
        <v>1</v>
      </c>
    </row>
    <row r="325">
      <c r="A325" s="0" t="inlineStr">
        <is>
          <t>[사창동]</t>
        </is>
      </c>
      <c r="B325" s="0" t="n">
        <v>121405</v>
      </c>
      <c r="C325" s="0" t="n">
        <v>3</v>
      </c>
      <c r="D325" s="0" t="inlineStr">
        <is>
          <t>에스텔하우스</t>
        </is>
      </c>
      <c r="E325" s="0" t="inlineStr">
        <is>
          <t>2015.06.</t>
        </is>
      </c>
      <c r="F325" s="0" t="n">
        <v>16</v>
      </c>
      <c r="G325" s="0" t="n">
        <v>24.92</v>
      </c>
      <c r="H325" s="0" t="n">
        <v>82.41</v>
      </c>
      <c r="I325" s="0" t="n">
        <v>20.7</v>
      </c>
      <c r="J325" s="0" t="n">
        <v>68.43000000000001</v>
      </c>
      <c r="K325" s="0" t="n">
        <v>4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82C</t>
        </is>
      </c>
      <c r="X325" s="0" t="n">
        <v>5</v>
      </c>
      <c r="Y325" s="0" t="n">
        <v>5</v>
      </c>
      <c r="Z325" s="0" t="inlineStr">
        <is>
          <t>https://new.land.naver.com/complexes/121405?tab=detail&amp;rf=Y</t>
        </is>
      </c>
      <c r="AA325" s="0" t="inlineStr">
        <is>
          <t>충청북도 청주시 서원구 사창동 323-1</t>
        </is>
      </c>
      <c r="AB325" s="0" t="inlineStr">
        <is>
          <t>충청북도</t>
        </is>
      </c>
      <c r="AC325" s="0" t="inlineStr">
        <is>
          <t>청주시</t>
        </is>
      </c>
      <c r="AD325" s="0" t="inlineStr">
        <is>
          <t>서원구</t>
        </is>
      </c>
      <c r="AE325" s="0" t="inlineStr">
        <is>
          <t>사창동</t>
        </is>
      </c>
      <c r="AG325" s="0" t="inlineStr">
        <is>
          <t>충청북도 청주시 서원구 창신로22번길 65-10</t>
        </is>
      </c>
      <c r="AH325" s="0" t="n">
        <v>0</v>
      </c>
      <c r="AI325" s="0" t="n">
        <v>153</v>
      </c>
      <c r="AJ325" s="0" t="n">
        <v>47</v>
      </c>
      <c r="AK325" s="0" t="n">
        <v>16</v>
      </c>
      <c r="AL325" s="0" t="n">
        <v>1</v>
      </c>
    </row>
    <row r="326">
      <c r="A326" s="0" t="inlineStr">
        <is>
          <t>[사창동]</t>
        </is>
      </c>
      <c r="B326" s="0" t="n">
        <v>121405</v>
      </c>
      <c r="C326" s="0" t="n">
        <v>4</v>
      </c>
      <c r="D326" s="0" t="inlineStr">
        <is>
          <t>에스텔하우스</t>
        </is>
      </c>
      <c r="E326" s="0" t="inlineStr">
        <is>
          <t>2015.06.</t>
        </is>
      </c>
      <c r="F326" s="0" t="n">
        <v>16</v>
      </c>
      <c r="G326" s="0" t="n">
        <v>25.27</v>
      </c>
      <c r="H326" s="0" t="n">
        <v>83.56</v>
      </c>
      <c r="I326" s="0" t="n">
        <v>20.79</v>
      </c>
      <c r="J326" s="0" t="n">
        <v>68.73</v>
      </c>
      <c r="K326" s="0" t="n">
        <v>4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83D</t>
        </is>
      </c>
      <c r="X326" s="0" t="n">
        <v>5</v>
      </c>
      <c r="Y326" s="0" t="n">
        <v>5</v>
      </c>
      <c r="Z326" s="0" t="inlineStr">
        <is>
          <t>https://new.land.naver.com/complexes/121405?tab=detail&amp;rf=Y</t>
        </is>
      </c>
      <c r="AA326" s="0" t="inlineStr">
        <is>
          <t>충청북도 청주시 서원구 사창동 323-1</t>
        </is>
      </c>
      <c r="AB326" s="0" t="inlineStr">
        <is>
          <t>충청북도</t>
        </is>
      </c>
      <c r="AC326" s="0" t="inlineStr">
        <is>
          <t>청주시</t>
        </is>
      </c>
      <c r="AD326" s="0" t="inlineStr">
        <is>
          <t>서원구</t>
        </is>
      </c>
      <c r="AE326" s="0" t="inlineStr">
        <is>
          <t>사창동</t>
        </is>
      </c>
      <c r="AG326" s="0" t="inlineStr">
        <is>
          <t>충청북도 청주시 서원구 창신로22번길 65-10</t>
        </is>
      </c>
      <c r="AH326" s="0" t="n">
        <v>0</v>
      </c>
      <c r="AI326" s="0" t="n">
        <v>153</v>
      </c>
      <c r="AJ326" s="0" t="n">
        <v>47</v>
      </c>
      <c r="AK326" s="0" t="n">
        <v>16</v>
      </c>
      <c r="AL326" s="0" t="n">
        <v>1</v>
      </c>
    </row>
    <row r="327">
      <c r="A327" s="0" t="inlineStr">
        <is>
          <t>[사창동]</t>
        </is>
      </c>
      <c r="B327" s="0" t="n">
        <v>108585</v>
      </c>
      <c r="C327" s="0" t="n">
        <v>1</v>
      </c>
      <c r="D327" s="0" t="inlineStr">
        <is>
          <t>통경목련</t>
        </is>
      </c>
      <c r="E327" s="0" t="inlineStr">
        <is>
          <t>1994.12.</t>
        </is>
      </c>
      <c r="F327" s="0" t="n">
        <v>48</v>
      </c>
      <c r="G327" s="0" t="n">
        <v>10.16</v>
      </c>
      <c r="H327" s="0" t="n">
        <v>33.59</v>
      </c>
      <c r="I327" s="0" t="n">
        <v>7.4</v>
      </c>
      <c r="J327" s="0" t="n">
        <v>24.48</v>
      </c>
      <c r="K327" s="0" t="n">
        <v>12</v>
      </c>
      <c r="T327" s="0" t="n">
        <v>1</v>
      </c>
      <c r="U327" s="0" t="n">
        <v>1</v>
      </c>
      <c r="V327" s="0" t="inlineStr">
        <is>
          <t>계단식</t>
        </is>
      </c>
      <c r="W327" s="0" t="n">
        <v>33</v>
      </c>
      <c r="X327" s="0" t="n">
        <v>6</v>
      </c>
      <c r="Y327" s="0" t="n">
        <v>6</v>
      </c>
      <c r="Z327" s="0" t="inlineStr">
        <is>
          <t>https://new.land.naver.com/complexes/108585?tab=detail&amp;rf=Y</t>
        </is>
      </c>
      <c r="AA327" s="0" t="inlineStr">
        <is>
          <t>충청북도 청주시 서원구 사창동 357-31</t>
        </is>
      </c>
      <c r="AB327" s="0" t="inlineStr">
        <is>
          <t>충청북도</t>
        </is>
      </c>
      <c r="AC327" s="0" t="inlineStr">
        <is>
          <t>청주시</t>
        </is>
      </c>
      <c r="AD327" s="0" t="inlineStr">
        <is>
          <t>서원구</t>
        </is>
      </c>
      <c r="AE327" s="0" t="inlineStr">
        <is>
          <t>사창동</t>
        </is>
      </c>
      <c r="AG327" s="0" t="inlineStr">
        <is>
          <t>충청북도 청주시 서원구 예체로67번길 49</t>
        </is>
      </c>
      <c r="AH327" s="0" t="n">
        <v>0</v>
      </c>
      <c r="AI327" s="0" t="n">
        <v>173</v>
      </c>
      <c r="AJ327" s="0" t="n">
        <v>32</v>
      </c>
      <c r="AK327" s="0" t="n">
        <v>24</v>
      </c>
      <c r="AL327" s="0" t="n">
        <v>0.5</v>
      </c>
    </row>
    <row r="328">
      <c r="A328" s="0" t="inlineStr">
        <is>
          <t>[사창동]</t>
        </is>
      </c>
      <c r="B328" s="0" t="n">
        <v>108585</v>
      </c>
      <c r="C328" s="0" t="n">
        <v>2</v>
      </c>
      <c r="D328" s="0" t="inlineStr">
        <is>
          <t>통경목련</t>
        </is>
      </c>
      <c r="E328" s="0" t="inlineStr">
        <is>
          <t>1994.12.</t>
        </is>
      </c>
      <c r="F328" s="0" t="n">
        <v>48</v>
      </c>
      <c r="G328" s="0" t="n">
        <v>10.94</v>
      </c>
      <c r="H328" s="0" t="n">
        <v>36.18</v>
      </c>
      <c r="I328" s="0" t="n">
        <v>7.97</v>
      </c>
      <c r="J328" s="0" t="n">
        <v>26.37</v>
      </c>
      <c r="K328" s="0" t="n">
        <v>24</v>
      </c>
      <c r="T328" s="0" t="n">
        <v>1</v>
      </c>
      <c r="U328" s="0" t="n">
        <v>1</v>
      </c>
      <c r="V328" s="0" t="inlineStr">
        <is>
          <t>계단식</t>
        </is>
      </c>
      <c r="W328" s="0" t="n">
        <v>36</v>
      </c>
      <c r="X328" s="0" t="n">
        <v>6</v>
      </c>
      <c r="Y328" s="0" t="n">
        <v>6</v>
      </c>
      <c r="Z328" s="0" t="inlineStr">
        <is>
          <t>https://new.land.naver.com/complexes/108585?tab=detail&amp;rf=Y</t>
        </is>
      </c>
      <c r="AA328" s="0" t="inlineStr">
        <is>
          <t>충청북도 청주시 서원구 사창동 357-31</t>
        </is>
      </c>
      <c r="AB328" s="0" t="inlineStr">
        <is>
          <t>충청북도</t>
        </is>
      </c>
      <c r="AC328" s="0" t="inlineStr">
        <is>
          <t>청주시</t>
        </is>
      </c>
      <c r="AD328" s="0" t="inlineStr">
        <is>
          <t>서원구</t>
        </is>
      </c>
      <c r="AE328" s="0" t="inlineStr">
        <is>
          <t>사창동</t>
        </is>
      </c>
      <c r="AG328" s="0" t="inlineStr">
        <is>
          <t>충청북도 청주시 서원구 예체로67번길 49</t>
        </is>
      </c>
      <c r="AH328" s="0" t="n">
        <v>0</v>
      </c>
      <c r="AI328" s="0" t="n">
        <v>173</v>
      </c>
      <c r="AJ328" s="0" t="n">
        <v>32</v>
      </c>
      <c r="AK328" s="0" t="n">
        <v>24</v>
      </c>
      <c r="AL328" s="0" t="n">
        <v>0.5</v>
      </c>
    </row>
    <row r="329">
      <c r="A329" s="0" t="inlineStr">
        <is>
          <t>[사창동]</t>
        </is>
      </c>
      <c r="B329" s="0" t="n">
        <v>108585</v>
      </c>
      <c r="C329" s="0" t="n">
        <v>3</v>
      </c>
      <c r="D329" s="0" t="inlineStr">
        <is>
          <t>통경목련</t>
        </is>
      </c>
      <c r="E329" s="0" t="inlineStr">
        <is>
          <t>1994.12.</t>
        </is>
      </c>
      <c r="F329" s="0" t="n">
        <v>48</v>
      </c>
      <c r="G329" s="0" t="n">
        <v>11.73</v>
      </c>
      <c r="H329" s="0" t="n">
        <v>38.78</v>
      </c>
      <c r="I329" s="0" t="n">
        <v>8.539999999999999</v>
      </c>
      <c r="J329" s="0" t="n">
        <v>28.26</v>
      </c>
      <c r="K329" s="0" t="n">
        <v>12</v>
      </c>
      <c r="T329" s="0" t="n">
        <v>1</v>
      </c>
      <c r="U329" s="0" t="n">
        <v>1</v>
      </c>
      <c r="V329" s="0" t="inlineStr">
        <is>
          <t>계단식</t>
        </is>
      </c>
      <c r="W329" s="0" t="n">
        <v>38</v>
      </c>
      <c r="X329" s="0" t="n">
        <v>6</v>
      </c>
      <c r="Y329" s="0" t="n">
        <v>6</v>
      </c>
      <c r="Z329" s="0" t="inlineStr">
        <is>
          <t>https://new.land.naver.com/complexes/108585?tab=detail&amp;rf=Y</t>
        </is>
      </c>
      <c r="AA329" s="0" t="inlineStr">
        <is>
          <t>충청북도 청주시 서원구 사창동 357-31</t>
        </is>
      </c>
      <c r="AB329" s="0" t="inlineStr">
        <is>
          <t>충청북도</t>
        </is>
      </c>
      <c r="AC329" s="0" t="inlineStr">
        <is>
          <t>청주시</t>
        </is>
      </c>
      <c r="AD329" s="0" t="inlineStr">
        <is>
          <t>서원구</t>
        </is>
      </c>
      <c r="AE329" s="0" t="inlineStr">
        <is>
          <t>사창동</t>
        </is>
      </c>
      <c r="AG329" s="0" t="inlineStr">
        <is>
          <t>충청북도 청주시 서원구 예체로67번길 49</t>
        </is>
      </c>
      <c r="AH329" s="0" t="n">
        <v>0</v>
      </c>
      <c r="AI329" s="0" t="n">
        <v>173</v>
      </c>
      <c r="AJ329" s="0" t="n">
        <v>32</v>
      </c>
      <c r="AK329" s="0" t="n">
        <v>24</v>
      </c>
      <c r="AL329" s="0" t="n">
        <v>0.5</v>
      </c>
    </row>
    <row r="330">
      <c r="A330" s="0" t="inlineStr">
        <is>
          <t>[사창동]</t>
        </is>
      </c>
      <c r="B330" s="0" t="n">
        <v>114997</v>
      </c>
      <c r="C330" s="0" t="n">
        <v>1</v>
      </c>
      <c r="D330" s="0" t="inlineStr">
        <is>
          <t>청우</t>
        </is>
      </c>
      <c r="E330" s="0" t="inlineStr">
        <is>
          <t>1979.01.</t>
        </is>
      </c>
      <c r="F330" s="0" t="n">
        <v>75</v>
      </c>
      <c r="G330" s="0" t="n">
        <v>25.06</v>
      </c>
      <c r="H330" s="0" t="n">
        <v>82.84999999999999</v>
      </c>
      <c r="I330" s="0" t="n">
        <v>21.47</v>
      </c>
      <c r="J330" s="0" t="n">
        <v>70.98</v>
      </c>
      <c r="K330" s="0" t="n">
        <v>75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82</v>
      </c>
      <c r="X330" s="0" t="n">
        <v>4</v>
      </c>
      <c r="Y330" s="0" t="n">
        <v>4</v>
      </c>
      <c r="Z330" s="0" t="inlineStr">
        <is>
          <t>https://new.land.naver.com/complexes/114997?tab=detail&amp;rf=Y</t>
        </is>
      </c>
      <c r="AA330" s="0" t="inlineStr">
        <is>
          <t>충청북도 청주시 서원구 사창동 136-1</t>
        </is>
      </c>
      <c r="AB330" s="0" t="inlineStr">
        <is>
          <t>충청북도</t>
        </is>
      </c>
      <c r="AC330" s="0" t="inlineStr">
        <is>
          <t>청주시</t>
        </is>
      </c>
      <c r="AD330" s="0" t="inlineStr">
        <is>
          <t>서원구</t>
        </is>
      </c>
      <c r="AE330" s="0" t="inlineStr">
        <is>
          <t>사창동</t>
        </is>
      </c>
      <c r="AG330" s="0" t="inlineStr">
        <is>
          <t>충청북도 청주시 서원구 사직대로89번길 25</t>
        </is>
      </c>
      <c r="AH330" s="0" t="n">
        <v>0</v>
      </c>
      <c r="AI330" s="0" t="n">
        <v>0</v>
      </c>
      <c r="AJ330" s="0" t="n">
        <v>0</v>
      </c>
      <c r="AK330" s="0" t="n">
        <v>0</v>
      </c>
      <c r="AL330" s="0" t="n">
        <v>0</v>
      </c>
    </row>
    <row r="331">
      <c r="A331" s="0" t="inlineStr">
        <is>
          <t>[사창동]</t>
        </is>
      </c>
      <c r="B331" s="0" t="n">
        <v>7377</v>
      </c>
      <c r="C331" s="0" t="n">
        <v>1</v>
      </c>
      <c r="D331" s="0" t="inlineStr">
        <is>
          <t>신라</t>
        </is>
      </c>
      <c r="E331" s="0" t="inlineStr">
        <is>
          <t>1986.02.</t>
        </is>
      </c>
      <c r="F331" s="0" t="n">
        <v>70</v>
      </c>
      <c r="G331" s="0" t="n">
        <v>20.47</v>
      </c>
      <c r="H331" s="0" t="n">
        <v>67.68000000000001</v>
      </c>
      <c r="I331" s="0" t="n">
        <v>18.83</v>
      </c>
      <c r="J331" s="0" t="n">
        <v>62.28</v>
      </c>
      <c r="K331" s="0" t="n">
        <v>10</v>
      </c>
      <c r="T331" s="0" t="n">
        <v>3</v>
      </c>
      <c r="U331" s="0" t="n">
        <v>1</v>
      </c>
      <c r="V331" s="0" t="inlineStr">
        <is>
          <t>계단식</t>
        </is>
      </c>
      <c r="W331" s="0" t="n">
        <v>67</v>
      </c>
      <c r="X331" s="0" t="n">
        <v>5</v>
      </c>
      <c r="Y331" s="0" t="n">
        <v>5</v>
      </c>
      <c r="Z331" s="0" t="inlineStr">
        <is>
          <t>https://new.land.naver.com/complexes/7377?tab=detail&amp;rf=Y</t>
        </is>
      </c>
      <c r="AA331" s="0" t="inlineStr">
        <is>
          <t>충청북도 청주시 서원구 사창동 270-1</t>
        </is>
      </c>
      <c r="AB331" s="0" t="inlineStr">
        <is>
          <t>충청북도</t>
        </is>
      </c>
      <c r="AC331" s="0" t="inlineStr">
        <is>
          <t>청주시</t>
        </is>
      </c>
      <c r="AD331" s="0" t="inlineStr">
        <is>
          <t>서원구</t>
        </is>
      </c>
      <c r="AE331" s="0" t="inlineStr">
        <is>
          <t>사창동</t>
        </is>
      </c>
      <c r="AG331" s="0" t="inlineStr">
        <is>
          <t>충청북도 청주시 서원구 1순환로673번길 20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[사창동]</t>
        </is>
      </c>
      <c r="B332" s="0" t="n">
        <v>7377</v>
      </c>
      <c r="C332" s="0" t="n">
        <v>2</v>
      </c>
      <c r="D332" s="0" t="inlineStr">
        <is>
          <t>신라</t>
        </is>
      </c>
      <c r="E332" s="0" t="inlineStr">
        <is>
          <t>1986.02.</t>
        </is>
      </c>
      <c r="F332" s="0" t="n">
        <v>70</v>
      </c>
      <c r="G332" s="0" t="n">
        <v>22.05</v>
      </c>
      <c r="H332" s="0" t="n">
        <v>72.90000000000001</v>
      </c>
      <c r="I332" s="0" t="n">
        <v>20.41</v>
      </c>
      <c r="J332" s="0" t="n">
        <v>67.5</v>
      </c>
      <c r="K332" s="0" t="n">
        <v>5</v>
      </c>
      <c r="T332" s="0" t="n">
        <v>3</v>
      </c>
      <c r="U332" s="0" t="n">
        <v>1</v>
      </c>
      <c r="V332" s="0" t="inlineStr">
        <is>
          <t>계단식</t>
        </is>
      </c>
      <c r="W332" s="0" t="n">
        <v>72</v>
      </c>
      <c r="X332" s="0" t="n">
        <v>5</v>
      </c>
      <c r="Y332" s="0" t="n">
        <v>5</v>
      </c>
      <c r="Z332" s="0" t="inlineStr">
        <is>
          <t>https://new.land.naver.com/complexes/7377?tab=detail&amp;rf=Y</t>
        </is>
      </c>
      <c r="AA332" s="0" t="inlineStr">
        <is>
          <t>충청북도 청주시 서원구 사창동 270-1</t>
        </is>
      </c>
      <c r="AB332" s="0" t="inlineStr">
        <is>
          <t>충청북도</t>
        </is>
      </c>
      <c r="AC332" s="0" t="inlineStr">
        <is>
          <t>청주시</t>
        </is>
      </c>
      <c r="AD332" s="0" t="inlineStr">
        <is>
          <t>서원구</t>
        </is>
      </c>
      <c r="AE332" s="0" t="inlineStr">
        <is>
          <t>사창동</t>
        </is>
      </c>
      <c r="AG332" s="0" t="inlineStr">
        <is>
          <t>충청북도 청주시 서원구 1순환로673번길 20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[사창동]</t>
        </is>
      </c>
      <c r="B333" s="0" t="n">
        <v>7377</v>
      </c>
      <c r="C333" s="0" t="n">
        <v>3</v>
      </c>
      <c r="D333" s="0" t="inlineStr">
        <is>
          <t>신라</t>
        </is>
      </c>
      <c r="E333" s="0" t="inlineStr">
        <is>
          <t>1986.02.</t>
        </is>
      </c>
      <c r="F333" s="0" t="n">
        <v>70</v>
      </c>
      <c r="G333" s="0" t="n">
        <v>23.68</v>
      </c>
      <c r="H333" s="0" t="n">
        <v>78.3</v>
      </c>
      <c r="I333" s="0" t="n">
        <v>22.05</v>
      </c>
      <c r="J333" s="0" t="n">
        <v>72.90000000000001</v>
      </c>
      <c r="K333" s="0" t="n">
        <v>5</v>
      </c>
      <c r="T333" s="0" t="n">
        <v>3</v>
      </c>
      <c r="U333" s="0" t="n">
        <v>1</v>
      </c>
      <c r="V333" s="0" t="inlineStr">
        <is>
          <t>계단식</t>
        </is>
      </c>
      <c r="W333" s="0" t="n">
        <v>78</v>
      </c>
      <c r="X333" s="0" t="n">
        <v>5</v>
      </c>
      <c r="Y333" s="0" t="n">
        <v>5</v>
      </c>
      <c r="Z333" s="0" t="inlineStr">
        <is>
          <t>https://new.land.naver.com/complexes/7377?tab=detail&amp;rf=Y</t>
        </is>
      </c>
      <c r="AA333" s="0" t="inlineStr">
        <is>
          <t>충청북도 청주시 서원구 사창동 270-1</t>
        </is>
      </c>
      <c r="AB333" s="0" t="inlineStr">
        <is>
          <t>충청북도</t>
        </is>
      </c>
      <c r="AC333" s="0" t="inlineStr">
        <is>
          <t>청주시</t>
        </is>
      </c>
      <c r="AD333" s="0" t="inlineStr">
        <is>
          <t>서원구</t>
        </is>
      </c>
      <c r="AE333" s="0" t="inlineStr">
        <is>
          <t>사창동</t>
        </is>
      </c>
      <c r="AG333" s="0" t="inlineStr">
        <is>
          <t>충청북도 청주시 서원구 1순환로673번길 20</t>
        </is>
      </c>
      <c r="AH333" s="0" t="n">
        <v>0</v>
      </c>
      <c r="AI333" s="0" t="n">
        <v>0</v>
      </c>
      <c r="AJ333" s="0" t="n">
        <v>0</v>
      </c>
      <c r="AK333" s="0" t="n">
        <v>0</v>
      </c>
      <c r="AL333" s="0" t="n">
        <v>0</v>
      </c>
    </row>
    <row r="334">
      <c r="A334" s="0" t="inlineStr">
        <is>
          <t>[사창동]</t>
        </is>
      </c>
      <c r="B334" s="0" t="n">
        <v>7377</v>
      </c>
      <c r="C334" s="0" t="n">
        <v>4</v>
      </c>
      <c r="D334" s="0" t="inlineStr">
        <is>
          <t>신라</t>
        </is>
      </c>
      <c r="E334" s="0" t="inlineStr">
        <is>
          <t>1986.02.</t>
        </is>
      </c>
      <c r="F334" s="0" t="n">
        <v>70</v>
      </c>
      <c r="G334" s="0" t="n">
        <v>25.78</v>
      </c>
      <c r="H334" s="0" t="n">
        <v>85.23</v>
      </c>
      <c r="I334" s="0" t="n">
        <v>23.6</v>
      </c>
      <c r="J334" s="0" t="n">
        <v>78.03</v>
      </c>
      <c r="K334" s="0" t="n">
        <v>15</v>
      </c>
      <c r="T334" s="0" t="n">
        <v>3</v>
      </c>
      <c r="U334" s="0" t="n">
        <v>1</v>
      </c>
      <c r="V334" s="0" t="inlineStr">
        <is>
          <t>계단식</t>
        </is>
      </c>
      <c r="W334" s="0" t="inlineStr">
        <is>
          <t>85B</t>
        </is>
      </c>
      <c r="X334" s="0" t="n">
        <v>5</v>
      </c>
      <c r="Y334" s="0" t="n">
        <v>5</v>
      </c>
      <c r="Z334" s="0" t="inlineStr">
        <is>
          <t>https://new.land.naver.com/complexes/7377?tab=detail&amp;rf=Y</t>
        </is>
      </c>
      <c r="AA334" s="0" t="inlineStr">
        <is>
          <t>충청북도 청주시 서원구 사창동 270-1</t>
        </is>
      </c>
      <c r="AB334" s="0" t="inlineStr">
        <is>
          <t>충청북도</t>
        </is>
      </c>
      <c r="AC334" s="0" t="inlineStr">
        <is>
          <t>청주시</t>
        </is>
      </c>
      <c r="AD334" s="0" t="inlineStr">
        <is>
          <t>서원구</t>
        </is>
      </c>
      <c r="AE334" s="0" t="inlineStr">
        <is>
          <t>사창동</t>
        </is>
      </c>
      <c r="AG334" s="0" t="inlineStr">
        <is>
          <t>충청북도 청주시 서원구 1순환로673번길 20</t>
        </is>
      </c>
      <c r="AH334" s="0" t="n">
        <v>0</v>
      </c>
      <c r="AI334" s="0" t="n">
        <v>0</v>
      </c>
      <c r="AJ334" s="0" t="n">
        <v>0</v>
      </c>
      <c r="AK334" s="0" t="n">
        <v>0</v>
      </c>
      <c r="AL334" s="0" t="n">
        <v>0</v>
      </c>
    </row>
    <row r="335">
      <c r="A335" s="0" t="inlineStr">
        <is>
          <t>[사창동]</t>
        </is>
      </c>
      <c r="B335" s="0" t="n">
        <v>7377</v>
      </c>
      <c r="C335" s="0" t="n">
        <v>5</v>
      </c>
      <c r="D335" s="0" t="inlineStr">
        <is>
          <t>신라</t>
        </is>
      </c>
      <c r="E335" s="0" t="inlineStr">
        <is>
          <t>1986.02.</t>
        </is>
      </c>
      <c r="F335" s="0" t="n">
        <v>70</v>
      </c>
      <c r="G335" s="0" t="n">
        <v>25.98</v>
      </c>
      <c r="H335" s="0" t="n">
        <v>85.91</v>
      </c>
      <c r="I335" s="0" t="n">
        <v>19.65</v>
      </c>
      <c r="J335" s="0" t="n">
        <v>64.98</v>
      </c>
      <c r="K335" s="0" t="n">
        <v>10</v>
      </c>
      <c r="T335" s="0" t="n">
        <v>3</v>
      </c>
      <c r="U335" s="0" t="n">
        <v>1</v>
      </c>
      <c r="V335" s="0" t="inlineStr">
        <is>
          <t>계단식</t>
        </is>
      </c>
      <c r="W335" s="0" t="inlineStr">
        <is>
          <t>85A</t>
        </is>
      </c>
      <c r="X335" s="0" t="n">
        <v>5</v>
      </c>
      <c r="Y335" s="0" t="n">
        <v>5</v>
      </c>
      <c r="Z335" s="0" t="inlineStr">
        <is>
          <t>https://new.land.naver.com/complexes/7377?tab=detail&amp;rf=Y</t>
        </is>
      </c>
      <c r="AA335" s="0" t="inlineStr">
        <is>
          <t>충청북도 청주시 서원구 사창동 270-1</t>
        </is>
      </c>
      <c r="AB335" s="0" t="inlineStr">
        <is>
          <t>충청북도</t>
        </is>
      </c>
      <c r="AC335" s="0" t="inlineStr">
        <is>
          <t>청주시</t>
        </is>
      </c>
      <c r="AD335" s="0" t="inlineStr">
        <is>
          <t>서원구</t>
        </is>
      </c>
      <c r="AE335" s="0" t="inlineStr">
        <is>
          <t>사창동</t>
        </is>
      </c>
      <c r="AG335" s="0" t="inlineStr">
        <is>
          <t>충청북도 청주시 서원구 1순환로673번길 20</t>
        </is>
      </c>
      <c r="AH335" s="0" t="n">
        <v>0</v>
      </c>
      <c r="AI335" s="0" t="n">
        <v>0</v>
      </c>
      <c r="AJ335" s="0" t="n">
        <v>0</v>
      </c>
      <c r="AK335" s="0" t="n">
        <v>0</v>
      </c>
      <c r="AL335" s="0" t="n">
        <v>0</v>
      </c>
    </row>
    <row r="336">
      <c r="A336" s="0" t="inlineStr">
        <is>
          <t>[사창동]</t>
        </is>
      </c>
      <c r="B336" s="0" t="n">
        <v>7377</v>
      </c>
      <c r="C336" s="0" t="n">
        <v>6</v>
      </c>
      <c r="D336" s="0" t="inlineStr">
        <is>
          <t>신라</t>
        </is>
      </c>
      <c r="E336" s="0" t="inlineStr">
        <is>
          <t>1986.02.</t>
        </is>
      </c>
      <c r="F336" s="0" t="n">
        <v>70</v>
      </c>
      <c r="G336" s="0" t="n">
        <v>27.71</v>
      </c>
      <c r="H336" s="0" t="n">
        <v>91.62</v>
      </c>
      <c r="I336" s="0" t="n">
        <v>25.53</v>
      </c>
      <c r="J336" s="0" t="n">
        <v>84.42</v>
      </c>
      <c r="K336" s="0" t="n">
        <v>5</v>
      </c>
      <c r="T336" s="0" t="n">
        <v>3</v>
      </c>
      <c r="U336" s="0" t="n">
        <v>1</v>
      </c>
      <c r="V336" s="0" t="inlineStr">
        <is>
          <t>계단식</t>
        </is>
      </c>
      <c r="W336" s="0" t="n">
        <v>91</v>
      </c>
      <c r="X336" s="0" t="n">
        <v>5</v>
      </c>
      <c r="Y336" s="0" t="n">
        <v>5</v>
      </c>
      <c r="Z336" s="0" t="inlineStr">
        <is>
          <t>https://new.land.naver.com/complexes/7377?tab=detail&amp;rf=Y</t>
        </is>
      </c>
      <c r="AA336" s="0" t="inlineStr">
        <is>
          <t>충청북도 청주시 서원구 사창동 270-1</t>
        </is>
      </c>
      <c r="AB336" s="0" t="inlineStr">
        <is>
          <t>충청북도</t>
        </is>
      </c>
      <c r="AC336" s="0" t="inlineStr">
        <is>
          <t>청주시</t>
        </is>
      </c>
      <c r="AD336" s="0" t="inlineStr">
        <is>
          <t>서원구</t>
        </is>
      </c>
      <c r="AE336" s="0" t="inlineStr">
        <is>
          <t>사창동</t>
        </is>
      </c>
      <c r="AG336" s="0" t="inlineStr">
        <is>
          <t>충청북도 청주시 서원구 1순환로673번길 20</t>
        </is>
      </c>
      <c r="AH336" s="0" t="n">
        <v>0</v>
      </c>
      <c r="AI336" s="0" t="n">
        <v>0</v>
      </c>
      <c r="AJ336" s="0" t="n">
        <v>0</v>
      </c>
      <c r="AK336" s="0" t="n">
        <v>0</v>
      </c>
      <c r="AL336" s="0" t="n">
        <v>0</v>
      </c>
    </row>
    <row r="337">
      <c r="A337" s="0" t="inlineStr">
        <is>
          <t>[사창동]</t>
        </is>
      </c>
      <c r="B337" s="0" t="n">
        <v>7377</v>
      </c>
      <c r="C337" s="0" t="n">
        <v>7</v>
      </c>
      <c r="D337" s="0" t="inlineStr">
        <is>
          <t>신라</t>
        </is>
      </c>
      <c r="E337" s="0" t="inlineStr">
        <is>
          <t>1986.02.</t>
        </is>
      </c>
      <c r="F337" s="0" t="n">
        <v>70</v>
      </c>
      <c r="G337" s="0" t="n">
        <v>33.3</v>
      </c>
      <c r="H337" s="0" t="n">
        <v>110.09</v>
      </c>
      <c r="I337" s="0" t="n">
        <v>25.3</v>
      </c>
      <c r="J337" s="0" t="n">
        <v>83.64</v>
      </c>
      <c r="K337" s="0" t="n">
        <v>5</v>
      </c>
      <c r="T337" s="0" t="n">
        <v>3</v>
      </c>
      <c r="U337" s="0" t="n">
        <v>1</v>
      </c>
      <c r="V337" s="0" t="inlineStr">
        <is>
          <t>계단식</t>
        </is>
      </c>
      <c r="W337" s="0" t="n">
        <v>110</v>
      </c>
      <c r="X337" s="0" t="n">
        <v>5</v>
      </c>
      <c r="Y337" s="0" t="n">
        <v>5</v>
      </c>
      <c r="Z337" s="0" t="inlineStr">
        <is>
          <t>https://new.land.naver.com/complexes/7377?tab=detail&amp;rf=Y</t>
        </is>
      </c>
      <c r="AA337" s="0" t="inlineStr">
        <is>
          <t>충청북도 청주시 서원구 사창동 270-1</t>
        </is>
      </c>
      <c r="AB337" s="0" t="inlineStr">
        <is>
          <t>충청북도</t>
        </is>
      </c>
      <c r="AC337" s="0" t="inlineStr">
        <is>
          <t>청주시</t>
        </is>
      </c>
      <c r="AD337" s="0" t="inlineStr">
        <is>
          <t>서원구</t>
        </is>
      </c>
      <c r="AE337" s="0" t="inlineStr">
        <is>
          <t>사창동</t>
        </is>
      </c>
      <c r="AG337" s="0" t="inlineStr">
        <is>
          <t>충청북도 청주시 서원구 1순환로673번길 20</t>
        </is>
      </c>
      <c r="AH337" s="0" t="n">
        <v>0</v>
      </c>
      <c r="AI337" s="0" t="n">
        <v>0</v>
      </c>
      <c r="AJ337" s="0" t="n">
        <v>0</v>
      </c>
      <c r="AK337" s="0" t="n">
        <v>0</v>
      </c>
      <c r="AL337" s="0" t="n">
        <v>0</v>
      </c>
    </row>
    <row r="338">
      <c r="A338" s="0" t="inlineStr">
        <is>
          <t>[사창동]</t>
        </is>
      </c>
      <c r="B338" s="0" t="n">
        <v>7377</v>
      </c>
      <c r="C338" s="0" t="n">
        <v>8</v>
      </c>
      <c r="D338" s="0" t="inlineStr">
        <is>
          <t>신라</t>
        </is>
      </c>
      <c r="E338" s="0" t="inlineStr">
        <is>
          <t>1986.02.</t>
        </is>
      </c>
      <c r="F338" s="0" t="n">
        <v>70</v>
      </c>
      <c r="G338" s="0" t="n">
        <v>33.59</v>
      </c>
      <c r="H338" s="0" t="n">
        <v>111.05</v>
      </c>
      <c r="I338" s="0" t="n">
        <v>25.59</v>
      </c>
      <c r="J338" s="0" t="n">
        <v>84.59999999999999</v>
      </c>
      <c r="K338" s="0" t="n">
        <v>5</v>
      </c>
      <c r="T338" s="0" t="n">
        <v>4</v>
      </c>
      <c r="U338" s="0" t="n">
        <v>2</v>
      </c>
      <c r="V338" s="0" t="inlineStr">
        <is>
          <t>계단식</t>
        </is>
      </c>
      <c r="W338" s="0" t="n">
        <v>111</v>
      </c>
      <c r="X338" s="0" t="n">
        <v>5</v>
      </c>
      <c r="Y338" s="0" t="n">
        <v>5</v>
      </c>
      <c r="Z338" s="0" t="inlineStr">
        <is>
          <t>https://new.land.naver.com/complexes/7377?tab=detail&amp;rf=Y</t>
        </is>
      </c>
      <c r="AA338" s="0" t="inlineStr">
        <is>
          <t>충청북도 청주시 서원구 사창동 270-1</t>
        </is>
      </c>
      <c r="AB338" s="0" t="inlineStr">
        <is>
          <t>충청북도</t>
        </is>
      </c>
      <c r="AC338" s="0" t="inlineStr">
        <is>
          <t>청주시</t>
        </is>
      </c>
      <c r="AD338" s="0" t="inlineStr">
        <is>
          <t>서원구</t>
        </is>
      </c>
      <c r="AE338" s="0" t="inlineStr">
        <is>
          <t>사창동</t>
        </is>
      </c>
      <c r="AG338" s="0" t="inlineStr">
        <is>
          <t>충청북도 청주시 서원구 1순환로673번길 20</t>
        </is>
      </c>
      <c r="AH338" s="0" t="n">
        <v>0</v>
      </c>
      <c r="AI338" s="0" t="n">
        <v>0</v>
      </c>
      <c r="AJ338" s="0" t="n">
        <v>0</v>
      </c>
      <c r="AK338" s="0" t="n">
        <v>0</v>
      </c>
      <c r="AL338" s="0" t="n">
        <v>0</v>
      </c>
    </row>
    <row r="339">
      <c r="A339" s="0" t="inlineStr">
        <is>
          <t>[사창동]</t>
        </is>
      </c>
      <c r="B339" s="0" t="n">
        <v>7377</v>
      </c>
      <c r="C339" s="0" t="n">
        <v>9</v>
      </c>
      <c r="D339" s="0" t="inlineStr">
        <is>
          <t>신라</t>
        </is>
      </c>
      <c r="E339" s="0" t="inlineStr">
        <is>
          <t>1986.02.</t>
        </is>
      </c>
      <c r="F339" s="0" t="n">
        <v>70</v>
      </c>
      <c r="G339" s="0" t="n">
        <v>37.69</v>
      </c>
      <c r="H339" s="0" t="n">
        <v>124.61</v>
      </c>
      <c r="I339" s="0" t="n">
        <v>29.39</v>
      </c>
      <c r="J339" s="0" t="n">
        <v>97.17</v>
      </c>
      <c r="K339" s="0" t="n">
        <v>5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124</v>
      </c>
      <c r="X339" s="0" t="n">
        <v>5</v>
      </c>
      <c r="Y339" s="0" t="n">
        <v>5</v>
      </c>
      <c r="Z339" s="0" t="inlineStr">
        <is>
          <t>https://new.land.naver.com/complexes/7377?tab=detail&amp;rf=Y</t>
        </is>
      </c>
      <c r="AA339" s="0" t="inlineStr">
        <is>
          <t>충청북도 청주시 서원구 사창동 270-1</t>
        </is>
      </c>
      <c r="AB339" s="0" t="inlineStr">
        <is>
          <t>충청북도</t>
        </is>
      </c>
      <c r="AC339" s="0" t="inlineStr">
        <is>
          <t>청주시</t>
        </is>
      </c>
      <c r="AD339" s="0" t="inlineStr">
        <is>
          <t>서원구</t>
        </is>
      </c>
      <c r="AE339" s="0" t="inlineStr">
        <is>
          <t>사창동</t>
        </is>
      </c>
      <c r="AG339" s="0" t="inlineStr">
        <is>
          <t>충청북도 청주시 서원구 1순환로673번길 20</t>
        </is>
      </c>
      <c r="AH339" s="0" t="n">
        <v>0</v>
      </c>
      <c r="AI339" s="0" t="n">
        <v>0</v>
      </c>
      <c r="AJ339" s="0" t="n">
        <v>0</v>
      </c>
      <c r="AK339" s="0" t="n">
        <v>0</v>
      </c>
      <c r="AL339" s="0" t="n">
        <v>0</v>
      </c>
    </row>
    <row r="340">
      <c r="A340" s="0" t="inlineStr">
        <is>
          <t>[사창동]</t>
        </is>
      </c>
      <c r="B340" s="0" t="n">
        <v>7377</v>
      </c>
      <c r="C340" s="0" t="n">
        <v>10</v>
      </c>
      <c r="D340" s="0" t="inlineStr">
        <is>
          <t>신라</t>
        </is>
      </c>
      <c r="E340" s="0" t="inlineStr">
        <is>
          <t>1986.02.</t>
        </is>
      </c>
      <c r="F340" s="0" t="n">
        <v>70</v>
      </c>
      <c r="G340" s="0" t="n">
        <v>51.73</v>
      </c>
      <c r="H340" s="0" t="n">
        <v>171.04</v>
      </c>
      <c r="I340" s="0" t="n">
        <v>41.13</v>
      </c>
      <c r="J340" s="0" t="n">
        <v>135.97</v>
      </c>
      <c r="K340" s="0" t="n">
        <v>5</v>
      </c>
      <c r="T340" s="0" t="n">
        <v>5</v>
      </c>
      <c r="U340" s="0" t="n">
        <v>2</v>
      </c>
      <c r="V340" s="0" t="inlineStr">
        <is>
          <t>계단식</t>
        </is>
      </c>
      <c r="W340" s="0" t="n">
        <v>171</v>
      </c>
      <c r="X340" s="0" t="n">
        <v>5</v>
      </c>
      <c r="Y340" s="0" t="n">
        <v>5</v>
      </c>
      <c r="Z340" s="0" t="inlineStr">
        <is>
          <t>https://new.land.naver.com/complexes/7377?tab=detail&amp;rf=Y</t>
        </is>
      </c>
      <c r="AA340" s="0" t="inlineStr">
        <is>
          <t>충청북도 청주시 서원구 사창동 270-1</t>
        </is>
      </c>
      <c r="AB340" s="0" t="inlineStr">
        <is>
          <t>충청북도</t>
        </is>
      </c>
      <c r="AC340" s="0" t="inlineStr">
        <is>
          <t>청주시</t>
        </is>
      </c>
      <c r="AD340" s="0" t="inlineStr">
        <is>
          <t>서원구</t>
        </is>
      </c>
      <c r="AE340" s="0" t="inlineStr">
        <is>
          <t>사창동</t>
        </is>
      </c>
      <c r="AG340" s="0" t="inlineStr">
        <is>
          <t>충청북도 청주시 서원구 1순환로673번길 20</t>
        </is>
      </c>
      <c r="AH340" s="0" t="n">
        <v>0</v>
      </c>
      <c r="AI340" s="0" t="n">
        <v>0</v>
      </c>
      <c r="AJ340" s="0" t="n">
        <v>0</v>
      </c>
      <c r="AK340" s="0" t="n">
        <v>0</v>
      </c>
      <c r="AL340" s="0" t="n">
        <v>0</v>
      </c>
    </row>
    <row r="341">
      <c r="A341" s="0" t="inlineStr">
        <is>
          <t>[사창동]</t>
        </is>
      </c>
      <c r="B341" s="0" t="n">
        <v>117342</v>
      </c>
      <c r="C341" s="0" t="n">
        <v>1</v>
      </c>
      <c r="D341" s="0" t="inlineStr">
        <is>
          <t>헤렌하우스</t>
        </is>
      </c>
      <c r="E341" s="0" t="inlineStr">
        <is>
          <t>2013.12.</t>
        </is>
      </c>
      <c r="F341" s="0" t="n">
        <v>28</v>
      </c>
      <c r="G341" s="0" t="n">
        <v>8.359999999999999</v>
      </c>
      <c r="H341" s="0" t="n">
        <v>27.64</v>
      </c>
      <c r="I341" s="0" t="n">
        <v>5.74</v>
      </c>
      <c r="J341" s="0" t="n">
        <v>19</v>
      </c>
      <c r="K341" s="0" t="n">
        <v>2</v>
      </c>
      <c r="T341" s="0" t="n">
        <v>1</v>
      </c>
      <c r="U341" s="0" t="n">
        <v>1</v>
      </c>
      <c r="V341" s="0" t="inlineStr">
        <is>
          <t>복도식</t>
        </is>
      </c>
      <c r="W341" s="0" t="n">
        <v>27</v>
      </c>
      <c r="X341" s="0" t="n">
        <v>9</v>
      </c>
      <c r="Y341" s="0" t="n">
        <v>9</v>
      </c>
      <c r="Z341" s="0" t="inlineStr">
        <is>
          <t>https://new.land.naver.com/complexes/117342?tab=detail&amp;rf=Y</t>
        </is>
      </c>
      <c r="AA341" s="0" t="inlineStr">
        <is>
          <t>충청북도 청주시 서원구 사창동 296-7</t>
        </is>
      </c>
      <c r="AB341" s="0" t="inlineStr">
        <is>
          <t>충청북도</t>
        </is>
      </c>
      <c r="AC341" s="0" t="inlineStr">
        <is>
          <t>청주시</t>
        </is>
      </c>
      <c r="AD341" s="0" t="inlineStr">
        <is>
          <t>서원구</t>
        </is>
      </c>
      <c r="AE341" s="0" t="inlineStr">
        <is>
          <t>사창동</t>
        </is>
      </c>
      <c r="AG341" s="0" t="inlineStr">
        <is>
          <t>충청북도 청주시 서원구 내수동로 149</t>
        </is>
      </c>
      <c r="AH341" s="0" t="n">
        <v>0</v>
      </c>
      <c r="AI341" s="0" t="n">
        <v>431</v>
      </c>
      <c r="AJ341" s="0" t="n">
        <v>66</v>
      </c>
      <c r="AK341" s="0" t="n">
        <v>12</v>
      </c>
      <c r="AL341" s="0" t="n">
        <v>0.43</v>
      </c>
    </row>
    <row r="342">
      <c r="A342" s="0" t="inlineStr">
        <is>
          <t>[사창동]</t>
        </is>
      </c>
      <c r="B342" s="0" t="n">
        <v>117342</v>
      </c>
      <c r="C342" s="0" t="n">
        <v>2</v>
      </c>
      <c r="D342" s="0" t="inlineStr">
        <is>
          <t>헤렌하우스</t>
        </is>
      </c>
      <c r="E342" s="0" t="inlineStr">
        <is>
          <t>2013.12.</t>
        </is>
      </c>
      <c r="F342" s="0" t="n">
        <v>28</v>
      </c>
      <c r="G342" s="0" t="n">
        <v>9.039999999999999</v>
      </c>
      <c r="H342" s="0" t="n">
        <v>29.91</v>
      </c>
      <c r="I342" s="0" t="n">
        <v>6.21</v>
      </c>
      <c r="J342" s="0" t="n">
        <v>20.55</v>
      </c>
      <c r="K342" s="0" t="n">
        <v>1</v>
      </c>
      <c r="T342" s="0" t="n">
        <v>1</v>
      </c>
      <c r="U342" s="0" t="n">
        <v>1</v>
      </c>
      <c r="V342" s="0" t="inlineStr">
        <is>
          <t>복도식</t>
        </is>
      </c>
      <c r="W342" s="0" t="inlineStr">
        <is>
          <t>29A</t>
        </is>
      </c>
      <c r="X342" s="0" t="n">
        <v>9</v>
      </c>
      <c r="Y342" s="0" t="n">
        <v>9</v>
      </c>
      <c r="Z342" s="0" t="inlineStr">
        <is>
          <t>https://new.land.naver.com/complexes/117342?tab=detail&amp;rf=Y</t>
        </is>
      </c>
      <c r="AA342" s="0" t="inlineStr">
        <is>
          <t>충청북도 청주시 서원구 사창동 296-7</t>
        </is>
      </c>
      <c r="AB342" s="0" t="inlineStr">
        <is>
          <t>충청북도</t>
        </is>
      </c>
      <c r="AC342" s="0" t="inlineStr">
        <is>
          <t>청주시</t>
        </is>
      </c>
      <c r="AD342" s="0" t="inlineStr">
        <is>
          <t>서원구</t>
        </is>
      </c>
      <c r="AE342" s="0" t="inlineStr">
        <is>
          <t>사창동</t>
        </is>
      </c>
      <c r="AG342" s="0" t="inlineStr">
        <is>
          <t>충청북도 청주시 서원구 내수동로 149</t>
        </is>
      </c>
      <c r="AH342" s="0" t="n">
        <v>0</v>
      </c>
      <c r="AI342" s="0" t="n">
        <v>431</v>
      </c>
      <c r="AJ342" s="0" t="n">
        <v>66</v>
      </c>
      <c r="AK342" s="0" t="n">
        <v>12</v>
      </c>
      <c r="AL342" s="0" t="n">
        <v>0.43</v>
      </c>
    </row>
    <row r="343">
      <c r="A343" s="0" t="inlineStr">
        <is>
          <t>[사창동]</t>
        </is>
      </c>
      <c r="B343" s="0" t="n">
        <v>117342</v>
      </c>
      <c r="C343" s="0" t="n">
        <v>3</v>
      </c>
      <c r="D343" s="0" t="inlineStr">
        <is>
          <t>헤렌하우스</t>
        </is>
      </c>
      <c r="E343" s="0" t="inlineStr">
        <is>
          <t>2013.12.</t>
        </is>
      </c>
      <c r="F343" s="0" t="n">
        <v>28</v>
      </c>
      <c r="G343" s="0" t="n">
        <v>9.109999999999999</v>
      </c>
      <c r="H343" s="0" t="n">
        <v>30.12</v>
      </c>
      <c r="I343" s="0" t="n">
        <v>6.26</v>
      </c>
      <c r="J343" s="0" t="n">
        <v>20.7</v>
      </c>
      <c r="K343" s="0" t="n">
        <v>1</v>
      </c>
      <c r="T343" s="0" t="n">
        <v>1</v>
      </c>
      <c r="U343" s="0" t="n">
        <v>1</v>
      </c>
      <c r="V343" s="0" t="inlineStr">
        <is>
          <t>복도식</t>
        </is>
      </c>
      <c r="W343" s="0" t="inlineStr">
        <is>
          <t>30B</t>
        </is>
      </c>
      <c r="X343" s="0" t="n">
        <v>9</v>
      </c>
      <c r="Y343" s="0" t="n">
        <v>9</v>
      </c>
      <c r="Z343" s="0" t="inlineStr">
        <is>
          <t>https://new.land.naver.com/complexes/117342?tab=detail&amp;rf=Y</t>
        </is>
      </c>
      <c r="AA343" s="0" t="inlineStr">
        <is>
          <t>충청북도 청주시 서원구 사창동 296-7</t>
        </is>
      </c>
      <c r="AB343" s="0" t="inlineStr">
        <is>
          <t>충청북도</t>
        </is>
      </c>
      <c r="AC343" s="0" t="inlineStr">
        <is>
          <t>청주시</t>
        </is>
      </c>
      <c r="AD343" s="0" t="inlineStr">
        <is>
          <t>서원구</t>
        </is>
      </c>
      <c r="AE343" s="0" t="inlineStr">
        <is>
          <t>사창동</t>
        </is>
      </c>
      <c r="AG343" s="0" t="inlineStr">
        <is>
          <t>충청북도 청주시 서원구 내수동로 149</t>
        </is>
      </c>
      <c r="AH343" s="0" t="n">
        <v>0</v>
      </c>
      <c r="AI343" s="0" t="n">
        <v>431</v>
      </c>
      <c r="AJ343" s="0" t="n">
        <v>66</v>
      </c>
      <c r="AK343" s="0" t="n">
        <v>12</v>
      </c>
      <c r="AL343" s="0" t="n">
        <v>0.43</v>
      </c>
    </row>
    <row r="344">
      <c r="A344" s="0" t="inlineStr">
        <is>
          <t>[사창동]</t>
        </is>
      </c>
      <c r="B344" s="0" t="n">
        <v>117342</v>
      </c>
      <c r="C344" s="0" t="n">
        <v>4</v>
      </c>
      <c r="D344" s="0" t="inlineStr">
        <is>
          <t>헤렌하우스</t>
        </is>
      </c>
      <c r="E344" s="0" t="inlineStr">
        <is>
          <t>2013.12.</t>
        </is>
      </c>
      <c r="F344" s="0" t="n">
        <v>28</v>
      </c>
      <c r="G344" s="0" t="n">
        <v>9.49</v>
      </c>
      <c r="H344" s="0" t="n">
        <v>31.38</v>
      </c>
      <c r="I344" s="0" t="n">
        <v>6.52</v>
      </c>
      <c r="J344" s="0" t="n">
        <v>21.57</v>
      </c>
      <c r="K344" s="0" t="n">
        <v>4</v>
      </c>
      <c r="T344" s="0" t="n">
        <v>1</v>
      </c>
      <c r="U344" s="0" t="n">
        <v>1</v>
      </c>
      <c r="V344" s="0" t="inlineStr">
        <is>
          <t>복도식</t>
        </is>
      </c>
      <c r="W344" s="0" t="inlineStr">
        <is>
          <t>31C</t>
        </is>
      </c>
      <c r="X344" s="0" t="n">
        <v>9</v>
      </c>
      <c r="Y344" s="0" t="n">
        <v>9</v>
      </c>
      <c r="Z344" s="0" t="inlineStr">
        <is>
          <t>https://new.land.naver.com/complexes/117342?tab=detail&amp;rf=Y</t>
        </is>
      </c>
      <c r="AA344" s="0" t="inlineStr">
        <is>
          <t>충청북도 청주시 서원구 사창동 296-7</t>
        </is>
      </c>
      <c r="AB344" s="0" t="inlineStr">
        <is>
          <t>충청북도</t>
        </is>
      </c>
      <c r="AC344" s="0" t="inlineStr">
        <is>
          <t>청주시</t>
        </is>
      </c>
      <c r="AD344" s="0" t="inlineStr">
        <is>
          <t>서원구</t>
        </is>
      </c>
      <c r="AE344" s="0" t="inlineStr">
        <is>
          <t>사창동</t>
        </is>
      </c>
      <c r="AG344" s="0" t="inlineStr">
        <is>
          <t>충청북도 청주시 서원구 내수동로 149</t>
        </is>
      </c>
      <c r="AH344" s="0" t="n">
        <v>0</v>
      </c>
      <c r="AI344" s="0" t="n">
        <v>431</v>
      </c>
      <c r="AJ344" s="0" t="n">
        <v>66</v>
      </c>
      <c r="AK344" s="0" t="n">
        <v>12</v>
      </c>
      <c r="AL344" s="0" t="n">
        <v>0.43</v>
      </c>
    </row>
    <row r="345">
      <c r="A345" s="0" t="inlineStr">
        <is>
          <t>[사창동]</t>
        </is>
      </c>
      <c r="B345" s="0" t="n">
        <v>117342</v>
      </c>
      <c r="C345" s="0" t="n">
        <v>5</v>
      </c>
      <c r="D345" s="0" t="inlineStr">
        <is>
          <t>헤렌하우스</t>
        </is>
      </c>
      <c r="E345" s="0" t="inlineStr">
        <is>
          <t>2013.12.</t>
        </is>
      </c>
      <c r="F345" s="0" t="n">
        <v>28</v>
      </c>
      <c r="G345" s="0" t="n">
        <v>9.85</v>
      </c>
      <c r="H345" s="0" t="n">
        <v>32.59</v>
      </c>
      <c r="I345" s="0" t="n">
        <v>6.77</v>
      </c>
      <c r="J345" s="0" t="n">
        <v>22.4</v>
      </c>
      <c r="K345" s="0" t="n">
        <v>2</v>
      </c>
      <c r="T345" s="0" t="n">
        <v>1</v>
      </c>
      <c r="U345" s="0" t="n">
        <v>1</v>
      </c>
      <c r="V345" s="0" t="inlineStr">
        <is>
          <t>복도식</t>
        </is>
      </c>
      <c r="W345" s="0" t="n">
        <v>32</v>
      </c>
      <c r="X345" s="0" t="n">
        <v>9</v>
      </c>
      <c r="Y345" s="0" t="n">
        <v>9</v>
      </c>
      <c r="Z345" s="0" t="inlineStr">
        <is>
          <t>https://new.land.naver.com/complexes/117342?tab=detail&amp;rf=Y</t>
        </is>
      </c>
      <c r="AA345" s="0" t="inlineStr">
        <is>
          <t>충청북도 청주시 서원구 사창동 296-7</t>
        </is>
      </c>
      <c r="AB345" s="0" t="inlineStr">
        <is>
          <t>충청북도</t>
        </is>
      </c>
      <c r="AC345" s="0" t="inlineStr">
        <is>
          <t>청주시</t>
        </is>
      </c>
      <c r="AD345" s="0" t="inlineStr">
        <is>
          <t>서원구</t>
        </is>
      </c>
      <c r="AE345" s="0" t="inlineStr">
        <is>
          <t>사창동</t>
        </is>
      </c>
      <c r="AG345" s="0" t="inlineStr">
        <is>
          <t>충청북도 청주시 서원구 내수동로 149</t>
        </is>
      </c>
      <c r="AH345" s="0" t="n">
        <v>0</v>
      </c>
      <c r="AI345" s="0" t="n">
        <v>431</v>
      </c>
      <c r="AJ345" s="0" t="n">
        <v>66</v>
      </c>
      <c r="AK345" s="0" t="n">
        <v>12</v>
      </c>
      <c r="AL345" s="0" t="n">
        <v>0.43</v>
      </c>
    </row>
    <row r="346">
      <c r="A346" s="0" t="inlineStr">
        <is>
          <t>[사창동]</t>
        </is>
      </c>
      <c r="B346" s="0" t="n">
        <v>117342</v>
      </c>
      <c r="C346" s="0" t="n">
        <v>6</v>
      </c>
      <c r="D346" s="0" t="inlineStr">
        <is>
          <t>헤렌하우스</t>
        </is>
      </c>
      <c r="E346" s="0" t="inlineStr">
        <is>
          <t>2013.12.</t>
        </is>
      </c>
      <c r="F346" s="0" t="n">
        <v>28</v>
      </c>
      <c r="G346" s="0" t="n">
        <v>11.24</v>
      </c>
      <c r="H346" s="0" t="n">
        <v>37.17</v>
      </c>
      <c r="I346" s="0" t="n">
        <v>7.72</v>
      </c>
      <c r="J346" s="0" t="n">
        <v>25.55</v>
      </c>
      <c r="K346" s="0" t="n">
        <v>4</v>
      </c>
      <c r="T346" s="0" t="n">
        <v>1</v>
      </c>
      <c r="U346" s="0" t="n">
        <v>1</v>
      </c>
      <c r="V346" s="0" t="inlineStr">
        <is>
          <t>복도식</t>
        </is>
      </c>
      <c r="W346" s="0" t="n">
        <v>37</v>
      </c>
      <c r="X346" s="0" t="n">
        <v>9</v>
      </c>
      <c r="Y346" s="0" t="n">
        <v>9</v>
      </c>
      <c r="Z346" s="0" t="inlineStr">
        <is>
          <t>https://new.land.naver.com/complexes/117342?tab=detail&amp;rf=Y</t>
        </is>
      </c>
      <c r="AA346" s="0" t="inlineStr">
        <is>
          <t>충청북도 청주시 서원구 사창동 296-7</t>
        </is>
      </c>
      <c r="AB346" s="0" t="inlineStr">
        <is>
          <t>충청북도</t>
        </is>
      </c>
      <c r="AC346" s="0" t="inlineStr">
        <is>
          <t>청주시</t>
        </is>
      </c>
      <c r="AD346" s="0" t="inlineStr">
        <is>
          <t>서원구</t>
        </is>
      </c>
      <c r="AE346" s="0" t="inlineStr">
        <is>
          <t>사창동</t>
        </is>
      </c>
      <c r="AG346" s="0" t="inlineStr">
        <is>
          <t>충청북도 청주시 서원구 내수동로 149</t>
        </is>
      </c>
      <c r="AH346" s="0" t="n">
        <v>0</v>
      </c>
      <c r="AI346" s="0" t="n">
        <v>431</v>
      </c>
      <c r="AJ346" s="0" t="n">
        <v>66</v>
      </c>
      <c r="AK346" s="0" t="n">
        <v>12</v>
      </c>
      <c r="AL346" s="0" t="n">
        <v>0.43</v>
      </c>
    </row>
    <row r="347">
      <c r="A347" s="0" t="inlineStr">
        <is>
          <t>[사창동]</t>
        </is>
      </c>
      <c r="B347" s="0" t="n">
        <v>117342</v>
      </c>
      <c r="C347" s="0" t="n">
        <v>7</v>
      </c>
      <c r="D347" s="0" t="inlineStr">
        <is>
          <t>헤렌하우스</t>
        </is>
      </c>
      <c r="E347" s="0" t="inlineStr">
        <is>
          <t>2013.12.</t>
        </is>
      </c>
      <c r="F347" s="0" t="n">
        <v>28</v>
      </c>
      <c r="G347" s="0" t="n">
        <v>11.74</v>
      </c>
      <c r="H347" s="0" t="n">
        <v>38.82</v>
      </c>
      <c r="I347" s="0" t="n">
        <v>8.07</v>
      </c>
      <c r="J347" s="0" t="n">
        <v>26.68</v>
      </c>
      <c r="K347" s="0" t="n">
        <v>8</v>
      </c>
      <c r="T347" s="0" t="n">
        <v>1</v>
      </c>
      <c r="U347" s="0" t="n">
        <v>1</v>
      </c>
      <c r="V347" s="0" t="inlineStr">
        <is>
          <t>복도식</t>
        </is>
      </c>
      <c r="W347" s="0" t="n">
        <v>38</v>
      </c>
      <c r="X347" s="0" t="n">
        <v>9</v>
      </c>
      <c r="Y347" s="0" t="n">
        <v>9</v>
      </c>
      <c r="Z347" s="0" t="inlineStr">
        <is>
          <t>https://new.land.naver.com/complexes/117342?tab=detail&amp;rf=Y</t>
        </is>
      </c>
      <c r="AA347" s="0" t="inlineStr">
        <is>
          <t>충청북도 청주시 서원구 사창동 296-7</t>
        </is>
      </c>
      <c r="AB347" s="0" t="inlineStr">
        <is>
          <t>충청북도</t>
        </is>
      </c>
      <c r="AC347" s="0" t="inlineStr">
        <is>
          <t>청주시</t>
        </is>
      </c>
      <c r="AD347" s="0" t="inlineStr">
        <is>
          <t>서원구</t>
        </is>
      </c>
      <c r="AE347" s="0" t="inlineStr">
        <is>
          <t>사창동</t>
        </is>
      </c>
      <c r="AG347" s="0" t="inlineStr">
        <is>
          <t>충청북도 청주시 서원구 내수동로 149</t>
        </is>
      </c>
      <c r="AH347" s="0" t="n">
        <v>0</v>
      </c>
      <c r="AI347" s="0" t="n">
        <v>431</v>
      </c>
      <c r="AJ347" s="0" t="n">
        <v>66</v>
      </c>
      <c r="AK347" s="0" t="n">
        <v>12</v>
      </c>
      <c r="AL347" s="0" t="n">
        <v>0.43</v>
      </c>
    </row>
    <row r="348">
      <c r="A348" s="0" t="inlineStr">
        <is>
          <t>[사창동]</t>
        </is>
      </c>
      <c r="B348" s="0" t="n">
        <v>117342</v>
      </c>
      <c r="C348" s="0" t="n">
        <v>8</v>
      </c>
      <c r="D348" s="0" t="inlineStr">
        <is>
          <t>헤렌하우스</t>
        </is>
      </c>
      <c r="E348" s="0" t="inlineStr">
        <is>
          <t>2013.12.</t>
        </is>
      </c>
      <c r="F348" s="0" t="n">
        <v>28</v>
      </c>
      <c r="G348" s="0" t="n">
        <v>12.97</v>
      </c>
      <c r="H348" s="0" t="n">
        <v>42.89</v>
      </c>
      <c r="I348" s="0" t="n">
        <v>8.91</v>
      </c>
      <c r="J348" s="0" t="n">
        <v>29.48</v>
      </c>
      <c r="K348" s="0" t="n">
        <v>2</v>
      </c>
      <c r="T348" s="0" t="n">
        <v>1</v>
      </c>
      <c r="U348" s="0" t="n">
        <v>1</v>
      </c>
      <c r="V348" s="0" t="inlineStr">
        <is>
          <t>복도식</t>
        </is>
      </c>
      <c r="W348" s="0" t="inlineStr">
        <is>
          <t>42A</t>
        </is>
      </c>
      <c r="X348" s="0" t="n">
        <v>9</v>
      </c>
      <c r="Y348" s="0" t="n">
        <v>9</v>
      </c>
      <c r="Z348" s="0" t="inlineStr">
        <is>
          <t>https://new.land.naver.com/complexes/117342?tab=detail&amp;rf=Y</t>
        </is>
      </c>
      <c r="AA348" s="0" t="inlineStr">
        <is>
          <t>충청북도 청주시 서원구 사창동 296-7</t>
        </is>
      </c>
      <c r="AB348" s="0" t="inlineStr">
        <is>
          <t>충청북도</t>
        </is>
      </c>
      <c r="AC348" s="0" t="inlineStr">
        <is>
          <t>청주시</t>
        </is>
      </c>
      <c r="AD348" s="0" t="inlineStr">
        <is>
          <t>서원구</t>
        </is>
      </c>
      <c r="AE348" s="0" t="inlineStr">
        <is>
          <t>사창동</t>
        </is>
      </c>
      <c r="AG348" s="0" t="inlineStr">
        <is>
          <t>충청북도 청주시 서원구 내수동로 149</t>
        </is>
      </c>
      <c r="AH348" s="0" t="n">
        <v>0</v>
      </c>
      <c r="AI348" s="0" t="n">
        <v>431</v>
      </c>
      <c r="AJ348" s="0" t="n">
        <v>66</v>
      </c>
      <c r="AK348" s="0" t="n">
        <v>12</v>
      </c>
      <c r="AL348" s="0" t="n">
        <v>0.43</v>
      </c>
    </row>
    <row r="349">
      <c r="A349" s="0" t="inlineStr">
        <is>
          <t>[사창동]</t>
        </is>
      </c>
      <c r="B349" s="0" t="n">
        <v>117342</v>
      </c>
      <c r="C349" s="0" t="n">
        <v>9</v>
      </c>
      <c r="D349" s="0" t="inlineStr">
        <is>
          <t>헤렌하우스</t>
        </is>
      </c>
      <c r="E349" s="0" t="inlineStr">
        <is>
          <t>2013.12.</t>
        </is>
      </c>
      <c r="F349" s="0" t="n">
        <v>28</v>
      </c>
      <c r="G349" s="0" t="n">
        <v>13.09</v>
      </c>
      <c r="H349" s="0" t="n">
        <v>43.29</v>
      </c>
      <c r="I349" s="0" t="n">
        <v>8.99</v>
      </c>
      <c r="J349" s="0" t="n">
        <v>29.75</v>
      </c>
      <c r="K349" s="0" t="n">
        <v>2</v>
      </c>
      <c r="T349" s="0" t="n">
        <v>1</v>
      </c>
      <c r="U349" s="0" t="n">
        <v>1</v>
      </c>
      <c r="V349" s="0" t="inlineStr">
        <is>
          <t>복도식</t>
        </is>
      </c>
      <c r="W349" s="0" t="inlineStr">
        <is>
          <t>43B</t>
        </is>
      </c>
      <c r="X349" s="0" t="n">
        <v>9</v>
      </c>
      <c r="Y349" s="0" t="n">
        <v>9</v>
      </c>
      <c r="Z349" s="0" t="inlineStr">
        <is>
          <t>https://new.land.naver.com/complexes/117342?tab=detail&amp;rf=Y</t>
        </is>
      </c>
      <c r="AA349" s="0" t="inlineStr">
        <is>
          <t>충청북도 청주시 서원구 사창동 296-7</t>
        </is>
      </c>
      <c r="AB349" s="0" t="inlineStr">
        <is>
          <t>충청북도</t>
        </is>
      </c>
      <c r="AC349" s="0" t="inlineStr">
        <is>
          <t>청주시</t>
        </is>
      </c>
      <c r="AD349" s="0" t="inlineStr">
        <is>
          <t>서원구</t>
        </is>
      </c>
      <c r="AE349" s="0" t="inlineStr">
        <is>
          <t>사창동</t>
        </is>
      </c>
      <c r="AG349" s="0" t="inlineStr">
        <is>
          <t>충청북도 청주시 서원구 내수동로 149</t>
        </is>
      </c>
      <c r="AH349" s="0" t="n">
        <v>0</v>
      </c>
      <c r="AI349" s="0" t="n">
        <v>431</v>
      </c>
      <c r="AJ349" s="0" t="n">
        <v>66</v>
      </c>
      <c r="AK349" s="0" t="n">
        <v>12</v>
      </c>
      <c r="AL349" s="0" t="n">
        <v>0.43</v>
      </c>
    </row>
    <row r="350">
      <c r="A350" s="0" t="inlineStr">
        <is>
          <t>[사창동]</t>
        </is>
      </c>
      <c r="B350" s="0" t="n">
        <v>117342</v>
      </c>
      <c r="C350" s="0" t="n">
        <v>10</v>
      </c>
      <c r="D350" s="0" t="inlineStr">
        <is>
          <t>헤렌하우스</t>
        </is>
      </c>
      <c r="E350" s="0" t="inlineStr">
        <is>
          <t>2013.12.</t>
        </is>
      </c>
      <c r="F350" s="0" t="n">
        <v>28</v>
      </c>
      <c r="G350" s="0" t="n">
        <v>13.25</v>
      </c>
      <c r="H350" s="0" t="n">
        <v>43.82</v>
      </c>
      <c r="I350" s="0" t="n">
        <v>9.109999999999999</v>
      </c>
      <c r="J350" s="0" t="n">
        <v>30.12</v>
      </c>
      <c r="K350" s="0" t="n">
        <v>1</v>
      </c>
      <c r="T350" s="0" t="n">
        <v>1</v>
      </c>
      <c r="U350" s="0" t="n">
        <v>1</v>
      </c>
      <c r="V350" s="0" t="inlineStr">
        <is>
          <t>복도식</t>
        </is>
      </c>
      <c r="W350" s="0" t="inlineStr">
        <is>
          <t>43C</t>
        </is>
      </c>
      <c r="X350" s="0" t="n">
        <v>9</v>
      </c>
      <c r="Y350" s="0" t="n">
        <v>9</v>
      </c>
      <c r="Z350" s="0" t="inlineStr">
        <is>
          <t>https://new.land.naver.com/complexes/117342?tab=detail&amp;rf=Y</t>
        </is>
      </c>
      <c r="AA350" s="0" t="inlineStr">
        <is>
          <t>충청북도 청주시 서원구 사창동 296-7</t>
        </is>
      </c>
      <c r="AB350" s="0" t="inlineStr">
        <is>
          <t>충청북도</t>
        </is>
      </c>
      <c r="AC350" s="0" t="inlineStr">
        <is>
          <t>청주시</t>
        </is>
      </c>
      <c r="AD350" s="0" t="inlineStr">
        <is>
          <t>서원구</t>
        </is>
      </c>
      <c r="AE350" s="0" t="inlineStr">
        <is>
          <t>사창동</t>
        </is>
      </c>
      <c r="AG350" s="0" t="inlineStr">
        <is>
          <t>충청북도 청주시 서원구 내수동로 149</t>
        </is>
      </c>
      <c r="AH350" s="0" t="n">
        <v>0</v>
      </c>
      <c r="AI350" s="0" t="n">
        <v>431</v>
      </c>
      <c r="AJ350" s="0" t="n">
        <v>66</v>
      </c>
      <c r="AK350" s="0" t="n">
        <v>12</v>
      </c>
      <c r="AL350" s="0" t="n">
        <v>0.43</v>
      </c>
    </row>
    <row r="351">
      <c r="A351" s="0" t="inlineStr">
        <is>
          <t>[사창동]</t>
        </is>
      </c>
      <c r="B351" s="0" t="n">
        <v>117342</v>
      </c>
      <c r="C351" s="0" t="n">
        <v>11</v>
      </c>
      <c r="D351" s="0" t="inlineStr">
        <is>
          <t>헤렌하우스</t>
        </is>
      </c>
      <c r="E351" s="0" t="inlineStr">
        <is>
          <t>2013.12.</t>
        </is>
      </c>
      <c r="F351" s="0" t="n">
        <v>28</v>
      </c>
      <c r="G351" s="0" t="n">
        <v>16.27</v>
      </c>
      <c r="H351" s="0" t="n">
        <v>53.79</v>
      </c>
      <c r="I351" s="0" t="n">
        <v>11.18</v>
      </c>
      <c r="J351" s="0" t="n">
        <v>36.96</v>
      </c>
      <c r="K351" s="0" t="n">
        <v>1</v>
      </c>
      <c r="T351" s="0" t="n">
        <v>2</v>
      </c>
      <c r="U351" s="0" t="n">
        <v>1</v>
      </c>
      <c r="V351" s="0" t="inlineStr">
        <is>
          <t>복도식</t>
        </is>
      </c>
      <c r="W351" s="0" t="n">
        <v>53</v>
      </c>
      <c r="X351" s="0" t="n">
        <v>9</v>
      </c>
      <c r="Y351" s="0" t="n">
        <v>9</v>
      </c>
      <c r="Z351" s="0" t="inlineStr">
        <is>
          <t>https://new.land.naver.com/complexes/117342?tab=detail&amp;rf=Y</t>
        </is>
      </c>
      <c r="AA351" s="0" t="inlineStr">
        <is>
          <t>충청북도 청주시 서원구 사창동 296-7</t>
        </is>
      </c>
      <c r="AB351" s="0" t="inlineStr">
        <is>
          <t>충청북도</t>
        </is>
      </c>
      <c r="AC351" s="0" t="inlineStr">
        <is>
          <t>청주시</t>
        </is>
      </c>
      <c r="AD351" s="0" t="inlineStr">
        <is>
          <t>서원구</t>
        </is>
      </c>
      <c r="AE351" s="0" t="inlineStr">
        <is>
          <t>사창동</t>
        </is>
      </c>
      <c r="AG351" s="0" t="inlineStr">
        <is>
          <t>충청북도 청주시 서원구 내수동로 149</t>
        </is>
      </c>
      <c r="AH351" s="0" t="n">
        <v>0</v>
      </c>
      <c r="AI351" s="0" t="n">
        <v>431</v>
      </c>
      <c r="AJ351" s="0" t="n">
        <v>66</v>
      </c>
      <c r="AK351" s="0" t="n">
        <v>12</v>
      </c>
      <c r="AL351" s="0" t="n">
        <v>0.43</v>
      </c>
    </row>
    <row r="352">
      <c r="A352" s="0" t="inlineStr">
        <is>
          <t>[사창동]</t>
        </is>
      </c>
      <c r="B352" s="0" t="n">
        <v>106568</v>
      </c>
      <c r="C352" s="0" t="n">
        <v>1</v>
      </c>
      <c r="D352" s="0" t="inlineStr">
        <is>
          <t>서울</t>
        </is>
      </c>
      <c r="E352" s="0" t="inlineStr">
        <is>
          <t>1978.11.</t>
        </is>
      </c>
      <c r="F352" s="0" t="n">
        <v>100</v>
      </c>
      <c r="G352" s="0" t="n">
        <v>20.05</v>
      </c>
      <c r="H352" s="0" t="n">
        <v>66.29000000000001</v>
      </c>
      <c r="I352" s="0" t="n">
        <v>16.15</v>
      </c>
      <c r="J352" s="0" t="n">
        <v>53.42</v>
      </c>
      <c r="K352" s="0" t="n">
        <v>20</v>
      </c>
      <c r="T352" s="0" t="n">
        <v>2</v>
      </c>
      <c r="U352" s="0" t="n">
        <v>1</v>
      </c>
      <c r="V352" s="0" t="inlineStr">
        <is>
          <t>복도식</t>
        </is>
      </c>
      <c r="W352" s="0" t="inlineStr">
        <is>
          <t>66B</t>
        </is>
      </c>
      <c r="X352" s="0" t="n">
        <v>5</v>
      </c>
      <c r="Y352" s="0" t="n">
        <v>5</v>
      </c>
      <c r="Z352" s="0" t="inlineStr">
        <is>
          <t>https://new.land.naver.com/complexes/106568?tab=detail&amp;rf=Y</t>
        </is>
      </c>
      <c r="AA352" s="0" t="inlineStr">
        <is>
          <t>충청북도 청주시 서원구 사창동 372-3</t>
        </is>
      </c>
      <c r="AB352" s="0" t="inlineStr">
        <is>
          <t>충청북도</t>
        </is>
      </c>
      <c r="AC352" s="0" t="inlineStr">
        <is>
          <t>청주시</t>
        </is>
      </c>
      <c r="AD352" s="0" t="inlineStr">
        <is>
          <t>서원구</t>
        </is>
      </c>
      <c r="AE352" s="0" t="inlineStr">
        <is>
          <t>사창동</t>
        </is>
      </c>
      <c r="AG352" s="0" t="inlineStr">
        <is>
          <t>충청북도 청주시 서원구 창직로 1</t>
        </is>
      </c>
      <c r="AH352" s="0" t="n">
        <v>0</v>
      </c>
      <c r="AI352" s="0" t="n">
        <v>0</v>
      </c>
      <c r="AJ352" s="0" t="n">
        <v>0</v>
      </c>
      <c r="AK352" s="0" t="n">
        <v>0</v>
      </c>
      <c r="AL352" s="0" t="n">
        <v>0</v>
      </c>
    </row>
    <row r="353">
      <c r="A353" s="0" t="inlineStr">
        <is>
          <t>[사창동]</t>
        </is>
      </c>
      <c r="B353" s="0" t="n">
        <v>106568</v>
      </c>
      <c r="C353" s="0" t="n">
        <v>2</v>
      </c>
      <c r="D353" s="0" t="inlineStr">
        <is>
          <t>서울</t>
        </is>
      </c>
      <c r="E353" s="0" t="inlineStr">
        <is>
          <t>1978.11.</t>
        </is>
      </c>
      <c r="F353" s="0" t="n">
        <v>100</v>
      </c>
      <c r="G353" s="0" t="n">
        <v>20.04</v>
      </c>
      <c r="H353" s="0" t="n">
        <v>66.28</v>
      </c>
      <c r="I353" s="0" t="n">
        <v>15.96</v>
      </c>
      <c r="J353" s="0" t="n">
        <v>52.79</v>
      </c>
      <c r="K353" s="0" t="n">
        <v>10</v>
      </c>
      <c r="T353" s="0" t="n">
        <v>2</v>
      </c>
      <c r="U353" s="0" t="n">
        <v>1</v>
      </c>
      <c r="V353" s="0" t="inlineStr">
        <is>
          <t>복도식</t>
        </is>
      </c>
      <c r="W353" s="0" t="inlineStr">
        <is>
          <t>66A</t>
        </is>
      </c>
      <c r="X353" s="0" t="n">
        <v>5</v>
      </c>
      <c r="Y353" s="0" t="n">
        <v>5</v>
      </c>
      <c r="Z353" s="0" t="inlineStr">
        <is>
          <t>https://new.land.naver.com/complexes/106568?tab=detail&amp;rf=Y</t>
        </is>
      </c>
      <c r="AA353" s="0" t="inlineStr">
        <is>
          <t>충청북도 청주시 서원구 사창동 372-3</t>
        </is>
      </c>
      <c r="AB353" s="0" t="inlineStr">
        <is>
          <t>충청북도</t>
        </is>
      </c>
      <c r="AC353" s="0" t="inlineStr">
        <is>
          <t>청주시</t>
        </is>
      </c>
      <c r="AD353" s="0" t="inlineStr">
        <is>
          <t>서원구</t>
        </is>
      </c>
      <c r="AE353" s="0" t="inlineStr">
        <is>
          <t>사창동</t>
        </is>
      </c>
      <c r="AG353" s="0" t="inlineStr">
        <is>
          <t>충청북도 청주시 서원구 창직로 1</t>
        </is>
      </c>
      <c r="AH353" s="0" t="n">
        <v>0</v>
      </c>
      <c r="AI353" s="0" t="n">
        <v>0</v>
      </c>
      <c r="AJ353" s="0" t="n">
        <v>0</v>
      </c>
      <c r="AK353" s="0" t="n">
        <v>0</v>
      </c>
      <c r="AL353" s="0" t="n">
        <v>0</v>
      </c>
    </row>
    <row r="354">
      <c r="A354" s="0" t="inlineStr">
        <is>
          <t>[사창동]</t>
        </is>
      </c>
      <c r="B354" s="0" t="n">
        <v>106568</v>
      </c>
      <c r="C354" s="0" t="n">
        <v>3</v>
      </c>
      <c r="D354" s="0" t="inlineStr">
        <is>
          <t>서울</t>
        </is>
      </c>
      <c r="E354" s="0" t="inlineStr">
        <is>
          <t>1978.11.</t>
        </is>
      </c>
      <c r="F354" s="0" t="n">
        <v>100</v>
      </c>
      <c r="G354" s="0" t="n">
        <v>21.75</v>
      </c>
      <c r="H354" s="0" t="n">
        <v>71.91</v>
      </c>
      <c r="I354" s="0" t="n">
        <v>17.29</v>
      </c>
      <c r="J354" s="0" t="n">
        <v>57.19</v>
      </c>
      <c r="K354" s="0" t="n">
        <v>10</v>
      </c>
      <c r="T354" s="0" t="n">
        <v>2</v>
      </c>
      <c r="U354" s="0" t="n">
        <v>1</v>
      </c>
      <c r="V354" s="0" t="inlineStr">
        <is>
          <t>복도식</t>
        </is>
      </c>
      <c r="W354" s="0" t="n">
        <v>71</v>
      </c>
      <c r="X354" s="0" t="n">
        <v>5</v>
      </c>
      <c r="Y354" s="0" t="n">
        <v>5</v>
      </c>
      <c r="Z354" s="0" t="inlineStr">
        <is>
          <t>https://new.land.naver.com/complexes/106568?tab=detail&amp;rf=Y</t>
        </is>
      </c>
      <c r="AA354" s="0" t="inlineStr">
        <is>
          <t>충청북도 청주시 서원구 사창동 372-3</t>
        </is>
      </c>
      <c r="AB354" s="0" t="inlineStr">
        <is>
          <t>충청북도</t>
        </is>
      </c>
      <c r="AC354" s="0" t="inlineStr">
        <is>
          <t>청주시</t>
        </is>
      </c>
      <c r="AD354" s="0" t="inlineStr">
        <is>
          <t>서원구</t>
        </is>
      </c>
      <c r="AE354" s="0" t="inlineStr">
        <is>
          <t>사창동</t>
        </is>
      </c>
      <c r="AG354" s="0" t="inlineStr">
        <is>
          <t>충청북도 청주시 서원구 창직로 1</t>
        </is>
      </c>
      <c r="AH354" s="0" t="n">
        <v>0</v>
      </c>
      <c r="AI354" s="0" t="n">
        <v>0</v>
      </c>
      <c r="AJ354" s="0" t="n">
        <v>0</v>
      </c>
      <c r="AK354" s="0" t="n">
        <v>0</v>
      </c>
      <c r="AL354" s="0" t="n">
        <v>0</v>
      </c>
    </row>
    <row r="355">
      <c r="A355" s="0" t="inlineStr">
        <is>
          <t>[사창동]</t>
        </is>
      </c>
      <c r="B355" s="0" t="n">
        <v>106568</v>
      </c>
      <c r="C355" s="0" t="n">
        <v>4</v>
      </c>
      <c r="D355" s="0" t="inlineStr">
        <is>
          <t>서울</t>
        </is>
      </c>
      <c r="E355" s="0" t="inlineStr">
        <is>
          <t>1978.11.</t>
        </is>
      </c>
      <c r="F355" s="0" t="n">
        <v>100</v>
      </c>
      <c r="G355" s="0" t="n">
        <v>23.05</v>
      </c>
      <c r="H355" s="0" t="n">
        <v>76.2</v>
      </c>
      <c r="I355" s="0" t="n">
        <v>17.56</v>
      </c>
      <c r="J355" s="0" t="n">
        <v>58.08</v>
      </c>
      <c r="K355" s="0" t="n">
        <v>5</v>
      </c>
      <c r="T355" s="0" t="n">
        <v>3</v>
      </c>
      <c r="U355" s="0" t="n">
        <v>2</v>
      </c>
      <c r="V355" s="0" t="inlineStr">
        <is>
          <t>복도식</t>
        </is>
      </c>
      <c r="W355" s="0" t="n">
        <v>76</v>
      </c>
      <c r="X355" s="0" t="n">
        <v>5</v>
      </c>
      <c r="Y355" s="0" t="n">
        <v>5</v>
      </c>
      <c r="Z355" s="0" t="inlineStr">
        <is>
          <t>https://new.land.naver.com/complexes/106568?tab=detail&amp;rf=Y</t>
        </is>
      </c>
      <c r="AA355" s="0" t="inlineStr">
        <is>
          <t>충청북도 청주시 서원구 사창동 372-3</t>
        </is>
      </c>
      <c r="AB355" s="0" t="inlineStr">
        <is>
          <t>충청북도</t>
        </is>
      </c>
      <c r="AC355" s="0" t="inlineStr">
        <is>
          <t>청주시</t>
        </is>
      </c>
      <c r="AD355" s="0" t="inlineStr">
        <is>
          <t>서원구</t>
        </is>
      </c>
      <c r="AE355" s="0" t="inlineStr">
        <is>
          <t>사창동</t>
        </is>
      </c>
      <c r="AG355" s="0" t="inlineStr">
        <is>
          <t>충청북도 청주시 서원구 창직로 1</t>
        </is>
      </c>
      <c r="AH355" s="0" t="n">
        <v>0</v>
      </c>
      <c r="AI355" s="0" t="n">
        <v>0</v>
      </c>
      <c r="AJ355" s="0" t="n">
        <v>0</v>
      </c>
      <c r="AK355" s="0" t="n">
        <v>0</v>
      </c>
      <c r="AL355" s="0" t="n">
        <v>0</v>
      </c>
    </row>
    <row r="356">
      <c r="A356" s="0" t="inlineStr">
        <is>
          <t>[사창동]</t>
        </is>
      </c>
      <c r="B356" s="0" t="n">
        <v>106568</v>
      </c>
      <c r="C356" s="0" t="n">
        <v>5</v>
      </c>
      <c r="D356" s="0" t="inlineStr">
        <is>
          <t>서울</t>
        </is>
      </c>
      <c r="E356" s="0" t="inlineStr">
        <is>
          <t>1978.11.</t>
        </is>
      </c>
      <c r="F356" s="0" t="n">
        <v>100</v>
      </c>
      <c r="G356" s="0" t="n">
        <v>24.05</v>
      </c>
      <c r="H356" s="0" t="n">
        <v>79.51000000000001</v>
      </c>
      <c r="I356" s="0" t="n">
        <v>19.58</v>
      </c>
      <c r="J356" s="0" t="n">
        <v>64.73</v>
      </c>
      <c r="K356" s="0" t="n">
        <v>10</v>
      </c>
      <c r="T356" s="0" t="n">
        <v>3</v>
      </c>
      <c r="U356" s="0" t="n">
        <v>2</v>
      </c>
      <c r="V356" s="0" t="inlineStr">
        <is>
          <t>복도식</t>
        </is>
      </c>
      <c r="W356" s="0" t="inlineStr">
        <is>
          <t>79C</t>
        </is>
      </c>
      <c r="X356" s="0" t="n">
        <v>5</v>
      </c>
      <c r="Y356" s="0" t="n">
        <v>5</v>
      </c>
      <c r="Z356" s="0" t="inlineStr">
        <is>
          <t>https://new.land.naver.com/complexes/106568?tab=detail&amp;rf=Y</t>
        </is>
      </c>
      <c r="AA356" s="0" t="inlineStr">
        <is>
          <t>충청북도 청주시 서원구 사창동 372-3</t>
        </is>
      </c>
      <c r="AB356" s="0" t="inlineStr">
        <is>
          <t>충청북도</t>
        </is>
      </c>
      <c r="AC356" s="0" t="inlineStr">
        <is>
          <t>청주시</t>
        </is>
      </c>
      <c r="AD356" s="0" t="inlineStr">
        <is>
          <t>서원구</t>
        </is>
      </c>
      <c r="AE356" s="0" t="inlineStr">
        <is>
          <t>사창동</t>
        </is>
      </c>
      <c r="AG356" s="0" t="inlineStr">
        <is>
          <t>충청북도 청주시 서원구 창직로 1</t>
        </is>
      </c>
      <c r="AH356" s="0" t="n">
        <v>0</v>
      </c>
      <c r="AI356" s="0" t="n">
        <v>0</v>
      </c>
      <c r="AJ356" s="0" t="n">
        <v>0</v>
      </c>
      <c r="AK356" s="0" t="n">
        <v>0</v>
      </c>
      <c r="AL356" s="0" t="n">
        <v>0</v>
      </c>
    </row>
    <row r="357">
      <c r="A357" s="0" t="inlineStr">
        <is>
          <t>[사창동]</t>
        </is>
      </c>
      <c r="B357" s="0" t="n">
        <v>106568</v>
      </c>
      <c r="C357" s="0" t="n">
        <v>6</v>
      </c>
      <c r="D357" s="0" t="inlineStr">
        <is>
          <t>서울</t>
        </is>
      </c>
      <c r="E357" s="0" t="inlineStr">
        <is>
          <t>1978.11.</t>
        </is>
      </c>
      <c r="F357" s="0" t="n">
        <v>100</v>
      </c>
      <c r="G357" s="0" t="n">
        <v>24.04</v>
      </c>
      <c r="H357" s="0" t="n">
        <v>79.5</v>
      </c>
      <c r="I357" s="0" t="n">
        <v>17.43</v>
      </c>
      <c r="J357" s="0" t="n">
        <v>57.62</v>
      </c>
      <c r="K357" s="0" t="n">
        <v>4</v>
      </c>
      <c r="T357" s="0" t="n">
        <v>3</v>
      </c>
      <c r="U357" s="0" t="n">
        <v>2</v>
      </c>
      <c r="V357" s="0" t="inlineStr">
        <is>
          <t>복도식</t>
        </is>
      </c>
      <c r="W357" s="0" t="inlineStr">
        <is>
          <t>79A</t>
        </is>
      </c>
      <c r="X357" s="0" t="n">
        <v>5</v>
      </c>
      <c r="Y357" s="0" t="n">
        <v>5</v>
      </c>
      <c r="Z357" s="0" t="inlineStr">
        <is>
          <t>https://new.land.naver.com/complexes/106568?tab=detail&amp;rf=Y</t>
        </is>
      </c>
      <c r="AA357" s="0" t="inlineStr">
        <is>
          <t>충청북도 청주시 서원구 사창동 372-3</t>
        </is>
      </c>
      <c r="AB357" s="0" t="inlineStr">
        <is>
          <t>충청북도</t>
        </is>
      </c>
      <c r="AC357" s="0" t="inlineStr">
        <is>
          <t>청주시</t>
        </is>
      </c>
      <c r="AD357" s="0" t="inlineStr">
        <is>
          <t>서원구</t>
        </is>
      </c>
      <c r="AE357" s="0" t="inlineStr">
        <is>
          <t>사창동</t>
        </is>
      </c>
      <c r="AG357" s="0" t="inlineStr">
        <is>
          <t>충청북도 청주시 서원구 창직로 1</t>
        </is>
      </c>
      <c r="AH357" s="0" t="n">
        <v>0</v>
      </c>
      <c r="AI357" s="0" t="n">
        <v>0</v>
      </c>
      <c r="AJ357" s="0" t="n">
        <v>0</v>
      </c>
      <c r="AK357" s="0" t="n">
        <v>0</v>
      </c>
      <c r="AL357" s="0" t="n">
        <v>0</v>
      </c>
    </row>
    <row r="358">
      <c r="A358" s="0" t="inlineStr">
        <is>
          <t>[사창동]</t>
        </is>
      </c>
      <c r="B358" s="0" t="n">
        <v>106568</v>
      </c>
      <c r="C358" s="0" t="n">
        <v>7</v>
      </c>
      <c r="D358" s="0" t="inlineStr">
        <is>
          <t>서울</t>
        </is>
      </c>
      <c r="E358" s="0" t="inlineStr">
        <is>
          <t>1978.11.</t>
        </is>
      </c>
      <c r="F358" s="0" t="n">
        <v>100</v>
      </c>
      <c r="G358" s="0" t="n">
        <v>24.05</v>
      </c>
      <c r="H358" s="0" t="n">
        <v>79.51000000000001</v>
      </c>
      <c r="I358" s="0" t="n">
        <v>17.45</v>
      </c>
      <c r="J358" s="0" t="n">
        <v>57.69</v>
      </c>
      <c r="K358" s="0" t="n">
        <v>2</v>
      </c>
      <c r="T358" s="0" t="n">
        <v>3</v>
      </c>
      <c r="U358" s="0" t="n">
        <v>2</v>
      </c>
      <c r="V358" s="0" t="inlineStr">
        <is>
          <t>복도식</t>
        </is>
      </c>
      <c r="W358" s="0" t="inlineStr">
        <is>
          <t>79B</t>
        </is>
      </c>
      <c r="X358" s="0" t="n">
        <v>5</v>
      </c>
      <c r="Y358" s="0" t="n">
        <v>5</v>
      </c>
      <c r="Z358" s="0" t="inlineStr">
        <is>
          <t>https://new.land.naver.com/complexes/106568?tab=detail&amp;rf=Y</t>
        </is>
      </c>
      <c r="AA358" s="0" t="inlineStr">
        <is>
          <t>충청북도 청주시 서원구 사창동 372-3</t>
        </is>
      </c>
      <c r="AB358" s="0" t="inlineStr">
        <is>
          <t>충청북도</t>
        </is>
      </c>
      <c r="AC358" s="0" t="inlineStr">
        <is>
          <t>청주시</t>
        </is>
      </c>
      <c r="AD358" s="0" t="inlineStr">
        <is>
          <t>서원구</t>
        </is>
      </c>
      <c r="AE358" s="0" t="inlineStr">
        <is>
          <t>사창동</t>
        </is>
      </c>
      <c r="AG358" s="0" t="inlineStr">
        <is>
          <t>충청북도 청주시 서원구 창직로 1</t>
        </is>
      </c>
      <c r="AH358" s="0" t="n">
        <v>0</v>
      </c>
      <c r="AI358" s="0" t="n">
        <v>0</v>
      </c>
      <c r="AJ358" s="0" t="n">
        <v>0</v>
      </c>
      <c r="AK358" s="0" t="n">
        <v>0</v>
      </c>
      <c r="AL358" s="0" t="n">
        <v>0</v>
      </c>
    </row>
    <row r="359">
      <c r="A359" s="0" t="inlineStr">
        <is>
          <t>[사창동]</t>
        </is>
      </c>
      <c r="B359" s="0" t="n">
        <v>106568</v>
      </c>
      <c r="C359" s="0" t="n">
        <v>8</v>
      </c>
      <c r="D359" s="0" t="inlineStr">
        <is>
          <t>서울</t>
        </is>
      </c>
      <c r="E359" s="0" t="inlineStr">
        <is>
          <t>1978.11.</t>
        </is>
      </c>
      <c r="F359" s="0" t="n">
        <v>100</v>
      </c>
      <c r="G359" s="0" t="n">
        <v>24.59</v>
      </c>
      <c r="H359" s="0" t="n">
        <v>81.29000000000001</v>
      </c>
      <c r="I359" s="0" t="n">
        <v>20.72</v>
      </c>
      <c r="J359" s="0" t="n">
        <v>68.5</v>
      </c>
      <c r="K359" s="0" t="n">
        <v>10</v>
      </c>
      <c r="T359" s="0" t="n">
        <v>3</v>
      </c>
      <c r="U359" s="0" t="n">
        <v>2</v>
      </c>
      <c r="V359" s="0" t="inlineStr">
        <is>
          <t>복도식</t>
        </is>
      </c>
      <c r="W359" s="0" t="n">
        <v>81</v>
      </c>
      <c r="X359" s="0" t="n">
        <v>5</v>
      </c>
      <c r="Y359" s="0" t="n">
        <v>5</v>
      </c>
      <c r="Z359" s="0" t="inlineStr">
        <is>
          <t>https://new.land.naver.com/complexes/106568?tab=detail&amp;rf=Y</t>
        </is>
      </c>
      <c r="AA359" s="0" t="inlineStr">
        <is>
          <t>충청북도 청주시 서원구 사창동 372-3</t>
        </is>
      </c>
      <c r="AB359" s="0" t="inlineStr">
        <is>
          <t>충청북도</t>
        </is>
      </c>
      <c r="AC359" s="0" t="inlineStr">
        <is>
          <t>청주시</t>
        </is>
      </c>
      <c r="AD359" s="0" t="inlineStr">
        <is>
          <t>서원구</t>
        </is>
      </c>
      <c r="AE359" s="0" t="inlineStr">
        <is>
          <t>사창동</t>
        </is>
      </c>
      <c r="AG359" s="0" t="inlineStr">
        <is>
          <t>충청북도 청주시 서원구 창직로 1</t>
        </is>
      </c>
      <c r="AH359" s="0" t="n">
        <v>0</v>
      </c>
      <c r="AI359" s="0" t="n">
        <v>0</v>
      </c>
      <c r="AJ359" s="0" t="n">
        <v>0</v>
      </c>
      <c r="AK359" s="0" t="n">
        <v>0</v>
      </c>
      <c r="AL359" s="0" t="n">
        <v>0</v>
      </c>
    </row>
    <row r="360">
      <c r="A360" s="0" t="inlineStr">
        <is>
          <t>[사창동]</t>
        </is>
      </c>
      <c r="B360" s="0" t="n">
        <v>106568</v>
      </c>
      <c r="C360" s="0" t="n">
        <v>9</v>
      </c>
      <c r="D360" s="0" t="inlineStr">
        <is>
          <t>서울</t>
        </is>
      </c>
      <c r="E360" s="0" t="inlineStr">
        <is>
          <t>1978.11.</t>
        </is>
      </c>
      <c r="F360" s="0" t="n">
        <v>100</v>
      </c>
      <c r="G360" s="0" t="n">
        <v>28.04</v>
      </c>
      <c r="H360" s="0" t="n">
        <v>92.72</v>
      </c>
      <c r="I360" s="0" t="n">
        <v>22.8</v>
      </c>
      <c r="J360" s="0" t="n">
        <v>75.40000000000001</v>
      </c>
      <c r="K360" s="0" t="n">
        <v>5</v>
      </c>
      <c r="T360" s="0" t="n">
        <v>3</v>
      </c>
      <c r="U360" s="0" t="n">
        <v>2</v>
      </c>
      <c r="V360" s="0" t="inlineStr">
        <is>
          <t>복도식</t>
        </is>
      </c>
      <c r="W360" s="0" t="n">
        <v>92</v>
      </c>
      <c r="X360" s="0" t="n">
        <v>5</v>
      </c>
      <c r="Y360" s="0" t="n">
        <v>5</v>
      </c>
      <c r="Z360" s="0" t="inlineStr">
        <is>
          <t>https://new.land.naver.com/complexes/106568?tab=detail&amp;rf=Y</t>
        </is>
      </c>
      <c r="AA360" s="0" t="inlineStr">
        <is>
          <t>충청북도 청주시 서원구 사창동 372-3</t>
        </is>
      </c>
      <c r="AB360" s="0" t="inlineStr">
        <is>
          <t>충청북도</t>
        </is>
      </c>
      <c r="AC360" s="0" t="inlineStr">
        <is>
          <t>청주시</t>
        </is>
      </c>
      <c r="AD360" s="0" t="inlineStr">
        <is>
          <t>서원구</t>
        </is>
      </c>
      <c r="AE360" s="0" t="inlineStr">
        <is>
          <t>사창동</t>
        </is>
      </c>
      <c r="AG360" s="0" t="inlineStr">
        <is>
          <t>충청북도 청주시 서원구 창직로 1</t>
        </is>
      </c>
      <c r="AH360" s="0" t="n">
        <v>0</v>
      </c>
      <c r="AI360" s="0" t="n">
        <v>0</v>
      </c>
      <c r="AJ360" s="0" t="n">
        <v>0</v>
      </c>
      <c r="AK360" s="0" t="n">
        <v>0</v>
      </c>
      <c r="AL360" s="0" t="n">
        <v>0</v>
      </c>
    </row>
    <row r="361">
      <c r="A361" s="0" t="inlineStr">
        <is>
          <t>[사창동]</t>
        </is>
      </c>
      <c r="B361" s="0" t="n">
        <v>106568</v>
      </c>
      <c r="C361" s="0" t="n">
        <v>10</v>
      </c>
      <c r="D361" s="0" t="inlineStr">
        <is>
          <t>서울</t>
        </is>
      </c>
      <c r="E361" s="0" t="inlineStr">
        <is>
          <t>1978.11.</t>
        </is>
      </c>
      <c r="F361" s="0" t="n">
        <v>100</v>
      </c>
      <c r="G361" s="0" t="n">
        <v>31.54</v>
      </c>
      <c r="H361" s="0" t="n">
        <v>104.29</v>
      </c>
      <c r="I361" s="0" t="n">
        <v>25.48</v>
      </c>
      <c r="J361" s="0" t="n">
        <v>84.26000000000001</v>
      </c>
      <c r="K361" s="0" t="n">
        <v>24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104</v>
      </c>
      <c r="X361" s="0" t="n">
        <v>5</v>
      </c>
      <c r="Y361" s="0" t="n">
        <v>5</v>
      </c>
      <c r="Z361" s="0" t="inlineStr">
        <is>
          <t>https://new.land.naver.com/complexes/106568?tab=detail&amp;rf=Y</t>
        </is>
      </c>
      <c r="AA361" s="0" t="inlineStr">
        <is>
          <t>충청북도 청주시 서원구 사창동 372-3</t>
        </is>
      </c>
      <c r="AB361" s="0" t="inlineStr">
        <is>
          <t>충청북도</t>
        </is>
      </c>
      <c r="AC361" s="0" t="inlineStr">
        <is>
          <t>청주시</t>
        </is>
      </c>
      <c r="AD361" s="0" t="inlineStr">
        <is>
          <t>서원구</t>
        </is>
      </c>
      <c r="AE361" s="0" t="inlineStr">
        <is>
          <t>사창동</t>
        </is>
      </c>
      <c r="AG361" s="0" t="inlineStr">
        <is>
          <t>충청북도 청주시 서원구 창직로 1</t>
        </is>
      </c>
      <c r="AH361" s="0" t="n">
        <v>0</v>
      </c>
      <c r="AI361" s="0" t="n">
        <v>0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[사창동]</t>
        </is>
      </c>
      <c r="B362" s="0" t="n">
        <v>106463</v>
      </c>
      <c r="C362" s="0" t="n">
        <v>1</v>
      </c>
      <c r="D362" s="0" t="inlineStr">
        <is>
          <t>두진하트리움에덴(도시형)</t>
        </is>
      </c>
      <c r="E362" s="0" t="inlineStr">
        <is>
          <t>2014.11.</t>
        </is>
      </c>
      <c r="F362" s="0" t="n">
        <v>297</v>
      </c>
      <c r="G362" s="0" t="n">
        <v>10.65</v>
      </c>
      <c r="H362" s="0" t="n">
        <v>35.22</v>
      </c>
      <c r="I362" s="0" t="n">
        <v>7.34</v>
      </c>
      <c r="J362" s="0" t="n">
        <v>24.27</v>
      </c>
      <c r="K362" s="0" t="n">
        <v>5</v>
      </c>
      <c r="T362" s="0" t="n">
        <v>1</v>
      </c>
      <c r="U362" s="0" t="n">
        <v>1</v>
      </c>
      <c r="V362" s="0" t="inlineStr">
        <is>
          <t>복도식</t>
        </is>
      </c>
      <c r="W362" s="0" t="inlineStr">
        <is>
          <t>35P</t>
        </is>
      </c>
      <c r="X362" s="0" t="n">
        <v>20</v>
      </c>
      <c r="Y362" s="0" t="n">
        <v>19</v>
      </c>
      <c r="Z362" s="0" t="inlineStr">
        <is>
          <t>https://new.land.naver.com/complexes/106463?tab=detail&amp;rf=Y</t>
        </is>
      </c>
      <c r="AA362" s="0" t="inlineStr">
        <is>
          <t>충청북도 청주시 서원구 사창동 304-1</t>
        </is>
      </c>
      <c r="AB362" s="0" t="inlineStr">
        <is>
          <t>충청북도</t>
        </is>
      </c>
      <c r="AC362" s="0" t="inlineStr">
        <is>
          <t>청주시</t>
        </is>
      </c>
      <c r="AD362" s="0" t="inlineStr">
        <is>
          <t>서원구</t>
        </is>
      </c>
      <c r="AE362" s="0" t="inlineStr">
        <is>
          <t>사창동</t>
        </is>
      </c>
      <c r="AG362" s="0" t="inlineStr">
        <is>
          <t>충청북도 청주시 서원구 사직대로 160</t>
        </is>
      </c>
      <c r="AH362" s="0" t="n">
        <v>0</v>
      </c>
      <c r="AI362" s="0" t="n">
        <v>793</v>
      </c>
      <c r="AJ362" s="0" t="n">
        <v>73</v>
      </c>
      <c r="AK362" s="0" t="n">
        <v>194</v>
      </c>
      <c r="AL362" s="0" t="n">
        <v>0.65</v>
      </c>
    </row>
    <row r="363">
      <c r="A363" s="0" t="inlineStr">
        <is>
          <t>[사창동]</t>
        </is>
      </c>
      <c r="B363" s="0" t="n">
        <v>106463</v>
      </c>
      <c r="C363" s="0" t="n">
        <v>2</v>
      </c>
      <c r="D363" s="0" t="inlineStr">
        <is>
          <t>두진하트리움에덴(도시형)</t>
        </is>
      </c>
      <c r="E363" s="0" t="inlineStr">
        <is>
          <t>2014.11.</t>
        </is>
      </c>
      <c r="F363" s="0" t="n">
        <v>297</v>
      </c>
      <c r="G363" s="0" t="n">
        <v>11.59</v>
      </c>
      <c r="H363" s="0" t="n">
        <v>38.34</v>
      </c>
      <c r="I363" s="0" t="n">
        <v>7.99</v>
      </c>
      <c r="J363" s="0" t="n">
        <v>26.42</v>
      </c>
      <c r="K363" s="0" t="n">
        <v>1</v>
      </c>
      <c r="T363" s="0" t="n">
        <v>1</v>
      </c>
      <c r="U363" s="0" t="n">
        <v>1</v>
      </c>
      <c r="V363" s="0" t="inlineStr">
        <is>
          <t>복도식</t>
        </is>
      </c>
      <c r="W363" s="0" t="inlineStr">
        <is>
          <t>38Q</t>
        </is>
      </c>
      <c r="X363" s="0" t="n">
        <v>20</v>
      </c>
      <c r="Y363" s="0" t="n">
        <v>19</v>
      </c>
      <c r="Z363" s="0" t="inlineStr">
        <is>
          <t>https://new.land.naver.com/complexes/106463?tab=detail&amp;rf=Y</t>
        </is>
      </c>
      <c r="AA363" s="0" t="inlineStr">
        <is>
          <t>충청북도 청주시 서원구 사창동 304-1</t>
        </is>
      </c>
      <c r="AB363" s="0" t="inlineStr">
        <is>
          <t>충청북도</t>
        </is>
      </c>
      <c r="AC363" s="0" t="inlineStr">
        <is>
          <t>청주시</t>
        </is>
      </c>
      <c r="AD363" s="0" t="inlineStr">
        <is>
          <t>서원구</t>
        </is>
      </c>
      <c r="AE363" s="0" t="inlineStr">
        <is>
          <t>사창동</t>
        </is>
      </c>
      <c r="AG363" s="0" t="inlineStr">
        <is>
          <t>충청북도 청주시 서원구 사직대로 160</t>
        </is>
      </c>
      <c r="AH363" s="0" t="n">
        <v>0</v>
      </c>
      <c r="AI363" s="0" t="n">
        <v>793</v>
      </c>
      <c r="AJ363" s="0" t="n">
        <v>73</v>
      </c>
      <c r="AK363" s="0" t="n">
        <v>194</v>
      </c>
      <c r="AL363" s="0" t="n">
        <v>0.65</v>
      </c>
    </row>
    <row r="364">
      <c r="A364" s="0" t="inlineStr">
        <is>
          <t>[사창동]</t>
        </is>
      </c>
      <c r="B364" s="0" t="n">
        <v>106463</v>
      </c>
      <c r="C364" s="0" t="n">
        <v>3</v>
      </c>
      <c r="D364" s="0" t="inlineStr">
        <is>
          <t>두진하트리움에덴(도시형)</t>
        </is>
      </c>
      <c r="E364" s="0" t="inlineStr">
        <is>
          <t>2014.11.</t>
        </is>
      </c>
      <c r="F364" s="0" t="n">
        <v>297</v>
      </c>
      <c r="G364" s="0" t="n">
        <v>20.33</v>
      </c>
      <c r="H364" s="0" t="n">
        <v>67.22</v>
      </c>
      <c r="I364" s="0" t="n">
        <v>14.01</v>
      </c>
      <c r="J364" s="0" t="n">
        <v>46.32</v>
      </c>
      <c r="K364" s="0" t="n">
        <v>30</v>
      </c>
      <c r="T364" s="0" t="n">
        <v>2</v>
      </c>
      <c r="U364" s="0" t="n">
        <v>1</v>
      </c>
      <c r="V364" s="0" t="inlineStr">
        <is>
          <t>복도식</t>
        </is>
      </c>
      <c r="W364" s="0" t="inlineStr">
        <is>
          <t>67N</t>
        </is>
      </c>
      <c r="X364" s="0" t="n">
        <v>20</v>
      </c>
      <c r="Y364" s="0" t="n">
        <v>19</v>
      </c>
      <c r="Z364" s="0" t="inlineStr">
        <is>
          <t>https://new.land.naver.com/complexes/106463?tab=detail&amp;rf=Y</t>
        </is>
      </c>
      <c r="AA364" s="0" t="inlineStr">
        <is>
          <t>충청북도 청주시 서원구 사창동 304-1</t>
        </is>
      </c>
      <c r="AB364" s="0" t="inlineStr">
        <is>
          <t>충청북도</t>
        </is>
      </c>
      <c r="AC364" s="0" t="inlineStr">
        <is>
          <t>청주시</t>
        </is>
      </c>
      <c r="AD364" s="0" t="inlineStr">
        <is>
          <t>서원구</t>
        </is>
      </c>
      <c r="AE364" s="0" t="inlineStr">
        <is>
          <t>사창동</t>
        </is>
      </c>
      <c r="AG364" s="0" t="inlineStr">
        <is>
          <t>충청북도 청주시 서원구 사직대로 160</t>
        </is>
      </c>
      <c r="AH364" s="0" t="n">
        <v>0</v>
      </c>
      <c r="AI364" s="0" t="n">
        <v>793</v>
      </c>
      <c r="AJ364" s="0" t="n">
        <v>73</v>
      </c>
      <c r="AK364" s="0" t="n">
        <v>194</v>
      </c>
      <c r="AL364" s="0" t="n">
        <v>0.65</v>
      </c>
    </row>
    <row r="365">
      <c r="A365" s="0" t="inlineStr">
        <is>
          <t>[사창동]</t>
        </is>
      </c>
      <c r="B365" s="0" t="n">
        <v>106463</v>
      </c>
      <c r="C365" s="0" t="n">
        <v>4</v>
      </c>
      <c r="D365" s="0" t="inlineStr">
        <is>
          <t>두진하트리움에덴(도시형)</t>
        </is>
      </c>
      <c r="E365" s="0" t="inlineStr">
        <is>
          <t>2014.11.</t>
        </is>
      </c>
      <c r="F365" s="0" t="n">
        <v>297</v>
      </c>
      <c r="G365" s="0" t="n">
        <v>21.2</v>
      </c>
      <c r="H365" s="0" t="n">
        <v>70.09</v>
      </c>
      <c r="I365" s="0" t="n">
        <v>14.61</v>
      </c>
      <c r="J365" s="0" t="n">
        <v>48.3</v>
      </c>
      <c r="K365" s="0" t="n">
        <v>30</v>
      </c>
      <c r="T365" s="0" t="n">
        <v>2</v>
      </c>
      <c r="U365" s="0" t="n">
        <v>1</v>
      </c>
      <c r="V365" s="0" t="inlineStr">
        <is>
          <t>복도식</t>
        </is>
      </c>
      <c r="W365" s="0" t="inlineStr">
        <is>
          <t>70L</t>
        </is>
      </c>
      <c r="X365" s="0" t="n">
        <v>20</v>
      </c>
      <c r="Y365" s="0" t="n">
        <v>19</v>
      </c>
      <c r="Z365" s="0" t="inlineStr">
        <is>
          <t>https://new.land.naver.com/complexes/106463?tab=detail&amp;rf=Y</t>
        </is>
      </c>
      <c r="AA365" s="0" t="inlineStr">
        <is>
          <t>충청북도 청주시 서원구 사창동 304-1</t>
        </is>
      </c>
      <c r="AB365" s="0" t="inlineStr">
        <is>
          <t>충청북도</t>
        </is>
      </c>
      <c r="AC365" s="0" t="inlineStr">
        <is>
          <t>청주시</t>
        </is>
      </c>
      <c r="AD365" s="0" t="inlineStr">
        <is>
          <t>서원구</t>
        </is>
      </c>
      <c r="AE365" s="0" t="inlineStr">
        <is>
          <t>사창동</t>
        </is>
      </c>
      <c r="AG365" s="0" t="inlineStr">
        <is>
          <t>충청북도 청주시 서원구 사직대로 160</t>
        </is>
      </c>
      <c r="AH365" s="0" t="n">
        <v>0</v>
      </c>
      <c r="AI365" s="0" t="n">
        <v>793</v>
      </c>
      <c r="AJ365" s="0" t="n">
        <v>73</v>
      </c>
      <c r="AK365" s="0" t="n">
        <v>194</v>
      </c>
      <c r="AL365" s="0" t="n">
        <v>0.65</v>
      </c>
    </row>
    <row r="366">
      <c r="A366" s="0" t="inlineStr">
        <is>
          <t>[사창동]</t>
        </is>
      </c>
      <c r="B366" s="0" t="n">
        <v>106463</v>
      </c>
      <c r="C366" s="0" t="n">
        <v>5</v>
      </c>
      <c r="D366" s="0" t="inlineStr">
        <is>
          <t>두진하트리움에덴(도시형)</t>
        </is>
      </c>
      <c r="E366" s="0" t="inlineStr">
        <is>
          <t>2014.11.</t>
        </is>
      </c>
      <c r="F366" s="0" t="n">
        <v>297</v>
      </c>
      <c r="G366" s="0" t="n">
        <v>21.62</v>
      </c>
      <c r="H366" s="0" t="n">
        <v>71.48999999999999</v>
      </c>
      <c r="I366" s="0" t="n">
        <v>14.9</v>
      </c>
      <c r="J366" s="0" t="n">
        <v>49.27</v>
      </c>
      <c r="K366" s="0" t="n">
        <v>45</v>
      </c>
      <c r="T366" s="0" t="n">
        <v>2</v>
      </c>
      <c r="U366" s="0" t="n">
        <v>1</v>
      </c>
      <c r="V366" s="0" t="inlineStr">
        <is>
          <t>복도식</t>
        </is>
      </c>
      <c r="W366" s="0" t="inlineStr">
        <is>
          <t>71K</t>
        </is>
      </c>
      <c r="X366" s="0" t="n">
        <v>20</v>
      </c>
      <c r="Y366" s="0" t="n">
        <v>19</v>
      </c>
      <c r="Z366" s="0" t="inlineStr">
        <is>
          <t>https://new.land.naver.com/complexes/106463?tab=detail&amp;rf=Y</t>
        </is>
      </c>
      <c r="AA366" s="0" t="inlineStr">
        <is>
          <t>충청북도 청주시 서원구 사창동 304-1</t>
        </is>
      </c>
      <c r="AB366" s="0" t="inlineStr">
        <is>
          <t>충청북도</t>
        </is>
      </c>
      <c r="AC366" s="0" t="inlineStr">
        <is>
          <t>청주시</t>
        </is>
      </c>
      <c r="AD366" s="0" t="inlineStr">
        <is>
          <t>서원구</t>
        </is>
      </c>
      <c r="AE366" s="0" t="inlineStr">
        <is>
          <t>사창동</t>
        </is>
      </c>
      <c r="AG366" s="0" t="inlineStr">
        <is>
          <t>충청북도 청주시 서원구 사직대로 160</t>
        </is>
      </c>
      <c r="AH366" s="0" t="n">
        <v>0</v>
      </c>
      <c r="AI366" s="0" t="n">
        <v>793</v>
      </c>
      <c r="AJ366" s="0" t="n">
        <v>73</v>
      </c>
      <c r="AK366" s="0" t="n">
        <v>194</v>
      </c>
      <c r="AL366" s="0" t="n">
        <v>0.65</v>
      </c>
    </row>
    <row r="367">
      <c r="A367" s="0" t="inlineStr">
        <is>
          <t>[사창동]</t>
        </is>
      </c>
      <c r="B367" s="0" t="n">
        <v>106463</v>
      </c>
      <c r="C367" s="0" t="n">
        <v>6</v>
      </c>
      <c r="D367" s="0" t="inlineStr">
        <is>
          <t>두진하트리움에덴(도시형)</t>
        </is>
      </c>
      <c r="E367" s="0" t="inlineStr">
        <is>
          <t>2014.11.</t>
        </is>
      </c>
      <c r="F367" s="0" t="n">
        <v>297</v>
      </c>
      <c r="G367" s="0" t="n">
        <v>21.51</v>
      </c>
      <c r="H367" s="0" t="n">
        <v>71.12</v>
      </c>
      <c r="I367" s="0" t="n">
        <v>14.82</v>
      </c>
      <c r="J367" s="0" t="n">
        <v>49.01</v>
      </c>
      <c r="K367" s="0" t="n">
        <v>15</v>
      </c>
      <c r="T367" s="0" t="n">
        <v>2</v>
      </c>
      <c r="U367" s="0" t="n">
        <v>1</v>
      </c>
      <c r="V367" s="0" t="inlineStr">
        <is>
          <t>복도식</t>
        </is>
      </c>
      <c r="W367" s="0" t="inlineStr">
        <is>
          <t>71M</t>
        </is>
      </c>
      <c r="X367" s="0" t="n">
        <v>20</v>
      </c>
      <c r="Y367" s="0" t="n">
        <v>19</v>
      </c>
      <c r="Z367" s="0" t="inlineStr">
        <is>
          <t>https://new.land.naver.com/complexes/106463?tab=detail&amp;rf=Y</t>
        </is>
      </c>
      <c r="AA367" s="0" t="inlineStr">
        <is>
          <t>충청북도 청주시 서원구 사창동 304-1</t>
        </is>
      </c>
      <c r="AB367" s="0" t="inlineStr">
        <is>
          <t>충청북도</t>
        </is>
      </c>
      <c r="AC367" s="0" t="inlineStr">
        <is>
          <t>청주시</t>
        </is>
      </c>
      <c r="AD367" s="0" t="inlineStr">
        <is>
          <t>서원구</t>
        </is>
      </c>
      <c r="AE367" s="0" t="inlineStr">
        <is>
          <t>사창동</t>
        </is>
      </c>
      <c r="AG367" s="0" t="inlineStr">
        <is>
          <t>충청북도 청주시 서원구 사직대로 160</t>
        </is>
      </c>
      <c r="AH367" s="0" t="n">
        <v>0</v>
      </c>
      <c r="AI367" s="0" t="n">
        <v>793</v>
      </c>
      <c r="AJ367" s="0" t="n">
        <v>73</v>
      </c>
      <c r="AK367" s="0" t="n">
        <v>194</v>
      </c>
      <c r="AL367" s="0" t="n">
        <v>0.65</v>
      </c>
    </row>
    <row r="368">
      <c r="A368" s="0" t="inlineStr">
        <is>
          <t>[사창동]</t>
        </is>
      </c>
      <c r="B368" s="0" t="n">
        <v>106463</v>
      </c>
      <c r="C368" s="0" t="n">
        <v>7</v>
      </c>
      <c r="D368" s="0" t="inlineStr">
        <is>
          <t>두진하트리움에덴(도시형)</t>
        </is>
      </c>
      <c r="E368" s="0" t="inlineStr">
        <is>
          <t>2014.11.</t>
        </is>
      </c>
      <c r="F368" s="0" t="n">
        <v>297</v>
      </c>
      <c r="G368" s="0" t="n">
        <v>21.91</v>
      </c>
      <c r="H368" s="0" t="n">
        <v>72.45999999999999</v>
      </c>
      <c r="I368" s="0" t="n">
        <v>15.1</v>
      </c>
      <c r="J368" s="0" t="n">
        <v>49.93</v>
      </c>
      <c r="K368" s="0" t="n">
        <v>96</v>
      </c>
      <c r="T368" s="0" t="n">
        <v>2</v>
      </c>
      <c r="U368" s="0" t="n">
        <v>1</v>
      </c>
      <c r="V368" s="0" t="inlineStr">
        <is>
          <t>복도식</t>
        </is>
      </c>
      <c r="W368" s="0" t="inlineStr">
        <is>
          <t>72J</t>
        </is>
      </c>
      <c r="X368" s="0" t="n">
        <v>20</v>
      </c>
      <c r="Y368" s="0" t="n">
        <v>19</v>
      </c>
      <c r="Z368" s="0" t="inlineStr">
        <is>
          <t>https://new.land.naver.com/complexes/106463?tab=detail&amp;rf=Y</t>
        </is>
      </c>
      <c r="AA368" s="0" t="inlineStr">
        <is>
          <t>충청북도 청주시 서원구 사창동 304-1</t>
        </is>
      </c>
      <c r="AB368" s="0" t="inlineStr">
        <is>
          <t>충청북도</t>
        </is>
      </c>
      <c r="AC368" s="0" t="inlineStr">
        <is>
          <t>청주시</t>
        </is>
      </c>
      <c r="AD368" s="0" t="inlineStr">
        <is>
          <t>서원구</t>
        </is>
      </c>
      <c r="AE368" s="0" t="inlineStr">
        <is>
          <t>사창동</t>
        </is>
      </c>
      <c r="AG368" s="0" t="inlineStr">
        <is>
          <t>충청북도 청주시 서원구 사직대로 160</t>
        </is>
      </c>
      <c r="AH368" s="0" t="n">
        <v>0</v>
      </c>
      <c r="AI368" s="0" t="n">
        <v>793</v>
      </c>
      <c r="AJ368" s="0" t="n">
        <v>73</v>
      </c>
      <c r="AK368" s="0" t="n">
        <v>194</v>
      </c>
      <c r="AL368" s="0" t="n">
        <v>0.65</v>
      </c>
    </row>
    <row r="369">
      <c r="A369" s="0" t="inlineStr">
        <is>
          <t>[사창동]</t>
        </is>
      </c>
      <c r="B369" s="0" t="n">
        <v>106463</v>
      </c>
      <c r="C369" s="0" t="n">
        <v>8</v>
      </c>
      <c r="D369" s="0" t="inlineStr">
        <is>
          <t>두진하트리움에덴(도시형)</t>
        </is>
      </c>
      <c r="E369" s="0" t="inlineStr">
        <is>
          <t>2014.11.</t>
        </is>
      </c>
      <c r="F369" s="0" t="n">
        <v>297</v>
      </c>
      <c r="G369" s="0" t="n">
        <v>21.9</v>
      </c>
      <c r="H369" s="0" t="n">
        <v>72.42</v>
      </c>
      <c r="I369" s="0" t="n">
        <v>15.09</v>
      </c>
      <c r="J369" s="0" t="n">
        <v>49.9</v>
      </c>
      <c r="K369" s="0" t="n">
        <v>75</v>
      </c>
      <c r="T369" s="0" t="n">
        <v>1</v>
      </c>
      <c r="U369" s="0" t="n">
        <v>1</v>
      </c>
      <c r="V369" s="0" t="inlineStr">
        <is>
          <t>복도식</t>
        </is>
      </c>
      <c r="W369" s="0" t="inlineStr">
        <is>
          <t>72I</t>
        </is>
      </c>
      <c r="X369" s="0" t="n">
        <v>20</v>
      </c>
      <c r="Y369" s="0" t="n">
        <v>19</v>
      </c>
      <c r="Z369" s="0" t="inlineStr">
        <is>
          <t>https://new.land.naver.com/complexes/106463?tab=detail&amp;rf=Y</t>
        </is>
      </c>
      <c r="AA369" s="0" t="inlineStr">
        <is>
          <t>충청북도 청주시 서원구 사창동 304-1</t>
        </is>
      </c>
      <c r="AB369" s="0" t="inlineStr">
        <is>
          <t>충청북도</t>
        </is>
      </c>
      <c r="AC369" s="0" t="inlineStr">
        <is>
          <t>청주시</t>
        </is>
      </c>
      <c r="AD369" s="0" t="inlineStr">
        <is>
          <t>서원구</t>
        </is>
      </c>
      <c r="AE369" s="0" t="inlineStr">
        <is>
          <t>사창동</t>
        </is>
      </c>
      <c r="AG369" s="0" t="inlineStr">
        <is>
          <t>충청북도 청주시 서원구 사직대로 160</t>
        </is>
      </c>
      <c r="AH369" s="0" t="n">
        <v>0</v>
      </c>
      <c r="AI369" s="0" t="n">
        <v>793</v>
      </c>
      <c r="AJ369" s="0" t="n">
        <v>73</v>
      </c>
      <c r="AK369" s="0" t="n">
        <v>194</v>
      </c>
      <c r="AL369" s="0" t="n">
        <v>0.65</v>
      </c>
    </row>
    <row r="370">
      <c r="A370" s="0" t="inlineStr">
        <is>
          <t>[사창동]</t>
        </is>
      </c>
      <c r="B370" s="0" t="n">
        <v>121580</v>
      </c>
      <c r="C370" s="0" t="n">
        <v>1</v>
      </c>
      <c r="D370" s="0" t="inlineStr">
        <is>
          <t>조양(371-4)</t>
        </is>
      </c>
      <c r="E370" s="0" t="inlineStr">
        <is>
          <t>1978.12.</t>
        </is>
      </c>
      <c r="F370" s="0" t="n">
        <v>35</v>
      </c>
      <c r="G370" s="0" t="n">
        <v>28.4</v>
      </c>
      <c r="H370" s="0" t="n">
        <v>93.91</v>
      </c>
      <c r="I370" s="0" t="n">
        <v>24.76</v>
      </c>
      <c r="J370" s="0" t="n">
        <v>81.88</v>
      </c>
      <c r="K370" s="0" t="n">
        <v>10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93B</t>
        </is>
      </c>
      <c r="X370" s="0" t="n">
        <v>5</v>
      </c>
      <c r="Y370" s="0" t="n">
        <v>5</v>
      </c>
      <c r="Z370" s="0" t="inlineStr">
        <is>
          <t>https://new.land.naver.com/complexes/121580?tab=detail&amp;rf=Y</t>
        </is>
      </c>
      <c r="AA370" s="0" t="inlineStr">
        <is>
          <t>충청북도 청주시 서원구 사창동 371-4</t>
        </is>
      </c>
      <c r="AB370" s="0" t="inlineStr">
        <is>
          <t>충청북도</t>
        </is>
      </c>
      <c r="AC370" s="0" t="inlineStr">
        <is>
          <t>청주시</t>
        </is>
      </c>
      <c r="AD370" s="0" t="inlineStr">
        <is>
          <t>서원구</t>
        </is>
      </c>
      <c r="AE370" s="0" t="inlineStr">
        <is>
          <t>사창동</t>
        </is>
      </c>
      <c r="AG370" s="0" t="inlineStr">
        <is>
          <t>충청북도 청주시 서원구 1순환로 697</t>
        </is>
      </c>
      <c r="AH370" s="0" t="n">
        <v>0</v>
      </c>
      <c r="AI370" s="0" t="n">
        <v>0</v>
      </c>
      <c r="AJ370" s="0" t="n">
        <v>0</v>
      </c>
      <c r="AK370" s="0" t="n">
        <v>0</v>
      </c>
      <c r="AL370" s="0" t="n">
        <v>0</v>
      </c>
    </row>
    <row r="371">
      <c r="A371" s="0" t="inlineStr">
        <is>
          <t>[사창동]</t>
        </is>
      </c>
      <c r="B371" s="0" t="n">
        <v>121580</v>
      </c>
      <c r="C371" s="0" t="n">
        <v>2</v>
      </c>
      <c r="D371" s="0" t="inlineStr">
        <is>
          <t>조양(371-4)</t>
        </is>
      </c>
      <c r="E371" s="0" t="inlineStr">
        <is>
          <t>1978.12.</t>
        </is>
      </c>
      <c r="F371" s="0" t="n">
        <v>35</v>
      </c>
      <c r="G371" s="0" t="n">
        <v>28.41</v>
      </c>
      <c r="H371" s="0" t="n">
        <v>93.95</v>
      </c>
      <c r="I371" s="0" t="n">
        <v>24.78</v>
      </c>
      <c r="J371" s="0" t="n">
        <v>81.92</v>
      </c>
      <c r="K371" s="0" t="n">
        <v>9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93C</t>
        </is>
      </c>
      <c r="X371" s="0" t="n">
        <v>5</v>
      </c>
      <c r="Y371" s="0" t="n">
        <v>5</v>
      </c>
      <c r="Z371" s="0" t="inlineStr">
        <is>
          <t>https://new.land.naver.com/complexes/121580?tab=detail&amp;rf=Y</t>
        </is>
      </c>
      <c r="AA371" s="0" t="inlineStr">
        <is>
          <t>충청북도 청주시 서원구 사창동 371-4</t>
        </is>
      </c>
      <c r="AB371" s="0" t="inlineStr">
        <is>
          <t>충청북도</t>
        </is>
      </c>
      <c r="AC371" s="0" t="inlineStr">
        <is>
          <t>청주시</t>
        </is>
      </c>
      <c r="AD371" s="0" t="inlineStr">
        <is>
          <t>서원구</t>
        </is>
      </c>
      <c r="AE371" s="0" t="inlineStr">
        <is>
          <t>사창동</t>
        </is>
      </c>
      <c r="AG371" s="0" t="inlineStr">
        <is>
          <t>충청북도 청주시 서원구 1순환로 697</t>
        </is>
      </c>
      <c r="AH371" s="0" t="n">
        <v>0</v>
      </c>
      <c r="AI371" s="0" t="n">
        <v>0</v>
      </c>
      <c r="AJ371" s="0" t="n">
        <v>0</v>
      </c>
      <c r="AK371" s="0" t="n">
        <v>0</v>
      </c>
      <c r="AL371" s="0" t="n">
        <v>0</v>
      </c>
    </row>
    <row r="372">
      <c r="A372" s="0" t="inlineStr">
        <is>
          <t>[사창동]</t>
        </is>
      </c>
      <c r="B372" s="0" t="n">
        <v>121580</v>
      </c>
      <c r="C372" s="0" t="n">
        <v>3</v>
      </c>
      <c r="D372" s="0" t="inlineStr">
        <is>
          <t>조양(371-4)</t>
        </is>
      </c>
      <c r="E372" s="0" t="inlineStr">
        <is>
          <t>1978.12.</t>
        </is>
      </c>
      <c r="F372" s="0" t="n">
        <v>35</v>
      </c>
      <c r="G372" s="0" t="n">
        <v>28.16</v>
      </c>
      <c r="H372" s="0" t="n">
        <v>93.12</v>
      </c>
      <c r="I372" s="0" t="n">
        <v>24.52</v>
      </c>
      <c r="J372" s="0" t="n">
        <v>81.09</v>
      </c>
      <c r="K372" s="0" t="n">
        <v>5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93A</t>
        </is>
      </c>
      <c r="X372" s="0" t="n">
        <v>5</v>
      </c>
      <c r="Y372" s="0" t="n">
        <v>5</v>
      </c>
      <c r="Z372" s="0" t="inlineStr">
        <is>
          <t>https://new.land.naver.com/complexes/121580?tab=detail&amp;rf=Y</t>
        </is>
      </c>
      <c r="AA372" s="0" t="inlineStr">
        <is>
          <t>충청북도 청주시 서원구 사창동 371-4</t>
        </is>
      </c>
      <c r="AB372" s="0" t="inlineStr">
        <is>
          <t>충청북도</t>
        </is>
      </c>
      <c r="AC372" s="0" t="inlineStr">
        <is>
          <t>청주시</t>
        </is>
      </c>
      <c r="AD372" s="0" t="inlineStr">
        <is>
          <t>서원구</t>
        </is>
      </c>
      <c r="AE372" s="0" t="inlineStr">
        <is>
          <t>사창동</t>
        </is>
      </c>
      <c r="AG372" s="0" t="inlineStr">
        <is>
          <t>충청북도 청주시 서원구 1순환로 697</t>
        </is>
      </c>
      <c r="AH372" s="0" t="n">
        <v>0</v>
      </c>
      <c r="AI372" s="0" t="n">
        <v>0</v>
      </c>
      <c r="AJ372" s="0" t="n">
        <v>0</v>
      </c>
      <c r="AK372" s="0" t="n">
        <v>0</v>
      </c>
      <c r="AL372" s="0" t="n">
        <v>0</v>
      </c>
    </row>
    <row r="373">
      <c r="A373" s="0" t="inlineStr">
        <is>
          <t>[사창동]</t>
        </is>
      </c>
      <c r="B373" s="0" t="n">
        <v>121580</v>
      </c>
      <c r="C373" s="0" t="n">
        <v>4</v>
      </c>
      <c r="D373" s="0" t="inlineStr">
        <is>
          <t>조양(371-4)</t>
        </is>
      </c>
      <c r="E373" s="0" t="inlineStr">
        <is>
          <t>1978.12.</t>
        </is>
      </c>
      <c r="F373" s="0" t="n">
        <v>35</v>
      </c>
      <c r="G373" s="0" t="n">
        <v>28.61</v>
      </c>
      <c r="H373" s="0" t="n">
        <v>94.61</v>
      </c>
      <c r="I373" s="0" t="n">
        <v>24.98</v>
      </c>
      <c r="J373" s="0" t="n">
        <v>82.58</v>
      </c>
      <c r="K373" s="0" t="n">
        <v>11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94</v>
      </c>
      <c r="X373" s="0" t="n">
        <v>5</v>
      </c>
      <c r="Y373" s="0" t="n">
        <v>5</v>
      </c>
      <c r="Z373" s="0" t="inlineStr">
        <is>
          <t>https://new.land.naver.com/complexes/121580?tab=detail&amp;rf=Y</t>
        </is>
      </c>
      <c r="AA373" s="0" t="inlineStr">
        <is>
          <t>충청북도 청주시 서원구 사창동 371-4</t>
        </is>
      </c>
      <c r="AB373" s="0" t="inlineStr">
        <is>
          <t>충청북도</t>
        </is>
      </c>
      <c r="AC373" s="0" t="inlineStr">
        <is>
          <t>청주시</t>
        </is>
      </c>
      <c r="AD373" s="0" t="inlineStr">
        <is>
          <t>서원구</t>
        </is>
      </c>
      <c r="AE373" s="0" t="inlineStr">
        <is>
          <t>사창동</t>
        </is>
      </c>
      <c r="AG373" s="0" t="inlineStr">
        <is>
          <t>충청북도 청주시 서원구 1순환로 697</t>
        </is>
      </c>
      <c r="AH373" s="0" t="n">
        <v>0</v>
      </c>
      <c r="AI373" s="0" t="n">
        <v>0</v>
      </c>
      <c r="AJ373" s="0" t="n">
        <v>0</v>
      </c>
      <c r="AK373" s="0" t="n">
        <v>0</v>
      </c>
      <c r="AL373" s="0" t="n">
        <v>0</v>
      </c>
    </row>
    <row r="374">
      <c r="A374" s="0" t="inlineStr">
        <is>
          <t>[사창동]</t>
        </is>
      </c>
      <c r="B374" s="0" t="n">
        <v>124734</v>
      </c>
      <c r="C374" s="0" t="n">
        <v>1</v>
      </c>
      <c r="D374" s="0" t="inlineStr">
        <is>
          <t>현대(154-1)</t>
        </is>
      </c>
      <c r="E374" s="0" t="inlineStr">
        <is>
          <t>1985.11.</t>
        </is>
      </c>
      <c r="F374" s="0" t="n">
        <v>48</v>
      </c>
      <c r="G374" s="0" t="n">
        <v>29.56</v>
      </c>
      <c r="H374" s="0" t="n">
        <v>97.72</v>
      </c>
      <c r="I374" s="0" t="n">
        <v>25.16</v>
      </c>
      <c r="J374" s="0" t="n">
        <v>83.2</v>
      </c>
      <c r="K374" s="0" t="n">
        <v>5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97A</t>
        </is>
      </c>
      <c r="X374" s="0" t="n">
        <v>6</v>
      </c>
      <c r="Y374" s="0" t="n">
        <v>6</v>
      </c>
      <c r="Z374" s="0" t="inlineStr">
        <is>
          <t>https://new.land.naver.com/complexes/124734?tab=detail&amp;rf=Y</t>
        </is>
      </c>
      <c r="AA374" s="0" t="inlineStr">
        <is>
          <t>충청북도 청주시 서원구 사창동 154-1</t>
        </is>
      </c>
      <c r="AB374" s="0" t="inlineStr">
        <is>
          <t>충청북도</t>
        </is>
      </c>
      <c r="AC374" s="0" t="inlineStr">
        <is>
          <t>청주시</t>
        </is>
      </c>
      <c r="AD374" s="0" t="inlineStr">
        <is>
          <t>서원구</t>
        </is>
      </c>
      <c r="AE374" s="0" t="inlineStr">
        <is>
          <t>사창동</t>
        </is>
      </c>
      <c r="AG374" s="0" t="inlineStr">
        <is>
          <t>충청북도 청주시 서원구 내수동로 99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[사창동]</t>
        </is>
      </c>
      <c r="B375" s="0" t="n">
        <v>124734</v>
      </c>
      <c r="C375" s="0" t="n">
        <v>2</v>
      </c>
      <c r="D375" s="0" t="inlineStr">
        <is>
          <t>현대(154-1)</t>
        </is>
      </c>
      <c r="E375" s="0" t="inlineStr">
        <is>
          <t>1985.11.</t>
        </is>
      </c>
      <c r="F375" s="0" t="n">
        <v>48</v>
      </c>
      <c r="G375" s="0" t="n">
        <v>29.76</v>
      </c>
      <c r="H375" s="0" t="n">
        <v>98.40000000000001</v>
      </c>
      <c r="I375" s="0" t="n">
        <v>25.37</v>
      </c>
      <c r="J375" s="0" t="n">
        <v>83.88</v>
      </c>
      <c r="K375" s="0" t="n">
        <v>43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98B</t>
        </is>
      </c>
      <c r="X375" s="0" t="n">
        <v>6</v>
      </c>
      <c r="Y375" s="0" t="n">
        <v>6</v>
      </c>
      <c r="Z375" s="0" t="inlineStr">
        <is>
          <t>https://new.land.naver.com/complexes/124734?tab=detail&amp;rf=Y</t>
        </is>
      </c>
      <c r="AA375" s="0" t="inlineStr">
        <is>
          <t>충청북도 청주시 서원구 사창동 154-1</t>
        </is>
      </c>
      <c r="AB375" s="0" t="inlineStr">
        <is>
          <t>충청북도</t>
        </is>
      </c>
      <c r="AC375" s="0" t="inlineStr">
        <is>
          <t>청주시</t>
        </is>
      </c>
      <c r="AD375" s="0" t="inlineStr">
        <is>
          <t>서원구</t>
        </is>
      </c>
      <c r="AE375" s="0" t="inlineStr">
        <is>
          <t>사창동</t>
        </is>
      </c>
      <c r="AG375" s="0" t="inlineStr">
        <is>
          <t>충청북도 청주시 서원구 내수동로 99</t>
        </is>
      </c>
      <c r="AH375" s="0" t="n">
        <v>0</v>
      </c>
      <c r="AI375" s="0" t="n">
        <v>0</v>
      </c>
      <c r="AJ375" s="0" t="n">
        <v>0</v>
      </c>
      <c r="AK375" s="0" t="n">
        <v>0</v>
      </c>
      <c r="AL375" s="0" t="n">
        <v>0</v>
      </c>
    </row>
    <row r="376">
      <c r="A376" s="0" t="inlineStr">
        <is>
          <t>[산남동]</t>
        </is>
      </c>
      <c r="B376" s="0" t="n">
        <v>25917</v>
      </c>
      <c r="C376" s="0" t="n">
        <v>1</v>
      </c>
      <c r="D376" s="0" t="inlineStr">
        <is>
          <t>대원칸타빌1단지</t>
        </is>
      </c>
      <c r="E376" s="0" t="inlineStr">
        <is>
          <t>2007.04.</t>
        </is>
      </c>
      <c r="F376" s="0" t="n">
        <v>600</v>
      </c>
      <c r="G376" s="0" t="n">
        <v>34</v>
      </c>
      <c r="H376" s="0" t="n">
        <v>112.4</v>
      </c>
      <c r="I376" s="0" t="n">
        <v>25.7</v>
      </c>
      <c r="J376" s="0" t="n">
        <v>84.98999999999999</v>
      </c>
      <c r="K376" s="0" t="n">
        <v>576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112A</t>
        </is>
      </c>
      <c r="X376" s="0" t="n">
        <v>15</v>
      </c>
      <c r="Y376" s="0" t="n">
        <v>12</v>
      </c>
      <c r="Z376" s="0" t="inlineStr">
        <is>
          <t>https://new.land.naver.com/complexes/25917?tab=detail&amp;rf=Y</t>
        </is>
      </c>
      <c r="AA376" s="0" t="inlineStr">
        <is>
          <t>충청북도 청주시 서원구 산남동 678</t>
        </is>
      </c>
      <c r="AB376" s="0" t="inlineStr">
        <is>
          <t>충청북도</t>
        </is>
      </c>
      <c r="AC376" s="0" t="inlineStr">
        <is>
          <t>청주시</t>
        </is>
      </c>
      <c r="AD376" s="0" t="inlineStr">
        <is>
          <t>서원구</t>
        </is>
      </c>
      <c r="AE376" s="0" t="inlineStr">
        <is>
          <t>산남동</t>
        </is>
      </c>
      <c r="AG376" s="0" t="inlineStr">
        <is>
          <t>충청북도 청주시 서원구 두꺼비로 63</t>
        </is>
      </c>
      <c r="AH376" s="0" t="n">
        <v>0</v>
      </c>
      <c r="AI376" s="0" t="n">
        <v>192</v>
      </c>
      <c r="AJ376" s="0" t="n">
        <v>20</v>
      </c>
      <c r="AK376" s="0" t="n">
        <v>792</v>
      </c>
      <c r="AL376" s="0" t="n">
        <v>1.32</v>
      </c>
    </row>
    <row r="377">
      <c r="A377" s="0" t="inlineStr">
        <is>
          <t>[산남동]</t>
        </is>
      </c>
      <c r="B377" s="0" t="n">
        <v>25917</v>
      </c>
      <c r="C377" s="0" t="n">
        <v>2</v>
      </c>
      <c r="D377" s="0" t="inlineStr">
        <is>
          <t>대원칸타빌1단지</t>
        </is>
      </c>
      <c r="E377" s="0" t="inlineStr">
        <is>
          <t>2007.04.</t>
        </is>
      </c>
      <c r="F377" s="0" t="n">
        <v>600</v>
      </c>
      <c r="G377" s="0" t="n">
        <v>34.18</v>
      </c>
      <c r="H377" s="0" t="n">
        <v>113.02</v>
      </c>
      <c r="I377" s="0" t="n">
        <v>25.7</v>
      </c>
      <c r="J377" s="0" t="n">
        <v>84.98999999999999</v>
      </c>
      <c r="K377" s="0" t="n">
        <v>24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113B</t>
        </is>
      </c>
      <c r="X377" s="0" t="n">
        <v>15</v>
      </c>
      <c r="Y377" s="0" t="n">
        <v>12</v>
      </c>
      <c r="Z377" s="0" t="inlineStr">
        <is>
          <t>https://new.land.naver.com/complexes/25917?tab=detail&amp;rf=Y</t>
        </is>
      </c>
      <c r="AA377" s="0" t="inlineStr">
        <is>
          <t>충청북도 청주시 서원구 산남동 678</t>
        </is>
      </c>
      <c r="AB377" s="0" t="inlineStr">
        <is>
          <t>충청북도</t>
        </is>
      </c>
      <c r="AC377" s="0" t="inlineStr">
        <is>
          <t>청주시</t>
        </is>
      </c>
      <c r="AD377" s="0" t="inlineStr">
        <is>
          <t>서원구</t>
        </is>
      </c>
      <c r="AE377" s="0" t="inlineStr">
        <is>
          <t>산남동</t>
        </is>
      </c>
      <c r="AG377" s="0" t="inlineStr">
        <is>
          <t>충청북도 청주시 서원구 두꺼비로 63</t>
        </is>
      </c>
      <c r="AH377" s="0" t="n">
        <v>0</v>
      </c>
      <c r="AI377" s="0" t="n">
        <v>192</v>
      </c>
      <c r="AJ377" s="0" t="n">
        <v>20</v>
      </c>
      <c r="AK377" s="0" t="n">
        <v>792</v>
      </c>
      <c r="AL377" s="0" t="n">
        <v>1.32</v>
      </c>
    </row>
    <row r="378">
      <c r="A378" s="0" t="inlineStr">
        <is>
          <t>[산남동]</t>
        </is>
      </c>
      <c r="B378" s="0" t="n">
        <v>25552</v>
      </c>
      <c r="C378" s="0" t="n">
        <v>1</v>
      </c>
      <c r="D378" s="0" t="inlineStr">
        <is>
          <t>계룡리슈빌</t>
        </is>
      </c>
      <c r="E378" s="0" t="inlineStr">
        <is>
          <t>2007.02.</t>
        </is>
      </c>
      <c r="F378" s="0" t="n">
        <v>551</v>
      </c>
      <c r="G378" s="0" t="n">
        <v>39.62</v>
      </c>
      <c r="H378" s="0" t="n">
        <v>130.98</v>
      </c>
      <c r="I378" s="0" t="n">
        <v>31.99</v>
      </c>
      <c r="J378" s="0" t="n">
        <v>105.77</v>
      </c>
      <c r="K378" s="0" t="n">
        <v>112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130A</t>
        </is>
      </c>
      <c r="X378" s="0" t="n">
        <v>15</v>
      </c>
      <c r="Y378" s="0" t="n">
        <v>13</v>
      </c>
      <c r="Z378" s="0" t="inlineStr">
        <is>
          <t>https://new.land.naver.com/complexes/25552?tab=detail&amp;rf=Y</t>
        </is>
      </c>
      <c r="AA378" s="0" t="inlineStr">
        <is>
          <t>충청북도 청주시 서원구 산남동 1102</t>
        </is>
      </c>
      <c r="AB378" s="0" t="inlineStr">
        <is>
          <t>충청북도</t>
        </is>
      </c>
      <c r="AC378" s="0" t="inlineStr">
        <is>
          <t>청주시</t>
        </is>
      </c>
      <c r="AD378" s="0" t="inlineStr">
        <is>
          <t>서원구</t>
        </is>
      </c>
      <c r="AE378" s="0" t="inlineStr">
        <is>
          <t>산남동</t>
        </is>
      </c>
      <c r="AG378" s="0" t="inlineStr">
        <is>
          <t>충청북도 청주시 서원구 산남로 23</t>
        </is>
      </c>
      <c r="AH378" s="0" t="n">
        <v>0</v>
      </c>
      <c r="AI378" s="0" t="n">
        <v>199</v>
      </c>
      <c r="AJ378" s="0" t="n">
        <v>17</v>
      </c>
      <c r="AK378" s="0" t="n">
        <v>966</v>
      </c>
      <c r="AL378" s="0" t="n">
        <v>1.75</v>
      </c>
    </row>
    <row r="379">
      <c r="A379" s="0" t="inlineStr">
        <is>
          <t>[산남동]</t>
        </is>
      </c>
      <c r="B379" s="0" t="n">
        <v>25552</v>
      </c>
      <c r="C379" s="0" t="n">
        <v>2</v>
      </c>
      <c r="D379" s="0" t="inlineStr">
        <is>
          <t>계룡리슈빌</t>
        </is>
      </c>
      <c r="E379" s="0" t="inlineStr">
        <is>
          <t>2007.02.</t>
        </is>
      </c>
      <c r="F379" s="0" t="n">
        <v>551</v>
      </c>
      <c r="G379" s="0" t="n">
        <v>39.63</v>
      </c>
      <c r="H379" s="0" t="n">
        <v>131.03</v>
      </c>
      <c r="I379" s="0" t="n">
        <v>32.07</v>
      </c>
      <c r="J379" s="0" t="n">
        <v>106.02</v>
      </c>
      <c r="K379" s="0" t="n">
        <v>98</v>
      </c>
      <c r="T379" s="0" t="n">
        <v>3</v>
      </c>
      <c r="U379" s="0" t="n">
        <v>2</v>
      </c>
      <c r="V379" s="0" t="inlineStr">
        <is>
          <t>계단식</t>
        </is>
      </c>
      <c r="W379" s="0" t="inlineStr">
        <is>
          <t>131B</t>
        </is>
      </c>
      <c r="X379" s="0" t="n">
        <v>15</v>
      </c>
      <c r="Y379" s="0" t="n">
        <v>13</v>
      </c>
      <c r="Z379" s="0" t="inlineStr">
        <is>
          <t>https://new.land.naver.com/complexes/25552?tab=detail&amp;rf=Y</t>
        </is>
      </c>
      <c r="AA379" s="0" t="inlineStr">
        <is>
          <t>충청북도 청주시 서원구 산남동 1102</t>
        </is>
      </c>
      <c r="AB379" s="0" t="inlineStr">
        <is>
          <t>충청북도</t>
        </is>
      </c>
      <c r="AC379" s="0" t="inlineStr">
        <is>
          <t>청주시</t>
        </is>
      </c>
      <c r="AD379" s="0" t="inlineStr">
        <is>
          <t>서원구</t>
        </is>
      </c>
      <c r="AE379" s="0" t="inlineStr">
        <is>
          <t>산남동</t>
        </is>
      </c>
      <c r="AG379" s="0" t="inlineStr">
        <is>
          <t>충청북도 청주시 서원구 산남로 23</t>
        </is>
      </c>
      <c r="AH379" s="0" t="n">
        <v>0</v>
      </c>
      <c r="AI379" s="0" t="n">
        <v>199</v>
      </c>
      <c r="AJ379" s="0" t="n">
        <v>17</v>
      </c>
      <c r="AK379" s="0" t="n">
        <v>966</v>
      </c>
      <c r="AL379" s="0" t="n">
        <v>1.75</v>
      </c>
    </row>
    <row r="380">
      <c r="A380" s="0" t="inlineStr">
        <is>
          <t>[산남동]</t>
        </is>
      </c>
      <c r="B380" s="0" t="n">
        <v>25552</v>
      </c>
      <c r="C380" s="0" t="n">
        <v>3</v>
      </c>
      <c r="D380" s="0" t="inlineStr">
        <is>
          <t>계룡리슈빌</t>
        </is>
      </c>
      <c r="E380" s="0" t="inlineStr">
        <is>
          <t>2007.02.</t>
        </is>
      </c>
      <c r="F380" s="0" t="n">
        <v>551</v>
      </c>
      <c r="G380" s="0" t="n">
        <v>49.03</v>
      </c>
      <c r="H380" s="0" t="n">
        <v>162.11</v>
      </c>
      <c r="I380" s="0" t="n">
        <v>39.96</v>
      </c>
      <c r="J380" s="0" t="n">
        <v>132.1</v>
      </c>
      <c r="K380" s="0" t="n">
        <v>60</v>
      </c>
      <c r="T380" s="0" t="n">
        <v>4</v>
      </c>
      <c r="U380" s="0" t="n">
        <v>2</v>
      </c>
      <c r="V380" s="0" t="inlineStr">
        <is>
          <t>계단식</t>
        </is>
      </c>
      <c r="W380" s="0" t="n">
        <v>162</v>
      </c>
      <c r="X380" s="0" t="n">
        <v>15</v>
      </c>
      <c r="Y380" s="0" t="n">
        <v>13</v>
      </c>
      <c r="Z380" s="0" t="inlineStr">
        <is>
          <t>https://new.land.naver.com/complexes/25552?tab=detail&amp;rf=Y</t>
        </is>
      </c>
      <c r="AA380" s="0" t="inlineStr">
        <is>
          <t>충청북도 청주시 서원구 산남동 1102</t>
        </is>
      </c>
      <c r="AB380" s="0" t="inlineStr">
        <is>
          <t>충청북도</t>
        </is>
      </c>
      <c r="AC380" s="0" t="inlineStr">
        <is>
          <t>청주시</t>
        </is>
      </c>
      <c r="AD380" s="0" t="inlineStr">
        <is>
          <t>서원구</t>
        </is>
      </c>
      <c r="AE380" s="0" t="inlineStr">
        <is>
          <t>산남동</t>
        </is>
      </c>
      <c r="AG380" s="0" t="inlineStr">
        <is>
          <t>충청북도 청주시 서원구 산남로 23</t>
        </is>
      </c>
      <c r="AH380" s="0" t="n">
        <v>0</v>
      </c>
      <c r="AI380" s="0" t="n">
        <v>199</v>
      </c>
      <c r="AJ380" s="0" t="n">
        <v>17</v>
      </c>
      <c r="AK380" s="0" t="n">
        <v>966</v>
      </c>
      <c r="AL380" s="0" t="n">
        <v>1.75</v>
      </c>
    </row>
    <row r="381">
      <c r="A381" s="0" t="inlineStr">
        <is>
          <t>[산남동]</t>
        </is>
      </c>
      <c r="B381" s="0" t="n">
        <v>25552</v>
      </c>
      <c r="C381" s="0" t="n">
        <v>4</v>
      </c>
      <c r="D381" s="0" t="inlineStr">
        <is>
          <t>계룡리슈빌</t>
        </is>
      </c>
      <c r="E381" s="0" t="inlineStr">
        <is>
          <t>2007.02.</t>
        </is>
      </c>
      <c r="F381" s="0" t="n">
        <v>551</v>
      </c>
      <c r="G381" s="0" t="n">
        <v>49.58</v>
      </c>
      <c r="H381" s="0" t="n">
        <v>163.93</v>
      </c>
      <c r="I381" s="0" t="n">
        <v>40.45</v>
      </c>
      <c r="J381" s="0" t="n">
        <v>133.74</v>
      </c>
      <c r="K381" s="0" t="n">
        <v>161</v>
      </c>
      <c r="T381" s="0" t="n">
        <v>4</v>
      </c>
      <c r="U381" s="0" t="n">
        <v>2</v>
      </c>
      <c r="V381" s="0" t="inlineStr">
        <is>
          <t>계단식</t>
        </is>
      </c>
      <c r="W381" s="0" t="n">
        <v>163</v>
      </c>
      <c r="X381" s="0" t="n">
        <v>15</v>
      </c>
      <c r="Y381" s="0" t="n">
        <v>13</v>
      </c>
      <c r="Z381" s="0" t="inlineStr">
        <is>
          <t>https://new.land.naver.com/complexes/25552?tab=detail&amp;rf=Y</t>
        </is>
      </c>
      <c r="AA381" s="0" t="inlineStr">
        <is>
          <t>충청북도 청주시 서원구 산남동 1102</t>
        </is>
      </c>
      <c r="AB381" s="0" t="inlineStr">
        <is>
          <t>충청북도</t>
        </is>
      </c>
      <c r="AC381" s="0" t="inlineStr">
        <is>
          <t>청주시</t>
        </is>
      </c>
      <c r="AD381" s="0" t="inlineStr">
        <is>
          <t>서원구</t>
        </is>
      </c>
      <c r="AE381" s="0" t="inlineStr">
        <is>
          <t>산남동</t>
        </is>
      </c>
      <c r="AG381" s="0" t="inlineStr">
        <is>
          <t>충청북도 청주시 서원구 산남로 23</t>
        </is>
      </c>
      <c r="AH381" s="0" t="n">
        <v>0</v>
      </c>
      <c r="AI381" s="0" t="n">
        <v>199</v>
      </c>
      <c r="AJ381" s="0" t="n">
        <v>17</v>
      </c>
      <c r="AK381" s="0" t="n">
        <v>966</v>
      </c>
      <c r="AL381" s="0" t="n">
        <v>1.75</v>
      </c>
    </row>
    <row r="382">
      <c r="A382" s="0" t="inlineStr">
        <is>
          <t>[산남동]</t>
        </is>
      </c>
      <c r="B382" s="0" t="n">
        <v>25552</v>
      </c>
      <c r="C382" s="0" t="n">
        <v>5</v>
      </c>
      <c r="D382" s="0" t="inlineStr">
        <is>
          <t>계룡리슈빌</t>
        </is>
      </c>
      <c r="E382" s="0" t="inlineStr">
        <is>
          <t>2007.02.</t>
        </is>
      </c>
      <c r="F382" s="0" t="n">
        <v>551</v>
      </c>
      <c r="G382" s="0" t="n">
        <v>52.79</v>
      </c>
      <c r="H382" s="0" t="n">
        <v>174.52</v>
      </c>
      <c r="I382" s="0" t="n">
        <v>42.61</v>
      </c>
      <c r="J382" s="0" t="n">
        <v>140.87</v>
      </c>
      <c r="K382" s="0" t="n">
        <v>8</v>
      </c>
      <c r="T382" s="0" t="n">
        <v>4</v>
      </c>
      <c r="U382" s="0" t="n">
        <v>2</v>
      </c>
      <c r="V382" s="0" t="inlineStr">
        <is>
          <t>계단식</t>
        </is>
      </c>
      <c r="W382" s="0" t="n">
        <v>174</v>
      </c>
      <c r="X382" s="0" t="n">
        <v>15</v>
      </c>
      <c r="Y382" s="0" t="n">
        <v>13</v>
      </c>
      <c r="Z382" s="0" t="inlineStr">
        <is>
          <t>https://new.land.naver.com/complexes/25552?tab=detail&amp;rf=Y</t>
        </is>
      </c>
      <c r="AA382" s="0" t="inlineStr">
        <is>
          <t>충청북도 청주시 서원구 산남동 1102</t>
        </is>
      </c>
      <c r="AB382" s="0" t="inlineStr">
        <is>
          <t>충청북도</t>
        </is>
      </c>
      <c r="AC382" s="0" t="inlineStr">
        <is>
          <t>청주시</t>
        </is>
      </c>
      <c r="AD382" s="0" t="inlineStr">
        <is>
          <t>서원구</t>
        </is>
      </c>
      <c r="AE382" s="0" t="inlineStr">
        <is>
          <t>산남동</t>
        </is>
      </c>
      <c r="AG382" s="0" t="inlineStr">
        <is>
          <t>충청북도 청주시 서원구 산남로 23</t>
        </is>
      </c>
      <c r="AH382" s="0" t="n">
        <v>0</v>
      </c>
      <c r="AI382" s="0" t="n">
        <v>199</v>
      </c>
      <c r="AJ382" s="0" t="n">
        <v>17</v>
      </c>
      <c r="AK382" s="0" t="n">
        <v>966</v>
      </c>
      <c r="AL382" s="0" t="n">
        <v>1.75</v>
      </c>
    </row>
    <row r="383">
      <c r="A383" s="0" t="inlineStr">
        <is>
          <t>[산남동]</t>
        </is>
      </c>
      <c r="B383" s="0" t="n">
        <v>25552</v>
      </c>
      <c r="C383" s="0" t="n">
        <v>6</v>
      </c>
      <c r="D383" s="0" t="inlineStr">
        <is>
          <t>계룡리슈빌</t>
        </is>
      </c>
      <c r="E383" s="0" t="inlineStr">
        <is>
          <t>2007.02.</t>
        </is>
      </c>
      <c r="F383" s="0" t="n">
        <v>551</v>
      </c>
      <c r="G383" s="0" t="n">
        <v>59.61</v>
      </c>
      <c r="H383" s="0" t="n">
        <v>197.06</v>
      </c>
      <c r="I383" s="0" t="n">
        <v>50.49</v>
      </c>
      <c r="J383" s="0" t="n">
        <v>166.93</v>
      </c>
      <c r="K383" s="0" t="n">
        <v>112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197</v>
      </c>
      <c r="X383" s="0" t="n">
        <v>15</v>
      </c>
      <c r="Y383" s="0" t="n">
        <v>13</v>
      </c>
      <c r="Z383" s="0" t="inlineStr">
        <is>
          <t>https://new.land.naver.com/complexes/25552?tab=detail&amp;rf=Y</t>
        </is>
      </c>
      <c r="AA383" s="0" t="inlineStr">
        <is>
          <t>충청북도 청주시 서원구 산남동 1102</t>
        </is>
      </c>
      <c r="AB383" s="0" t="inlineStr">
        <is>
          <t>충청북도</t>
        </is>
      </c>
      <c r="AC383" s="0" t="inlineStr">
        <is>
          <t>청주시</t>
        </is>
      </c>
      <c r="AD383" s="0" t="inlineStr">
        <is>
          <t>서원구</t>
        </is>
      </c>
      <c r="AE383" s="0" t="inlineStr">
        <is>
          <t>산남동</t>
        </is>
      </c>
      <c r="AG383" s="0" t="inlineStr">
        <is>
          <t>충청북도 청주시 서원구 산남로 23</t>
        </is>
      </c>
      <c r="AH383" s="0" t="n">
        <v>0</v>
      </c>
      <c r="AI383" s="0" t="n">
        <v>199</v>
      </c>
      <c r="AJ383" s="0" t="n">
        <v>17</v>
      </c>
      <c r="AK383" s="0" t="n">
        <v>966</v>
      </c>
      <c r="AL383" s="0" t="n">
        <v>1.75</v>
      </c>
    </row>
    <row r="384">
      <c r="A384" s="0" t="inlineStr">
        <is>
          <t>[산남동]</t>
        </is>
      </c>
      <c r="B384" s="0" t="n">
        <v>25844</v>
      </c>
      <c r="C384" s="0" t="n">
        <v>1</v>
      </c>
      <c r="D384" s="0" t="inlineStr">
        <is>
          <t>산남퀸덤</t>
        </is>
      </c>
      <c r="E384" s="0" t="inlineStr">
        <is>
          <t>2007.01.</t>
        </is>
      </c>
      <c r="F384" s="0" t="n">
        <v>570</v>
      </c>
      <c r="G384" s="0" t="n">
        <v>34.01</v>
      </c>
      <c r="H384" s="0" t="n">
        <v>112.43</v>
      </c>
      <c r="I384" s="0" t="n">
        <v>25.69</v>
      </c>
      <c r="J384" s="0" t="n">
        <v>84.93000000000001</v>
      </c>
      <c r="K384" s="0" t="n">
        <v>570</v>
      </c>
      <c r="T384" s="0" t="n">
        <v>3</v>
      </c>
      <c r="U384" s="0" t="n">
        <v>2</v>
      </c>
      <c r="V384" s="0" t="inlineStr">
        <is>
          <t>복도식</t>
        </is>
      </c>
      <c r="W384" s="0" t="n">
        <v>112</v>
      </c>
      <c r="X384" s="0" t="n">
        <v>15</v>
      </c>
      <c r="Y384" s="0" t="n">
        <v>12</v>
      </c>
      <c r="Z384" s="0" t="inlineStr">
        <is>
          <t>https://new.land.naver.com/complexes/25844?tab=detail&amp;rf=Y</t>
        </is>
      </c>
      <c r="AA384" s="0" t="inlineStr">
        <is>
          <t>충청북도 청주시 서원구 산남동 671</t>
        </is>
      </c>
      <c r="AB384" s="0" t="inlineStr">
        <is>
          <t>충청북도</t>
        </is>
      </c>
      <c r="AC384" s="0" t="inlineStr">
        <is>
          <t>청주시</t>
        </is>
      </c>
      <c r="AD384" s="0" t="inlineStr">
        <is>
          <t>서원구</t>
        </is>
      </c>
      <c r="AE384" s="0" t="inlineStr">
        <is>
          <t>산남동</t>
        </is>
      </c>
      <c r="AG384" s="0" t="inlineStr">
        <is>
          <t>충청북도 청주시 서원구 두꺼비로 93</t>
        </is>
      </c>
      <c r="AH384" s="0" t="n">
        <v>0</v>
      </c>
      <c r="AI384" s="0" t="n">
        <v>199</v>
      </c>
      <c r="AJ384" s="0" t="n">
        <v>19</v>
      </c>
      <c r="AK384" s="0" t="n">
        <v>749</v>
      </c>
      <c r="AL384" s="0" t="n">
        <v>1.31</v>
      </c>
    </row>
    <row r="385">
      <c r="A385" s="0" t="inlineStr">
        <is>
          <t>[산남동]</t>
        </is>
      </c>
      <c r="B385" s="0" t="n">
        <v>26054</v>
      </c>
      <c r="C385" s="0" t="n">
        <v>1</v>
      </c>
      <c r="D385" s="0" t="inlineStr">
        <is>
          <t>부영사랑으로</t>
        </is>
      </c>
      <c r="E385" s="0" t="inlineStr">
        <is>
          <t>2007.04.</t>
        </is>
      </c>
      <c r="F385" s="0" t="n">
        <v>985</v>
      </c>
      <c r="G385" s="0" t="n">
        <v>26.76</v>
      </c>
      <c r="H385" s="0" t="n">
        <v>88.48999999999999</v>
      </c>
      <c r="I385" s="0" t="n">
        <v>18.12</v>
      </c>
      <c r="J385" s="0" t="n">
        <v>59.93</v>
      </c>
      <c r="K385" s="0" t="n">
        <v>985</v>
      </c>
      <c r="T385" s="0" t="n">
        <v>3</v>
      </c>
      <c r="U385" s="0" t="n">
        <v>2</v>
      </c>
      <c r="V385" s="0" t="inlineStr">
        <is>
          <t>계단식</t>
        </is>
      </c>
      <c r="W385" s="0" t="n">
        <v>88</v>
      </c>
      <c r="X385" s="0" t="n">
        <v>15</v>
      </c>
      <c r="Y385" s="0" t="n">
        <v>13</v>
      </c>
      <c r="Z385" s="0" t="inlineStr">
        <is>
          <t>https://new.land.naver.com/complexes/26054?tab=detail&amp;rf=Y</t>
        </is>
      </c>
      <c r="AA385" s="0" t="inlineStr">
        <is>
          <t>충청북도 청주시 서원구 산남동 1094</t>
        </is>
      </c>
      <c r="AB385" s="0" t="inlineStr">
        <is>
          <t>충청북도</t>
        </is>
      </c>
      <c r="AC385" s="0" t="inlineStr">
        <is>
          <t>청주시</t>
        </is>
      </c>
      <c r="AD385" s="0" t="inlineStr">
        <is>
          <t>서원구</t>
        </is>
      </c>
      <c r="AE385" s="0" t="inlineStr">
        <is>
          <t>산남동</t>
        </is>
      </c>
      <c r="AG385" s="0" t="inlineStr">
        <is>
          <t>충청북도 청주시 서원구 원흥로 14</t>
        </is>
      </c>
      <c r="AH385" s="0" t="n">
        <v>0</v>
      </c>
      <c r="AI385" s="0" t="n">
        <v>193</v>
      </c>
      <c r="AJ385" s="0" t="n">
        <v>19</v>
      </c>
      <c r="AK385" s="0" t="n">
        <v>1014</v>
      </c>
      <c r="AL385" s="0" t="n">
        <v>1.03</v>
      </c>
    </row>
    <row r="386">
      <c r="A386" s="0" t="inlineStr">
        <is>
          <t>[산남동]</t>
        </is>
      </c>
      <c r="B386" s="0" t="n">
        <v>25551</v>
      </c>
      <c r="C386" s="0" t="n">
        <v>1</v>
      </c>
      <c r="D386" s="0" t="inlineStr">
        <is>
          <t>유승한내들</t>
        </is>
      </c>
      <c r="E386" s="0" t="inlineStr">
        <is>
          <t>2007.07.</t>
        </is>
      </c>
      <c r="F386" s="0" t="n">
        <v>464</v>
      </c>
      <c r="G386" s="0" t="n">
        <v>25.9</v>
      </c>
      <c r="H386" s="0" t="n">
        <v>85.63</v>
      </c>
      <c r="I386" s="0" t="n">
        <v>18.11</v>
      </c>
      <c r="J386" s="0" t="n">
        <v>59.88</v>
      </c>
      <c r="K386" s="0" t="n">
        <v>464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85</v>
      </c>
      <c r="X386" s="0" t="n">
        <v>15</v>
      </c>
      <c r="Y386" s="0" t="n">
        <v>15</v>
      </c>
      <c r="Z386" s="0" t="inlineStr">
        <is>
          <t>https://new.land.naver.com/complexes/25551?tab=detail&amp;rf=Y</t>
        </is>
      </c>
      <c r="AA386" s="0" t="inlineStr">
        <is>
          <t>충청북도 청주시 서원구 산남동 669</t>
        </is>
      </c>
      <c r="AB386" s="0" t="inlineStr">
        <is>
          <t>충청북도</t>
        </is>
      </c>
      <c r="AC386" s="0" t="inlineStr">
        <is>
          <t>청주시</t>
        </is>
      </c>
      <c r="AD386" s="0" t="inlineStr">
        <is>
          <t>서원구</t>
        </is>
      </c>
      <c r="AE386" s="0" t="inlineStr">
        <is>
          <t>산남동</t>
        </is>
      </c>
      <c r="AG386" s="0" t="inlineStr">
        <is>
          <t>충청북도 청주시 서원구 두꺼비로 109</t>
        </is>
      </c>
      <c r="AH386" s="0" t="n">
        <v>0</v>
      </c>
      <c r="AI386" s="0" t="n">
        <v>207</v>
      </c>
      <c r="AJ386" s="0" t="n">
        <v>18</v>
      </c>
      <c r="AK386" s="0" t="n">
        <v>468</v>
      </c>
      <c r="AL386" s="0" t="n">
        <v>1.01</v>
      </c>
    </row>
    <row r="387">
      <c r="A387" s="0" t="inlineStr">
        <is>
          <t>[산남동]</t>
        </is>
      </c>
      <c r="B387" s="0" t="n">
        <v>25550</v>
      </c>
      <c r="C387" s="0" t="n">
        <v>1</v>
      </c>
      <c r="D387" s="0" t="inlineStr">
        <is>
          <t>청주현진에버빌</t>
        </is>
      </c>
      <c r="E387" s="0" t="inlineStr">
        <is>
          <t>2006.12.</t>
        </is>
      </c>
      <c r="F387" s="0" t="n">
        <v>477</v>
      </c>
      <c r="G387" s="0" t="n">
        <v>33.4</v>
      </c>
      <c r="H387" s="0" t="n">
        <v>110.42</v>
      </c>
      <c r="I387" s="0" t="n">
        <v>25.7</v>
      </c>
      <c r="J387" s="0" t="n">
        <v>84.98</v>
      </c>
      <c r="K387" s="0" t="n">
        <v>219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110</v>
      </c>
      <c r="X387" s="0" t="n">
        <v>15</v>
      </c>
      <c r="Y387" s="0" t="n">
        <v>10</v>
      </c>
      <c r="Z387" s="0" t="inlineStr">
        <is>
          <t>https://new.land.naver.com/complexes/25550?tab=detail&amp;rf=Y</t>
        </is>
      </c>
      <c r="AA387" s="0" t="inlineStr">
        <is>
          <t>충청북도 청주시 서원구 산남동 1103</t>
        </is>
      </c>
      <c r="AB387" s="0" t="inlineStr">
        <is>
          <t>충청북도</t>
        </is>
      </c>
      <c r="AC387" s="0" t="inlineStr">
        <is>
          <t>청주시</t>
        </is>
      </c>
      <c r="AD387" s="0" t="inlineStr">
        <is>
          <t>서원구</t>
        </is>
      </c>
      <c r="AE387" s="0" t="inlineStr">
        <is>
          <t>산남동</t>
        </is>
      </c>
      <c r="AG387" s="0" t="inlineStr">
        <is>
          <t>충청북도 청주시 서원구 탑골로 6</t>
        </is>
      </c>
      <c r="AH387" s="0" t="n">
        <v>0</v>
      </c>
      <c r="AI387" s="0" t="n">
        <v>190</v>
      </c>
      <c r="AJ387" s="0" t="n">
        <v>18</v>
      </c>
      <c r="AK387" s="0" t="n">
        <v>629</v>
      </c>
      <c r="AL387" s="0" t="n">
        <v>1.32</v>
      </c>
    </row>
    <row r="388">
      <c r="A388" s="0" t="inlineStr">
        <is>
          <t>[산남동]</t>
        </is>
      </c>
      <c r="B388" s="0" t="n">
        <v>25550</v>
      </c>
      <c r="C388" s="0" t="n">
        <v>2</v>
      </c>
      <c r="D388" s="0" t="inlineStr">
        <is>
          <t>청주현진에버빌</t>
        </is>
      </c>
      <c r="E388" s="0" t="inlineStr">
        <is>
          <t>2006.12.</t>
        </is>
      </c>
      <c r="F388" s="0" t="n">
        <v>477</v>
      </c>
      <c r="G388" s="0" t="n">
        <v>34.21</v>
      </c>
      <c r="H388" s="0" t="n">
        <v>113.1</v>
      </c>
      <c r="I388" s="0" t="n">
        <v>25.7</v>
      </c>
      <c r="J388" s="0" t="n">
        <v>84.98999999999999</v>
      </c>
      <c r="K388" s="0" t="n">
        <v>119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113</v>
      </c>
      <c r="X388" s="0" t="n">
        <v>15</v>
      </c>
      <c r="Y388" s="0" t="n">
        <v>10</v>
      </c>
      <c r="Z388" s="0" t="inlineStr">
        <is>
          <t>https://new.land.naver.com/complexes/25550?tab=detail&amp;rf=Y</t>
        </is>
      </c>
      <c r="AA388" s="0" t="inlineStr">
        <is>
          <t>충청북도 청주시 서원구 산남동 1103</t>
        </is>
      </c>
      <c r="AB388" s="0" t="inlineStr">
        <is>
          <t>충청북도</t>
        </is>
      </c>
      <c r="AC388" s="0" t="inlineStr">
        <is>
          <t>청주시</t>
        </is>
      </c>
      <c r="AD388" s="0" t="inlineStr">
        <is>
          <t>서원구</t>
        </is>
      </c>
      <c r="AE388" s="0" t="inlineStr">
        <is>
          <t>산남동</t>
        </is>
      </c>
      <c r="AG388" s="0" t="inlineStr">
        <is>
          <t>충청북도 청주시 서원구 탑골로 6</t>
        </is>
      </c>
      <c r="AH388" s="0" t="n">
        <v>0</v>
      </c>
      <c r="AI388" s="0" t="n">
        <v>190</v>
      </c>
      <c r="AJ388" s="0" t="n">
        <v>18</v>
      </c>
      <c r="AK388" s="0" t="n">
        <v>629</v>
      </c>
      <c r="AL388" s="0" t="n">
        <v>1.32</v>
      </c>
    </row>
    <row r="389">
      <c r="A389" s="0" t="inlineStr">
        <is>
          <t>[산남동]</t>
        </is>
      </c>
      <c r="B389" s="0" t="n">
        <v>25550</v>
      </c>
      <c r="C389" s="0" t="n">
        <v>3</v>
      </c>
      <c r="D389" s="0" t="inlineStr">
        <is>
          <t>청주현진에버빌</t>
        </is>
      </c>
      <c r="E389" s="0" t="inlineStr">
        <is>
          <t>2006.12.</t>
        </is>
      </c>
      <c r="F389" s="0" t="n">
        <v>477</v>
      </c>
      <c r="G389" s="0" t="n">
        <v>35.08</v>
      </c>
      <c r="H389" s="0" t="n">
        <v>115.97</v>
      </c>
      <c r="I389" s="0" t="n">
        <v>25.7</v>
      </c>
      <c r="J389" s="0" t="n">
        <v>84.98999999999999</v>
      </c>
      <c r="K389" s="0" t="n">
        <v>139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115</v>
      </c>
      <c r="X389" s="0" t="n">
        <v>15</v>
      </c>
      <c r="Y389" s="0" t="n">
        <v>10</v>
      </c>
      <c r="Z389" s="0" t="inlineStr">
        <is>
          <t>https://new.land.naver.com/complexes/25550?tab=detail&amp;rf=Y</t>
        </is>
      </c>
      <c r="AA389" s="0" t="inlineStr">
        <is>
          <t>충청북도 청주시 서원구 산남동 1103</t>
        </is>
      </c>
      <c r="AB389" s="0" t="inlineStr">
        <is>
          <t>충청북도</t>
        </is>
      </c>
      <c r="AC389" s="0" t="inlineStr">
        <is>
          <t>청주시</t>
        </is>
      </c>
      <c r="AD389" s="0" t="inlineStr">
        <is>
          <t>서원구</t>
        </is>
      </c>
      <c r="AE389" s="0" t="inlineStr">
        <is>
          <t>산남동</t>
        </is>
      </c>
      <c r="AG389" s="0" t="inlineStr">
        <is>
          <t>충청북도 청주시 서원구 탑골로 6</t>
        </is>
      </c>
      <c r="AH389" s="0" t="n">
        <v>0</v>
      </c>
      <c r="AI389" s="0" t="n">
        <v>190</v>
      </c>
      <c r="AJ389" s="0" t="n">
        <v>18</v>
      </c>
      <c r="AK389" s="0" t="n">
        <v>629</v>
      </c>
      <c r="AL389" s="0" t="n">
        <v>1.32</v>
      </c>
    </row>
    <row r="390">
      <c r="A390" s="0" t="inlineStr">
        <is>
          <t>[산남동]</t>
        </is>
      </c>
      <c r="B390" s="0" t="n">
        <v>25919</v>
      </c>
      <c r="C390" s="0" t="n">
        <v>1</v>
      </c>
      <c r="D390" s="0" t="inlineStr">
        <is>
          <t>청주산남푸르지오</t>
        </is>
      </c>
      <c r="E390" s="0" t="inlineStr">
        <is>
          <t>2007.04.</t>
        </is>
      </c>
      <c r="F390" s="0" t="n">
        <v>760</v>
      </c>
      <c r="G390" s="0" t="n">
        <v>29.05</v>
      </c>
      <c r="H390" s="0" t="n">
        <v>96.05</v>
      </c>
      <c r="I390" s="0" t="n">
        <v>22.83</v>
      </c>
      <c r="J390" s="0" t="n">
        <v>75.48999999999999</v>
      </c>
      <c r="K390" s="0" t="n">
        <v>144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96</v>
      </c>
      <c r="X390" s="0" t="n">
        <v>15</v>
      </c>
      <c r="Y390" s="0" t="n">
        <v>13</v>
      </c>
      <c r="Z390" s="0" t="inlineStr">
        <is>
          <t>https://new.land.naver.com/complexes/25919?tab=detail&amp;rf=Y</t>
        </is>
      </c>
      <c r="AA390" s="0" t="inlineStr">
        <is>
          <t>충청북도 청주시 서원구 산남동 679</t>
        </is>
      </c>
      <c r="AB390" s="0" t="inlineStr">
        <is>
          <t>충청북도</t>
        </is>
      </c>
      <c r="AC390" s="0" t="inlineStr">
        <is>
          <t>청주시</t>
        </is>
      </c>
      <c r="AD390" s="0" t="inlineStr">
        <is>
          <t>서원구</t>
        </is>
      </c>
      <c r="AE390" s="0" t="inlineStr">
        <is>
          <t>산남동</t>
        </is>
      </c>
      <c r="AG390" s="0" t="inlineStr">
        <is>
          <t>충청북도 청주시 서원구 두꺼비로 53</t>
        </is>
      </c>
      <c r="AH390" s="0" t="n">
        <v>0</v>
      </c>
      <c r="AI390" s="0" t="n">
        <v>179</v>
      </c>
      <c r="AJ390" s="0" t="n">
        <v>16</v>
      </c>
      <c r="AK390" s="0" t="n">
        <v>1016</v>
      </c>
      <c r="AL390" s="0" t="n">
        <v>1.34</v>
      </c>
    </row>
    <row r="391">
      <c r="A391" s="0" t="inlineStr">
        <is>
          <t>[산남동]</t>
        </is>
      </c>
      <c r="B391" s="0" t="n">
        <v>25919</v>
      </c>
      <c r="C391" s="0" t="n">
        <v>2</v>
      </c>
      <c r="D391" s="0" t="inlineStr">
        <is>
          <t>청주산남푸르지오</t>
        </is>
      </c>
      <c r="E391" s="0" t="inlineStr">
        <is>
          <t>2007.04.</t>
        </is>
      </c>
      <c r="F391" s="0" t="n">
        <v>760</v>
      </c>
      <c r="G391" s="0" t="n">
        <v>33.56</v>
      </c>
      <c r="H391" s="0" t="n">
        <v>110.97</v>
      </c>
      <c r="I391" s="0" t="n">
        <v>25.7</v>
      </c>
      <c r="J391" s="0" t="n">
        <v>84.98999999999999</v>
      </c>
      <c r="K391" s="0" t="n">
        <v>90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110B</t>
        </is>
      </c>
      <c r="X391" s="0" t="n">
        <v>15</v>
      </c>
      <c r="Y391" s="0" t="n">
        <v>13</v>
      </c>
      <c r="Z391" s="0" t="inlineStr">
        <is>
          <t>https://new.land.naver.com/complexes/25919?tab=detail&amp;rf=Y</t>
        </is>
      </c>
      <c r="AA391" s="0" t="inlineStr">
        <is>
          <t>충청북도 청주시 서원구 산남동 679</t>
        </is>
      </c>
      <c r="AB391" s="0" t="inlineStr">
        <is>
          <t>충청북도</t>
        </is>
      </c>
      <c r="AC391" s="0" t="inlineStr">
        <is>
          <t>청주시</t>
        </is>
      </c>
      <c r="AD391" s="0" t="inlineStr">
        <is>
          <t>서원구</t>
        </is>
      </c>
      <c r="AE391" s="0" t="inlineStr">
        <is>
          <t>산남동</t>
        </is>
      </c>
      <c r="AG391" s="0" t="inlineStr">
        <is>
          <t>충청북도 청주시 서원구 두꺼비로 53</t>
        </is>
      </c>
      <c r="AH391" s="0" t="n">
        <v>0</v>
      </c>
      <c r="AI391" s="0" t="n">
        <v>179</v>
      </c>
      <c r="AJ391" s="0" t="n">
        <v>16</v>
      </c>
      <c r="AK391" s="0" t="n">
        <v>1016</v>
      </c>
      <c r="AL391" s="0" t="n">
        <v>1.34</v>
      </c>
    </row>
    <row r="392">
      <c r="A392" s="0" t="inlineStr">
        <is>
          <t>[산남동]</t>
        </is>
      </c>
      <c r="B392" s="0" t="n">
        <v>25919</v>
      </c>
      <c r="C392" s="0" t="n">
        <v>3</v>
      </c>
      <c r="D392" s="0" t="inlineStr">
        <is>
          <t>청주산남푸르지오</t>
        </is>
      </c>
      <c r="E392" s="0" t="inlineStr">
        <is>
          <t>2007.04.</t>
        </is>
      </c>
      <c r="F392" s="0" t="n">
        <v>760</v>
      </c>
      <c r="G392" s="0" t="n">
        <v>33.59</v>
      </c>
      <c r="H392" s="0" t="n">
        <v>111.05</v>
      </c>
      <c r="I392" s="0" t="n">
        <v>25.69</v>
      </c>
      <c r="J392" s="0" t="n">
        <v>84.95</v>
      </c>
      <c r="K392" s="0" t="n">
        <v>526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111A</t>
        </is>
      </c>
      <c r="X392" s="0" t="n">
        <v>15</v>
      </c>
      <c r="Y392" s="0" t="n">
        <v>13</v>
      </c>
      <c r="Z392" s="0" t="inlineStr">
        <is>
          <t>https://new.land.naver.com/complexes/25919?tab=detail&amp;rf=Y</t>
        </is>
      </c>
      <c r="AA392" s="0" t="inlineStr">
        <is>
          <t>충청북도 청주시 서원구 산남동 679</t>
        </is>
      </c>
      <c r="AB392" s="0" t="inlineStr">
        <is>
          <t>충청북도</t>
        </is>
      </c>
      <c r="AC392" s="0" t="inlineStr">
        <is>
          <t>청주시</t>
        </is>
      </c>
      <c r="AD392" s="0" t="inlineStr">
        <is>
          <t>서원구</t>
        </is>
      </c>
      <c r="AE392" s="0" t="inlineStr">
        <is>
          <t>산남동</t>
        </is>
      </c>
      <c r="AG392" s="0" t="inlineStr">
        <is>
          <t>충청북도 청주시 서원구 두꺼비로 53</t>
        </is>
      </c>
      <c r="AH392" s="0" t="n">
        <v>0</v>
      </c>
      <c r="AI392" s="0" t="n">
        <v>179</v>
      </c>
      <c r="AJ392" s="0" t="n">
        <v>16</v>
      </c>
      <c r="AK392" s="0" t="n">
        <v>1016</v>
      </c>
      <c r="AL392" s="0" t="n">
        <v>1.34</v>
      </c>
    </row>
    <row r="393">
      <c r="A393" s="0" t="inlineStr">
        <is>
          <t>[산남동]</t>
        </is>
      </c>
      <c r="B393" s="0" t="n">
        <v>25918</v>
      </c>
      <c r="C393" s="0" t="n">
        <v>1</v>
      </c>
      <c r="D393" s="0" t="inlineStr">
        <is>
          <t>대원칸타빌2단지</t>
        </is>
      </c>
      <c r="E393" s="0" t="inlineStr">
        <is>
          <t>2007.04.</t>
        </is>
      </c>
      <c r="F393" s="0" t="n">
        <v>518</v>
      </c>
      <c r="G393" s="0" t="n">
        <v>34.32</v>
      </c>
      <c r="H393" s="0" t="n">
        <v>113.48</v>
      </c>
      <c r="I393" s="0" t="n">
        <v>25.7</v>
      </c>
      <c r="J393" s="0" t="n">
        <v>84.98999999999999</v>
      </c>
      <c r="K393" s="0" t="n">
        <v>316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113A</t>
        </is>
      </c>
      <c r="X393" s="0" t="n">
        <v>14</v>
      </c>
      <c r="Y393" s="0" t="n">
        <v>11</v>
      </c>
      <c r="Z393" s="0" t="inlineStr">
        <is>
          <t>https://new.land.naver.com/complexes/25918?tab=detail&amp;rf=Y</t>
        </is>
      </c>
      <c r="AA393" s="0" t="inlineStr">
        <is>
          <t>충청북도 청주시 서원구 산남동 1100</t>
        </is>
      </c>
      <c r="AB393" s="0" t="inlineStr">
        <is>
          <t>충청북도</t>
        </is>
      </c>
      <c r="AC393" s="0" t="inlineStr">
        <is>
          <t>청주시</t>
        </is>
      </c>
      <c r="AD393" s="0" t="inlineStr">
        <is>
          <t>서원구</t>
        </is>
      </c>
      <c r="AE393" s="0" t="inlineStr">
        <is>
          <t>산남동</t>
        </is>
      </c>
      <c r="AG393" s="0" t="inlineStr">
        <is>
          <t>충청북도 청주시 서원구 산미로 143</t>
        </is>
      </c>
      <c r="AH393" s="0" t="n">
        <v>0</v>
      </c>
      <c r="AI393" s="0" t="n">
        <v>192</v>
      </c>
      <c r="AJ393" s="0" t="n">
        <v>0</v>
      </c>
      <c r="AK393" s="0" t="n">
        <v>674</v>
      </c>
      <c r="AL393" s="0" t="n">
        <v>1.3</v>
      </c>
    </row>
    <row r="394">
      <c r="A394" s="0" t="inlineStr">
        <is>
          <t>[산남동]</t>
        </is>
      </c>
      <c r="B394" s="0" t="n">
        <v>25918</v>
      </c>
      <c r="C394" s="0" t="n">
        <v>2</v>
      </c>
      <c r="D394" s="0" t="inlineStr">
        <is>
          <t>대원칸타빌2단지</t>
        </is>
      </c>
      <c r="E394" s="0" t="inlineStr">
        <is>
          <t>2007.04.</t>
        </is>
      </c>
      <c r="F394" s="0" t="n">
        <v>518</v>
      </c>
      <c r="G394" s="0" t="n">
        <v>34.53</v>
      </c>
      <c r="H394" s="0" t="n">
        <v>114.15</v>
      </c>
      <c r="I394" s="0" t="n">
        <v>25.7</v>
      </c>
      <c r="J394" s="0" t="n">
        <v>84.98</v>
      </c>
      <c r="K394" s="0" t="n">
        <v>168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114C</t>
        </is>
      </c>
      <c r="X394" s="0" t="n">
        <v>14</v>
      </c>
      <c r="Y394" s="0" t="n">
        <v>11</v>
      </c>
      <c r="Z394" s="0" t="inlineStr">
        <is>
          <t>https://new.land.naver.com/complexes/25918?tab=detail&amp;rf=Y</t>
        </is>
      </c>
      <c r="AA394" s="0" t="inlineStr">
        <is>
          <t>충청북도 청주시 서원구 산남동 1100</t>
        </is>
      </c>
      <c r="AB394" s="0" t="inlineStr">
        <is>
          <t>충청북도</t>
        </is>
      </c>
      <c r="AC394" s="0" t="inlineStr">
        <is>
          <t>청주시</t>
        </is>
      </c>
      <c r="AD394" s="0" t="inlineStr">
        <is>
          <t>서원구</t>
        </is>
      </c>
      <c r="AE394" s="0" t="inlineStr">
        <is>
          <t>산남동</t>
        </is>
      </c>
      <c r="AG394" s="0" t="inlineStr">
        <is>
          <t>충청북도 청주시 서원구 산미로 143</t>
        </is>
      </c>
      <c r="AH394" s="0" t="n">
        <v>0</v>
      </c>
      <c r="AI394" s="0" t="n">
        <v>192</v>
      </c>
      <c r="AJ394" s="0" t="n">
        <v>0</v>
      </c>
      <c r="AK394" s="0" t="n">
        <v>674</v>
      </c>
      <c r="AL394" s="0" t="n">
        <v>1.3</v>
      </c>
    </row>
    <row r="395">
      <c r="A395" s="0" t="inlineStr">
        <is>
          <t>[산남동]</t>
        </is>
      </c>
      <c r="B395" s="0" t="n">
        <v>25918</v>
      </c>
      <c r="C395" s="0" t="n">
        <v>3</v>
      </c>
      <c r="D395" s="0" t="inlineStr">
        <is>
          <t>대원칸타빌2단지</t>
        </is>
      </c>
      <c r="E395" s="0" t="inlineStr">
        <is>
          <t>2007.04.</t>
        </is>
      </c>
      <c r="F395" s="0" t="n">
        <v>518</v>
      </c>
      <c r="G395" s="0" t="n">
        <v>34.84</v>
      </c>
      <c r="H395" s="0" t="n">
        <v>115.2</v>
      </c>
      <c r="I395" s="0" t="n">
        <v>25.7</v>
      </c>
      <c r="J395" s="0" t="n">
        <v>84.98999999999999</v>
      </c>
      <c r="K395" s="0" t="n">
        <v>34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115B</t>
        </is>
      </c>
      <c r="X395" s="0" t="n">
        <v>14</v>
      </c>
      <c r="Y395" s="0" t="n">
        <v>11</v>
      </c>
      <c r="Z395" s="0" t="inlineStr">
        <is>
          <t>https://new.land.naver.com/complexes/25918?tab=detail&amp;rf=Y</t>
        </is>
      </c>
      <c r="AA395" s="0" t="inlineStr">
        <is>
          <t>충청북도 청주시 서원구 산남동 1100</t>
        </is>
      </c>
      <c r="AB395" s="0" t="inlineStr">
        <is>
          <t>충청북도</t>
        </is>
      </c>
      <c r="AC395" s="0" t="inlineStr">
        <is>
          <t>청주시</t>
        </is>
      </c>
      <c r="AD395" s="0" t="inlineStr">
        <is>
          <t>서원구</t>
        </is>
      </c>
      <c r="AE395" s="0" t="inlineStr">
        <is>
          <t>산남동</t>
        </is>
      </c>
      <c r="AG395" s="0" t="inlineStr">
        <is>
          <t>충청북도 청주시 서원구 산미로 143</t>
        </is>
      </c>
      <c r="AH395" s="0" t="n">
        <v>0</v>
      </c>
      <c r="AI395" s="0" t="n">
        <v>192</v>
      </c>
      <c r="AJ395" s="0" t="n">
        <v>0</v>
      </c>
      <c r="AK395" s="0" t="n">
        <v>674</v>
      </c>
      <c r="AL395" s="0" t="n">
        <v>1.3</v>
      </c>
    </row>
    <row r="396">
      <c r="A396" s="0" t="inlineStr">
        <is>
          <t>[성화동]</t>
        </is>
      </c>
      <c r="B396" s="0" t="n">
        <v>26806</v>
      </c>
      <c r="C396" s="0" t="n">
        <v>1</v>
      </c>
      <c r="D396" s="0" t="inlineStr">
        <is>
          <t>구룡산휴먼시아3단지</t>
        </is>
      </c>
      <c r="E396" s="0" t="inlineStr">
        <is>
          <t>2009.05.</t>
        </is>
      </c>
      <c r="F396" s="0" t="n">
        <v>470</v>
      </c>
      <c r="G396" s="0" t="n">
        <v>32.17</v>
      </c>
      <c r="H396" s="0" t="n">
        <v>106.38</v>
      </c>
      <c r="I396" s="0" t="n">
        <v>25.63</v>
      </c>
      <c r="J396" s="0" t="n">
        <v>84.73</v>
      </c>
      <c r="K396" s="0" t="n">
        <v>442</v>
      </c>
      <c r="T396" s="0" t="n">
        <v>3</v>
      </c>
      <c r="U396" s="0" t="n">
        <v>2</v>
      </c>
      <c r="V396" s="0" t="inlineStr">
        <is>
          <t>계단식</t>
        </is>
      </c>
      <c r="W396" s="0" t="inlineStr">
        <is>
          <t>106A</t>
        </is>
      </c>
      <c r="X396" s="0" t="n">
        <v>15</v>
      </c>
      <c r="Y396" s="0" t="n">
        <v>10</v>
      </c>
      <c r="Z396" s="0" t="inlineStr">
        <is>
          <t>https://new.land.naver.com/complexes/26806?tab=detail&amp;rf=Y</t>
        </is>
      </c>
      <c r="AA396" s="0" t="inlineStr">
        <is>
          <t>충청북도 청주시 서원구 성화동 616</t>
        </is>
      </c>
      <c r="AB396" s="0" t="inlineStr">
        <is>
          <t>충청북도</t>
        </is>
      </c>
      <c r="AC396" s="0" t="inlineStr">
        <is>
          <t>청주시</t>
        </is>
      </c>
      <c r="AD396" s="0" t="inlineStr">
        <is>
          <t>서원구</t>
        </is>
      </c>
      <c r="AE396" s="0" t="inlineStr">
        <is>
          <t>성화동</t>
        </is>
      </c>
      <c r="AG396" s="0" t="inlineStr">
        <is>
          <t>충청북도 청주시 서원구 신성화로 8</t>
        </is>
      </c>
      <c r="AH396" s="0" t="n">
        <v>0</v>
      </c>
      <c r="AI396" s="0" t="n">
        <v>145</v>
      </c>
      <c r="AJ396" s="0" t="n">
        <v>15</v>
      </c>
      <c r="AK396" s="0" t="n">
        <v>545</v>
      </c>
      <c r="AL396" s="0" t="n">
        <v>1.16</v>
      </c>
    </row>
    <row r="397">
      <c r="A397" s="0" t="inlineStr">
        <is>
          <t>[성화동]</t>
        </is>
      </c>
      <c r="B397" s="0" t="n">
        <v>26806</v>
      </c>
      <c r="C397" s="0" t="n">
        <v>2</v>
      </c>
      <c r="D397" s="0" t="inlineStr">
        <is>
          <t>구룡산휴먼시아3단지</t>
        </is>
      </c>
      <c r="E397" s="0" t="inlineStr">
        <is>
          <t>2009.05.</t>
        </is>
      </c>
      <c r="F397" s="0" t="n">
        <v>470</v>
      </c>
      <c r="G397" s="0" t="n">
        <v>32.25</v>
      </c>
      <c r="H397" s="0" t="n">
        <v>106.62</v>
      </c>
      <c r="I397" s="0" t="n">
        <v>25.68</v>
      </c>
      <c r="J397" s="0" t="n">
        <v>84.92</v>
      </c>
      <c r="K397" s="0" t="n">
        <v>28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106B</t>
        </is>
      </c>
      <c r="X397" s="0" t="n">
        <v>15</v>
      </c>
      <c r="Y397" s="0" t="n">
        <v>10</v>
      </c>
      <c r="Z397" s="0" t="inlineStr">
        <is>
          <t>https://new.land.naver.com/complexes/26806?tab=detail&amp;rf=Y</t>
        </is>
      </c>
      <c r="AA397" s="0" t="inlineStr">
        <is>
          <t>충청북도 청주시 서원구 성화동 616</t>
        </is>
      </c>
      <c r="AB397" s="0" t="inlineStr">
        <is>
          <t>충청북도</t>
        </is>
      </c>
      <c r="AC397" s="0" t="inlineStr">
        <is>
          <t>청주시</t>
        </is>
      </c>
      <c r="AD397" s="0" t="inlineStr">
        <is>
          <t>서원구</t>
        </is>
      </c>
      <c r="AE397" s="0" t="inlineStr">
        <is>
          <t>성화동</t>
        </is>
      </c>
      <c r="AG397" s="0" t="inlineStr">
        <is>
          <t>충청북도 청주시 서원구 신성화로 8</t>
        </is>
      </c>
      <c r="AH397" s="0" t="n">
        <v>0</v>
      </c>
      <c r="AI397" s="0" t="n">
        <v>145</v>
      </c>
      <c r="AJ397" s="0" t="n">
        <v>15</v>
      </c>
      <c r="AK397" s="0" t="n">
        <v>545</v>
      </c>
      <c r="AL397" s="0" t="n">
        <v>1.16</v>
      </c>
    </row>
    <row r="398">
      <c r="A398" s="0" t="inlineStr">
        <is>
          <t>[성화동]</t>
        </is>
      </c>
      <c r="B398" s="0" t="n">
        <v>26188</v>
      </c>
      <c r="C398" s="0" t="n">
        <v>1</v>
      </c>
      <c r="D398" s="0" t="inlineStr">
        <is>
          <t>남양휴튼</t>
        </is>
      </c>
      <c r="E398" s="0" t="inlineStr">
        <is>
          <t>2008.08.</t>
        </is>
      </c>
      <c r="F398" s="0" t="n">
        <v>577</v>
      </c>
      <c r="G398" s="0" t="n">
        <v>39.29</v>
      </c>
      <c r="H398" s="0" t="n">
        <v>129.91</v>
      </c>
      <c r="I398" s="0" t="n">
        <v>31</v>
      </c>
      <c r="J398" s="0" t="n">
        <v>102.48</v>
      </c>
      <c r="K398" s="0" t="n">
        <v>168</v>
      </c>
      <c r="T398" s="0" t="n">
        <v>3</v>
      </c>
      <c r="U398" s="0" t="n">
        <v>2</v>
      </c>
      <c r="V398" s="0" t="inlineStr">
        <is>
          <t>계단식</t>
        </is>
      </c>
      <c r="W398" s="0" t="n">
        <v>129</v>
      </c>
      <c r="X398" s="0" t="n">
        <v>20</v>
      </c>
      <c r="Y398" s="0" t="n">
        <v>16</v>
      </c>
      <c r="Z398" s="0" t="inlineStr">
        <is>
          <t>https://new.land.naver.com/complexes/26188?tab=detail&amp;rf=Y</t>
        </is>
      </c>
      <c r="AA398" s="0" t="inlineStr">
        <is>
          <t>충청북도 청주시 서원구 성화동 436</t>
        </is>
      </c>
      <c r="AB398" s="0" t="inlineStr">
        <is>
          <t>충청북도</t>
        </is>
      </c>
      <c r="AC398" s="0" t="inlineStr">
        <is>
          <t>청주시</t>
        </is>
      </c>
      <c r="AD398" s="0" t="inlineStr">
        <is>
          <t>서원구</t>
        </is>
      </c>
      <c r="AE398" s="0" t="inlineStr">
        <is>
          <t>성화동</t>
        </is>
      </c>
      <c r="AG398" s="0" t="inlineStr">
        <is>
          <t>충청북도 청주시 서원구 장전로 51</t>
        </is>
      </c>
      <c r="AH398" s="0" t="n">
        <v>0</v>
      </c>
      <c r="AI398" s="0" t="n">
        <v>219</v>
      </c>
      <c r="AJ398" s="0" t="n">
        <v>18</v>
      </c>
      <c r="AK398" s="0" t="n">
        <v>961</v>
      </c>
      <c r="AL398" s="0" t="n">
        <v>1.67</v>
      </c>
    </row>
    <row r="399">
      <c r="A399" s="0" t="inlineStr">
        <is>
          <t>[성화동]</t>
        </is>
      </c>
      <c r="B399" s="0" t="n">
        <v>26188</v>
      </c>
      <c r="C399" s="0" t="n">
        <v>2</v>
      </c>
      <c r="D399" s="0" t="inlineStr">
        <is>
          <t>남양휴튼</t>
        </is>
      </c>
      <c r="E399" s="0" t="inlineStr">
        <is>
          <t>2008.08.</t>
        </is>
      </c>
      <c r="F399" s="0" t="n">
        <v>577</v>
      </c>
      <c r="G399" s="0" t="n">
        <v>44.19</v>
      </c>
      <c r="H399" s="0" t="n">
        <v>146.09</v>
      </c>
      <c r="I399" s="0" t="n">
        <v>36.07</v>
      </c>
      <c r="J399" s="0" t="n">
        <v>119.26</v>
      </c>
      <c r="K399" s="0" t="n">
        <v>116</v>
      </c>
      <c r="T399" s="0" t="n">
        <v>4</v>
      </c>
      <c r="U399" s="0" t="n">
        <v>2</v>
      </c>
      <c r="V399" s="0" t="inlineStr">
        <is>
          <t>계단식</t>
        </is>
      </c>
      <c r="W399" s="0" t="inlineStr">
        <is>
          <t>146B</t>
        </is>
      </c>
      <c r="X399" s="0" t="n">
        <v>20</v>
      </c>
      <c r="Y399" s="0" t="n">
        <v>16</v>
      </c>
      <c r="Z399" s="0" t="inlineStr">
        <is>
          <t>https://new.land.naver.com/complexes/26188?tab=detail&amp;rf=Y</t>
        </is>
      </c>
      <c r="AA399" s="0" t="inlineStr">
        <is>
          <t>충청북도 청주시 서원구 성화동 436</t>
        </is>
      </c>
      <c r="AB399" s="0" t="inlineStr">
        <is>
          <t>충청북도</t>
        </is>
      </c>
      <c r="AC399" s="0" t="inlineStr">
        <is>
          <t>청주시</t>
        </is>
      </c>
      <c r="AD399" s="0" t="inlineStr">
        <is>
          <t>서원구</t>
        </is>
      </c>
      <c r="AE399" s="0" t="inlineStr">
        <is>
          <t>성화동</t>
        </is>
      </c>
      <c r="AG399" s="0" t="inlineStr">
        <is>
          <t>충청북도 청주시 서원구 장전로 51</t>
        </is>
      </c>
      <c r="AH399" s="0" t="n">
        <v>0</v>
      </c>
      <c r="AI399" s="0" t="n">
        <v>219</v>
      </c>
      <c r="AJ399" s="0" t="n">
        <v>18</v>
      </c>
      <c r="AK399" s="0" t="n">
        <v>961</v>
      </c>
      <c r="AL399" s="0" t="n">
        <v>1.67</v>
      </c>
    </row>
    <row r="400">
      <c r="A400" s="0" t="inlineStr">
        <is>
          <t>[성화동]</t>
        </is>
      </c>
      <c r="B400" s="0" t="n">
        <v>26188</v>
      </c>
      <c r="C400" s="0" t="n">
        <v>3</v>
      </c>
      <c r="D400" s="0" t="inlineStr">
        <is>
          <t>남양휴튼</t>
        </is>
      </c>
      <c r="E400" s="0" t="inlineStr">
        <is>
          <t>2008.08.</t>
        </is>
      </c>
      <c r="F400" s="0" t="n">
        <v>577</v>
      </c>
      <c r="G400" s="0" t="n">
        <v>44.25</v>
      </c>
      <c r="H400" s="0" t="n">
        <v>146.31</v>
      </c>
      <c r="I400" s="0" t="n">
        <v>36.23</v>
      </c>
      <c r="J400" s="0" t="n">
        <v>119.77</v>
      </c>
      <c r="K400" s="0" t="n">
        <v>59</v>
      </c>
      <c r="T400" s="0" t="n">
        <v>4</v>
      </c>
      <c r="U400" s="0" t="n">
        <v>2</v>
      </c>
      <c r="V400" s="0" t="inlineStr">
        <is>
          <t>계단식</t>
        </is>
      </c>
      <c r="W400" s="0" t="inlineStr">
        <is>
          <t>146A</t>
        </is>
      </c>
      <c r="X400" s="0" t="n">
        <v>20</v>
      </c>
      <c r="Y400" s="0" t="n">
        <v>16</v>
      </c>
      <c r="Z400" s="0" t="inlineStr">
        <is>
          <t>https://new.land.naver.com/complexes/26188?tab=detail&amp;rf=Y</t>
        </is>
      </c>
      <c r="AA400" s="0" t="inlineStr">
        <is>
          <t>충청북도 청주시 서원구 성화동 436</t>
        </is>
      </c>
      <c r="AB400" s="0" t="inlineStr">
        <is>
          <t>충청북도</t>
        </is>
      </c>
      <c r="AC400" s="0" t="inlineStr">
        <is>
          <t>청주시</t>
        </is>
      </c>
      <c r="AD400" s="0" t="inlineStr">
        <is>
          <t>서원구</t>
        </is>
      </c>
      <c r="AE400" s="0" t="inlineStr">
        <is>
          <t>성화동</t>
        </is>
      </c>
      <c r="AG400" s="0" t="inlineStr">
        <is>
          <t>충청북도 청주시 서원구 장전로 51</t>
        </is>
      </c>
      <c r="AH400" s="0" t="n">
        <v>0</v>
      </c>
      <c r="AI400" s="0" t="n">
        <v>219</v>
      </c>
      <c r="AJ400" s="0" t="n">
        <v>18</v>
      </c>
      <c r="AK400" s="0" t="n">
        <v>961</v>
      </c>
      <c r="AL400" s="0" t="n">
        <v>1.67</v>
      </c>
    </row>
    <row r="401">
      <c r="A401" s="0" t="inlineStr">
        <is>
          <t>[성화동]</t>
        </is>
      </c>
      <c r="B401" s="0" t="n">
        <v>26188</v>
      </c>
      <c r="C401" s="0" t="n">
        <v>4</v>
      </c>
      <c r="D401" s="0" t="inlineStr">
        <is>
          <t>남양휴튼</t>
        </is>
      </c>
      <c r="E401" s="0" t="inlineStr">
        <is>
          <t>2008.08.</t>
        </is>
      </c>
      <c r="F401" s="0" t="n">
        <v>577</v>
      </c>
      <c r="G401" s="0" t="n">
        <v>48.03</v>
      </c>
      <c r="H401" s="0" t="n">
        <v>158.78</v>
      </c>
      <c r="I401" s="0" t="n">
        <v>39.5</v>
      </c>
      <c r="J401" s="0" t="n">
        <v>130.59</v>
      </c>
      <c r="K401" s="0" t="n">
        <v>166</v>
      </c>
      <c r="T401" s="0" t="n">
        <v>4</v>
      </c>
      <c r="U401" s="0" t="n">
        <v>2</v>
      </c>
      <c r="V401" s="0" t="inlineStr">
        <is>
          <t>계단식</t>
        </is>
      </c>
      <c r="W401" s="0" t="n">
        <v>158</v>
      </c>
      <c r="X401" s="0" t="n">
        <v>20</v>
      </c>
      <c r="Y401" s="0" t="n">
        <v>16</v>
      </c>
      <c r="Z401" s="0" t="inlineStr">
        <is>
          <t>https://new.land.naver.com/complexes/26188?tab=detail&amp;rf=Y</t>
        </is>
      </c>
      <c r="AA401" s="0" t="inlineStr">
        <is>
          <t>충청북도 청주시 서원구 성화동 436</t>
        </is>
      </c>
      <c r="AB401" s="0" t="inlineStr">
        <is>
          <t>충청북도</t>
        </is>
      </c>
      <c r="AC401" s="0" t="inlineStr">
        <is>
          <t>청주시</t>
        </is>
      </c>
      <c r="AD401" s="0" t="inlineStr">
        <is>
          <t>서원구</t>
        </is>
      </c>
      <c r="AE401" s="0" t="inlineStr">
        <is>
          <t>성화동</t>
        </is>
      </c>
      <c r="AG401" s="0" t="inlineStr">
        <is>
          <t>충청북도 청주시 서원구 장전로 51</t>
        </is>
      </c>
      <c r="AH401" s="0" t="n">
        <v>0</v>
      </c>
      <c r="AI401" s="0" t="n">
        <v>219</v>
      </c>
      <c r="AJ401" s="0" t="n">
        <v>18</v>
      </c>
      <c r="AK401" s="0" t="n">
        <v>961</v>
      </c>
      <c r="AL401" s="0" t="n">
        <v>1.67</v>
      </c>
    </row>
    <row r="402">
      <c r="A402" s="0" t="inlineStr">
        <is>
          <t>[성화동]</t>
        </is>
      </c>
      <c r="B402" s="0" t="n">
        <v>26188</v>
      </c>
      <c r="C402" s="0" t="n">
        <v>5</v>
      </c>
      <c r="D402" s="0" t="inlineStr">
        <is>
          <t>남양휴튼</t>
        </is>
      </c>
      <c r="E402" s="0" t="inlineStr">
        <is>
          <t>2008.08.</t>
        </is>
      </c>
      <c r="F402" s="0" t="n">
        <v>577</v>
      </c>
      <c r="G402" s="0" t="n">
        <v>56.43</v>
      </c>
      <c r="H402" s="0" t="n">
        <v>186.56</v>
      </c>
      <c r="I402" s="0" t="n">
        <v>47.94</v>
      </c>
      <c r="J402" s="0" t="n">
        <v>158.48</v>
      </c>
      <c r="K402" s="0" t="n">
        <v>68</v>
      </c>
      <c r="T402" s="0" t="n">
        <v>4</v>
      </c>
      <c r="U402" s="0" t="n">
        <v>2</v>
      </c>
      <c r="V402" s="0" t="inlineStr">
        <is>
          <t>계단식</t>
        </is>
      </c>
      <c r="W402" s="0" t="n">
        <v>186</v>
      </c>
      <c r="X402" s="0" t="n">
        <v>20</v>
      </c>
      <c r="Y402" s="0" t="n">
        <v>16</v>
      </c>
      <c r="Z402" s="0" t="inlineStr">
        <is>
          <t>https://new.land.naver.com/complexes/26188?tab=detail&amp;rf=Y</t>
        </is>
      </c>
      <c r="AA402" s="0" t="inlineStr">
        <is>
          <t>충청북도 청주시 서원구 성화동 436</t>
        </is>
      </c>
      <c r="AB402" s="0" t="inlineStr">
        <is>
          <t>충청북도</t>
        </is>
      </c>
      <c r="AC402" s="0" t="inlineStr">
        <is>
          <t>청주시</t>
        </is>
      </c>
      <c r="AD402" s="0" t="inlineStr">
        <is>
          <t>서원구</t>
        </is>
      </c>
      <c r="AE402" s="0" t="inlineStr">
        <is>
          <t>성화동</t>
        </is>
      </c>
      <c r="AG402" s="0" t="inlineStr">
        <is>
          <t>충청북도 청주시 서원구 장전로 51</t>
        </is>
      </c>
      <c r="AH402" s="0" t="n">
        <v>0</v>
      </c>
      <c r="AI402" s="0" t="n">
        <v>219</v>
      </c>
      <c r="AJ402" s="0" t="n">
        <v>18</v>
      </c>
      <c r="AK402" s="0" t="n">
        <v>961</v>
      </c>
      <c r="AL402" s="0" t="n">
        <v>1.67</v>
      </c>
    </row>
    <row r="403">
      <c r="A403" s="0" t="inlineStr">
        <is>
          <t>[성화동]</t>
        </is>
      </c>
      <c r="B403" s="0" t="n">
        <v>103529</v>
      </c>
      <c r="C403" s="0" t="n">
        <v>1</v>
      </c>
      <c r="D403" s="0" t="inlineStr">
        <is>
          <t>청주성화2다안채6단지</t>
        </is>
      </c>
      <c r="E403" s="0" t="inlineStr">
        <is>
          <t>2013.02.</t>
        </is>
      </c>
      <c r="F403" s="0" t="n">
        <v>533</v>
      </c>
      <c r="G403" s="0" t="n">
        <v>33.56</v>
      </c>
      <c r="H403" s="0" t="n">
        <v>110.97</v>
      </c>
      <c r="I403" s="0" t="n">
        <v>25.7</v>
      </c>
      <c r="J403" s="0" t="n">
        <v>84.95999999999999</v>
      </c>
      <c r="K403" s="0" t="n">
        <v>57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110G</t>
        </is>
      </c>
      <c r="X403" s="0" t="n">
        <v>15</v>
      </c>
      <c r="Y403" s="0" t="n">
        <v>12</v>
      </c>
      <c r="Z403" s="0" t="inlineStr">
        <is>
          <t>https://new.land.naver.com/complexes/103529?tab=detail&amp;rf=Y</t>
        </is>
      </c>
      <c r="AA403" s="0" t="inlineStr">
        <is>
          <t>충청북도 청주시 서원구 성화동 1034</t>
        </is>
      </c>
      <c r="AB403" s="0" t="inlineStr">
        <is>
          <t>충청북도</t>
        </is>
      </c>
      <c r="AC403" s="0" t="inlineStr">
        <is>
          <t>청주시</t>
        </is>
      </c>
      <c r="AD403" s="0" t="inlineStr">
        <is>
          <t>서원구</t>
        </is>
      </c>
      <c r="AE403" s="0" t="inlineStr">
        <is>
          <t>성화동</t>
        </is>
      </c>
      <c r="AG403" s="0" t="inlineStr">
        <is>
          <t>충청북도 청주시 서원구 구룡산로52번길 51</t>
        </is>
      </c>
      <c r="AH403" s="0" t="n">
        <v>0</v>
      </c>
      <c r="AI403" s="0" t="n">
        <v>146</v>
      </c>
      <c r="AJ403" s="0" t="n">
        <v>15</v>
      </c>
      <c r="AK403" s="0" t="n">
        <v>810</v>
      </c>
      <c r="AL403" s="0" t="n">
        <v>1.52</v>
      </c>
    </row>
    <row r="404">
      <c r="A404" s="0" t="inlineStr">
        <is>
          <t>[성화동]</t>
        </is>
      </c>
      <c r="B404" s="0" t="n">
        <v>103529</v>
      </c>
      <c r="C404" s="0" t="n">
        <v>2</v>
      </c>
      <c r="D404" s="0" t="inlineStr">
        <is>
          <t>청주성화2다안채6단지</t>
        </is>
      </c>
      <c r="E404" s="0" t="inlineStr">
        <is>
          <t>2013.02.</t>
        </is>
      </c>
      <c r="F404" s="0" t="n">
        <v>533</v>
      </c>
      <c r="G404" s="0" t="n">
        <v>33.68</v>
      </c>
      <c r="H404" s="0" t="n">
        <v>111.35</v>
      </c>
      <c r="I404" s="0" t="n">
        <v>25.7</v>
      </c>
      <c r="J404" s="0" t="n">
        <v>84.95999999999999</v>
      </c>
      <c r="K404" s="0" t="n">
        <v>161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111D</t>
        </is>
      </c>
      <c r="X404" s="0" t="n">
        <v>15</v>
      </c>
      <c r="Y404" s="0" t="n">
        <v>12</v>
      </c>
      <c r="Z404" s="0" t="inlineStr">
        <is>
          <t>https://new.land.naver.com/complexes/103529?tab=detail&amp;rf=Y</t>
        </is>
      </c>
      <c r="AA404" s="0" t="inlineStr">
        <is>
          <t>충청북도 청주시 서원구 성화동 1034</t>
        </is>
      </c>
      <c r="AB404" s="0" t="inlineStr">
        <is>
          <t>충청북도</t>
        </is>
      </c>
      <c r="AC404" s="0" t="inlineStr">
        <is>
          <t>청주시</t>
        </is>
      </c>
      <c r="AD404" s="0" t="inlineStr">
        <is>
          <t>서원구</t>
        </is>
      </c>
      <c r="AE404" s="0" t="inlineStr">
        <is>
          <t>성화동</t>
        </is>
      </c>
      <c r="AG404" s="0" t="inlineStr">
        <is>
          <t>충청북도 청주시 서원구 구룡산로52번길 51</t>
        </is>
      </c>
      <c r="AH404" s="0" t="n">
        <v>0</v>
      </c>
      <c r="AI404" s="0" t="n">
        <v>146</v>
      </c>
      <c r="AJ404" s="0" t="n">
        <v>15</v>
      </c>
      <c r="AK404" s="0" t="n">
        <v>810</v>
      </c>
      <c r="AL404" s="0" t="n">
        <v>1.52</v>
      </c>
    </row>
    <row r="405">
      <c r="A405" s="0" t="inlineStr">
        <is>
          <t>[성화동]</t>
        </is>
      </c>
      <c r="B405" s="0" t="n">
        <v>103529</v>
      </c>
      <c r="C405" s="0" t="n">
        <v>3</v>
      </c>
      <c r="D405" s="0" t="inlineStr">
        <is>
          <t>청주성화2다안채6단지</t>
        </is>
      </c>
      <c r="E405" s="0" t="inlineStr">
        <is>
          <t>2013.02.</t>
        </is>
      </c>
      <c r="F405" s="0" t="n">
        <v>533</v>
      </c>
      <c r="G405" s="0" t="n">
        <v>33.67</v>
      </c>
      <c r="H405" s="0" t="n">
        <v>111.32</v>
      </c>
      <c r="I405" s="0" t="n">
        <v>25.7</v>
      </c>
      <c r="J405" s="0" t="n">
        <v>84.95999999999999</v>
      </c>
      <c r="K405" s="0" t="n">
        <v>97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111F</t>
        </is>
      </c>
      <c r="X405" s="0" t="n">
        <v>15</v>
      </c>
      <c r="Y405" s="0" t="n">
        <v>12</v>
      </c>
      <c r="Z405" s="0" t="inlineStr">
        <is>
          <t>https://new.land.naver.com/complexes/103529?tab=detail&amp;rf=Y</t>
        </is>
      </c>
      <c r="AA405" s="0" t="inlineStr">
        <is>
          <t>충청북도 청주시 서원구 성화동 1034</t>
        </is>
      </c>
      <c r="AB405" s="0" t="inlineStr">
        <is>
          <t>충청북도</t>
        </is>
      </c>
      <c r="AC405" s="0" t="inlineStr">
        <is>
          <t>청주시</t>
        </is>
      </c>
      <c r="AD405" s="0" t="inlineStr">
        <is>
          <t>서원구</t>
        </is>
      </c>
      <c r="AE405" s="0" t="inlineStr">
        <is>
          <t>성화동</t>
        </is>
      </c>
      <c r="AG405" s="0" t="inlineStr">
        <is>
          <t>충청북도 청주시 서원구 구룡산로52번길 51</t>
        </is>
      </c>
      <c r="AH405" s="0" t="n">
        <v>0</v>
      </c>
      <c r="AI405" s="0" t="n">
        <v>146</v>
      </c>
      <c r="AJ405" s="0" t="n">
        <v>15</v>
      </c>
      <c r="AK405" s="0" t="n">
        <v>810</v>
      </c>
      <c r="AL405" s="0" t="n">
        <v>1.52</v>
      </c>
    </row>
    <row r="406">
      <c r="A406" s="0" t="inlineStr">
        <is>
          <t>[성화동]</t>
        </is>
      </c>
      <c r="B406" s="0" t="n">
        <v>103529</v>
      </c>
      <c r="C406" s="0" t="n">
        <v>4</v>
      </c>
      <c r="D406" s="0" t="inlineStr">
        <is>
          <t>청주성화2다안채6단지</t>
        </is>
      </c>
      <c r="E406" s="0" t="inlineStr">
        <is>
          <t>2013.02.</t>
        </is>
      </c>
      <c r="F406" s="0" t="n">
        <v>533</v>
      </c>
      <c r="G406" s="0" t="n">
        <v>33.77</v>
      </c>
      <c r="H406" s="0" t="n">
        <v>111.64</v>
      </c>
      <c r="I406" s="0" t="n">
        <v>25.7</v>
      </c>
      <c r="J406" s="0" t="n">
        <v>84.98</v>
      </c>
      <c r="K406" s="0" t="n">
        <v>51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111A</t>
        </is>
      </c>
      <c r="X406" s="0" t="n">
        <v>15</v>
      </c>
      <c r="Y406" s="0" t="n">
        <v>12</v>
      </c>
      <c r="Z406" s="0" t="inlineStr">
        <is>
          <t>https://new.land.naver.com/complexes/103529?tab=detail&amp;rf=Y</t>
        </is>
      </c>
      <c r="AA406" s="0" t="inlineStr">
        <is>
          <t>충청북도 청주시 서원구 성화동 1034</t>
        </is>
      </c>
      <c r="AB406" s="0" t="inlineStr">
        <is>
          <t>충청북도</t>
        </is>
      </c>
      <c r="AC406" s="0" t="inlineStr">
        <is>
          <t>청주시</t>
        </is>
      </c>
      <c r="AD406" s="0" t="inlineStr">
        <is>
          <t>서원구</t>
        </is>
      </c>
      <c r="AE406" s="0" t="inlineStr">
        <is>
          <t>성화동</t>
        </is>
      </c>
      <c r="AG406" s="0" t="inlineStr">
        <is>
          <t>충청북도 청주시 서원구 구룡산로52번길 51</t>
        </is>
      </c>
      <c r="AH406" s="0" t="n">
        <v>0</v>
      </c>
      <c r="AI406" s="0" t="n">
        <v>146</v>
      </c>
      <c r="AJ406" s="0" t="n">
        <v>15</v>
      </c>
      <c r="AK406" s="0" t="n">
        <v>810</v>
      </c>
      <c r="AL406" s="0" t="n">
        <v>1.52</v>
      </c>
    </row>
    <row r="407">
      <c r="A407" s="0" t="inlineStr">
        <is>
          <t>[성화동]</t>
        </is>
      </c>
      <c r="B407" s="0" t="n">
        <v>103529</v>
      </c>
      <c r="C407" s="0" t="n">
        <v>5</v>
      </c>
      <c r="D407" s="0" t="inlineStr">
        <is>
          <t>청주성화2다안채6단지</t>
        </is>
      </c>
      <c r="E407" s="0" t="inlineStr">
        <is>
          <t>2013.02.</t>
        </is>
      </c>
      <c r="F407" s="0" t="n">
        <v>533</v>
      </c>
      <c r="G407" s="0" t="n">
        <v>33.59</v>
      </c>
      <c r="H407" s="0" t="n">
        <v>111.05</v>
      </c>
      <c r="I407" s="0" t="n">
        <v>25.67</v>
      </c>
      <c r="J407" s="0" t="n">
        <v>84.88</v>
      </c>
      <c r="K407" s="0" t="n">
        <v>42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111B</t>
        </is>
      </c>
      <c r="X407" s="0" t="n">
        <v>15</v>
      </c>
      <c r="Y407" s="0" t="n">
        <v>12</v>
      </c>
      <c r="Z407" s="0" t="inlineStr">
        <is>
          <t>https://new.land.naver.com/complexes/103529?tab=detail&amp;rf=Y</t>
        </is>
      </c>
      <c r="AA407" s="0" t="inlineStr">
        <is>
          <t>충청북도 청주시 서원구 성화동 1034</t>
        </is>
      </c>
      <c r="AB407" s="0" t="inlineStr">
        <is>
          <t>충청북도</t>
        </is>
      </c>
      <c r="AC407" s="0" t="inlineStr">
        <is>
          <t>청주시</t>
        </is>
      </c>
      <c r="AD407" s="0" t="inlineStr">
        <is>
          <t>서원구</t>
        </is>
      </c>
      <c r="AE407" s="0" t="inlineStr">
        <is>
          <t>성화동</t>
        </is>
      </c>
      <c r="AG407" s="0" t="inlineStr">
        <is>
          <t>충청북도 청주시 서원구 구룡산로52번길 51</t>
        </is>
      </c>
      <c r="AH407" s="0" t="n">
        <v>0</v>
      </c>
      <c r="AI407" s="0" t="n">
        <v>146</v>
      </c>
      <c r="AJ407" s="0" t="n">
        <v>15</v>
      </c>
      <c r="AK407" s="0" t="n">
        <v>810</v>
      </c>
      <c r="AL407" s="0" t="n">
        <v>1.52</v>
      </c>
    </row>
    <row r="408">
      <c r="A408" s="0" t="inlineStr">
        <is>
          <t>[성화동]</t>
        </is>
      </c>
      <c r="B408" s="0" t="n">
        <v>103529</v>
      </c>
      <c r="C408" s="0" t="n">
        <v>6</v>
      </c>
      <c r="D408" s="0" t="inlineStr">
        <is>
          <t>청주성화2다안채6단지</t>
        </is>
      </c>
      <c r="E408" s="0" t="inlineStr">
        <is>
          <t>2013.02.</t>
        </is>
      </c>
      <c r="F408" s="0" t="n">
        <v>533</v>
      </c>
      <c r="G408" s="0" t="n">
        <v>33.76</v>
      </c>
      <c r="H408" s="0" t="n">
        <v>111.61</v>
      </c>
      <c r="I408" s="0" t="n">
        <v>25.7</v>
      </c>
      <c r="J408" s="0" t="n">
        <v>84.97</v>
      </c>
      <c r="K408" s="0" t="n">
        <v>15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111C</t>
        </is>
      </c>
      <c r="X408" s="0" t="n">
        <v>15</v>
      </c>
      <c r="Y408" s="0" t="n">
        <v>12</v>
      </c>
      <c r="Z408" s="0" t="inlineStr">
        <is>
          <t>https://new.land.naver.com/complexes/103529?tab=detail&amp;rf=Y</t>
        </is>
      </c>
      <c r="AA408" s="0" t="inlineStr">
        <is>
          <t>충청북도 청주시 서원구 성화동 1034</t>
        </is>
      </c>
      <c r="AB408" s="0" t="inlineStr">
        <is>
          <t>충청북도</t>
        </is>
      </c>
      <c r="AC408" s="0" t="inlineStr">
        <is>
          <t>청주시</t>
        </is>
      </c>
      <c r="AD408" s="0" t="inlineStr">
        <is>
          <t>서원구</t>
        </is>
      </c>
      <c r="AE408" s="0" t="inlineStr">
        <is>
          <t>성화동</t>
        </is>
      </c>
      <c r="AG408" s="0" t="inlineStr">
        <is>
          <t>충청북도 청주시 서원구 구룡산로52번길 51</t>
        </is>
      </c>
      <c r="AH408" s="0" t="n">
        <v>0</v>
      </c>
      <c r="AI408" s="0" t="n">
        <v>146</v>
      </c>
      <c r="AJ408" s="0" t="n">
        <v>15</v>
      </c>
      <c r="AK408" s="0" t="n">
        <v>810</v>
      </c>
      <c r="AL408" s="0" t="n">
        <v>1.52</v>
      </c>
    </row>
    <row r="409">
      <c r="A409" s="0" t="inlineStr">
        <is>
          <t>[성화동]</t>
        </is>
      </c>
      <c r="B409" s="0" t="n">
        <v>103529</v>
      </c>
      <c r="C409" s="0" t="n">
        <v>7</v>
      </c>
      <c r="D409" s="0" t="inlineStr">
        <is>
          <t>청주성화2다안채6단지</t>
        </is>
      </c>
      <c r="E409" s="0" t="inlineStr">
        <is>
          <t>2013.02.</t>
        </is>
      </c>
      <c r="F409" s="0" t="n">
        <v>533</v>
      </c>
      <c r="G409" s="0" t="n">
        <v>33.69</v>
      </c>
      <c r="H409" s="0" t="n">
        <v>111.38</v>
      </c>
      <c r="I409" s="0" t="n">
        <v>25.7</v>
      </c>
      <c r="J409" s="0" t="n">
        <v>84.95999999999999</v>
      </c>
      <c r="K409" s="0" t="n">
        <v>1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111N</t>
        </is>
      </c>
      <c r="X409" s="0" t="n">
        <v>15</v>
      </c>
      <c r="Y409" s="0" t="n">
        <v>12</v>
      </c>
      <c r="Z409" s="0" t="inlineStr">
        <is>
          <t>https://new.land.naver.com/complexes/103529?tab=detail&amp;rf=Y</t>
        </is>
      </c>
      <c r="AA409" s="0" t="inlineStr">
        <is>
          <t>충청북도 청주시 서원구 성화동 1034</t>
        </is>
      </c>
      <c r="AB409" s="0" t="inlineStr">
        <is>
          <t>충청북도</t>
        </is>
      </c>
      <c r="AC409" s="0" t="inlineStr">
        <is>
          <t>청주시</t>
        </is>
      </c>
      <c r="AD409" s="0" t="inlineStr">
        <is>
          <t>서원구</t>
        </is>
      </c>
      <c r="AE409" s="0" t="inlineStr">
        <is>
          <t>성화동</t>
        </is>
      </c>
      <c r="AG409" s="0" t="inlineStr">
        <is>
          <t>충청북도 청주시 서원구 구룡산로52번길 51</t>
        </is>
      </c>
      <c r="AH409" s="0" t="n">
        <v>0</v>
      </c>
      <c r="AI409" s="0" t="n">
        <v>146</v>
      </c>
      <c r="AJ409" s="0" t="n">
        <v>15</v>
      </c>
      <c r="AK409" s="0" t="n">
        <v>810</v>
      </c>
      <c r="AL409" s="0" t="n">
        <v>1.52</v>
      </c>
    </row>
    <row r="410">
      <c r="A410" s="0" t="inlineStr">
        <is>
          <t>[성화동]</t>
        </is>
      </c>
      <c r="B410" s="0" t="n">
        <v>103529</v>
      </c>
      <c r="C410" s="0" t="n">
        <v>8</v>
      </c>
      <c r="D410" s="0" t="inlineStr">
        <is>
          <t>청주성화2다안채6단지</t>
        </is>
      </c>
      <c r="E410" s="0" t="inlineStr">
        <is>
          <t>2013.02.</t>
        </is>
      </c>
      <c r="F410" s="0" t="n">
        <v>533</v>
      </c>
      <c r="G410" s="0" t="n">
        <v>33.92</v>
      </c>
      <c r="H410" s="0" t="n">
        <v>112.16</v>
      </c>
      <c r="I410" s="0" t="n">
        <v>25.69</v>
      </c>
      <c r="J410" s="0" t="n">
        <v>84.93000000000001</v>
      </c>
      <c r="K410" s="0" t="n">
        <v>102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112E</t>
        </is>
      </c>
      <c r="X410" s="0" t="n">
        <v>15</v>
      </c>
      <c r="Y410" s="0" t="n">
        <v>12</v>
      </c>
      <c r="Z410" s="0" t="inlineStr">
        <is>
          <t>https://new.land.naver.com/complexes/103529?tab=detail&amp;rf=Y</t>
        </is>
      </c>
      <c r="AA410" s="0" t="inlineStr">
        <is>
          <t>충청북도 청주시 서원구 성화동 1034</t>
        </is>
      </c>
      <c r="AB410" s="0" t="inlineStr">
        <is>
          <t>충청북도</t>
        </is>
      </c>
      <c r="AC410" s="0" t="inlineStr">
        <is>
          <t>청주시</t>
        </is>
      </c>
      <c r="AD410" s="0" t="inlineStr">
        <is>
          <t>서원구</t>
        </is>
      </c>
      <c r="AE410" s="0" t="inlineStr">
        <is>
          <t>성화동</t>
        </is>
      </c>
      <c r="AG410" s="0" t="inlineStr">
        <is>
          <t>충청북도 청주시 서원구 구룡산로52번길 51</t>
        </is>
      </c>
      <c r="AH410" s="0" t="n">
        <v>0</v>
      </c>
      <c r="AI410" s="0" t="n">
        <v>146</v>
      </c>
      <c r="AJ410" s="0" t="n">
        <v>15</v>
      </c>
      <c r="AK410" s="0" t="n">
        <v>810</v>
      </c>
      <c r="AL410" s="0" t="n">
        <v>1.52</v>
      </c>
    </row>
    <row r="411">
      <c r="A411" s="0" t="inlineStr">
        <is>
          <t>[성화동]</t>
        </is>
      </c>
      <c r="B411" s="0" t="n">
        <v>103529</v>
      </c>
      <c r="C411" s="0" t="n">
        <v>9</v>
      </c>
      <c r="D411" s="0" t="inlineStr">
        <is>
          <t>청주성화2다안채6단지</t>
        </is>
      </c>
      <c r="E411" s="0" t="inlineStr">
        <is>
          <t>2013.02.</t>
        </is>
      </c>
      <c r="F411" s="0" t="n">
        <v>533</v>
      </c>
      <c r="G411" s="0" t="n">
        <v>34.58</v>
      </c>
      <c r="H411" s="0" t="n">
        <v>114.32</v>
      </c>
      <c r="I411" s="0" t="n">
        <v>25.7</v>
      </c>
      <c r="J411" s="0" t="n">
        <v>84.95999999999999</v>
      </c>
      <c r="K411" s="0" t="n">
        <v>7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114H</t>
        </is>
      </c>
      <c r="X411" s="0" t="n">
        <v>15</v>
      </c>
      <c r="Y411" s="0" t="n">
        <v>12</v>
      </c>
      <c r="Z411" s="0" t="inlineStr">
        <is>
          <t>https://new.land.naver.com/complexes/103529?tab=detail&amp;rf=Y</t>
        </is>
      </c>
      <c r="AA411" s="0" t="inlineStr">
        <is>
          <t>충청북도 청주시 서원구 성화동 1034</t>
        </is>
      </c>
      <c r="AB411" s="0" t="inlineStr">
        <is>
          <t>충청북도</t>
        </is>
      </c>
      <c r="AC411" s="0" t="inlineStr">
        <is>
          <t>청주시</t>
        </is>
      </c>
      <c r="AD411" s="0" t="inlineStr">
        <is>
          <t>서원구</t>
        </is>
      </c>
      <c r="AE411" s="0" t="inlineStr">
        <is>
          <t>성화동</t>
        </is>
      </c>
      <c r="AG411" s="0" t="inlineStr">
        <is>
          <t>충청북도 청주시 서원구 구룡산로52번길 51</t>
        </is>
      </c>
      <c r="AH411" s="0" t="n">
        <v>0</v>
      </c>
      <c r="AI411" s="0" t="n">
        <v>146</v>
      </c>
      <c r="AJ411" s="0" t="n">
        <v>15</v>
      </c>
      <c r="AK411" s="0" t="n">
        <v>810</v>
      </c>
      <c r="AL411" s="0" t="n">
        <v>1.52</v>
      </c>
    </row>
    <row r="412">
      <c r="A412" s="0" t="inlineStr">
        <is>
          <t>[성화동]</t>
        </is>
      </c>
      <c r="B412" s="0" t="n">
        <v>101838</v>
      </c>
      <c r="C412" s="0" t="n">
        <v>1</v>
      </c>
      <c r="D412" s="0" t="inlineStr">
        <is>
          <t>성화호반베르디움</t>
        </is>
      </c>
      <c r="E412" s="0" t="inlineStr">
        <is>
          <t>2012.06.</t>
        </is>
      </c>
      <c r="F412" s="0" t="n">
        <v>840</v>
      </c>
      <c r="G412" s="0" t="n">
        <v>33.27</v>
      </c>
      <c r="H412" s="0" t="n">
        <v>110.01</v>
      </c>
      <c r="I412" s="0" t="n">
        <v>25.66</v>
      </c>
      <c r="J412" s="0" t="n">
        <v>84.84999999999999</v>
      </c>
      <c r="K412" s="0" t="n">
        <v>646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110A</t>
        </is>
      </c>
      <c r="X412" s="0" t="n">
        <v>20</v>
      </c>
      <c r="Y412" s="0" t="n">
        <v>10</v>
      </c>
      <c r="Z412" s="0" t="inlineStr">
        <is>
          <t>https://new.land.naver.com/complexes/101838?tab=detail&amp;rf=Y</t>
        </is>
      </c>
      <c r="AA412" s="0" t="inlineStr">
        <is>
          <t>충청북도 청주시 서원구 성화동 939</t>
        </is>
      </c>
      <c r="AB412" s="0" t="inlineStr">
        <is>
          <t>충청북도</t>
        </is>
      </c>
      <c r="AC412" s="0" t="inlineStr">
        <is>
          <t>청주시</t>
        </is>
      </c>
      <c r="AD412" s="0" t="inlineStr">
        <is>
          <t>서원구</t>
        </is>
      </c>
      <c r="AE412" s="0" t="inlineStr">
        <is>
          <t>성화동</t>
        </is>
      </c>
      <c r="AG412" s="0" t="inlineStr">
        <is>
          <t>충청북도 청주시 서원구 구룡산로 24</t>
        </is>
      </c>
      <c r="AH412" s="0" t="n">
        <v>0</v>
      </c>
      <c r="AI412" s="0" t="n">
        <v>180</v>
      </c>
      <c r="AJ412" s="0" t="n">
        <v>16</v>
      </c>
      <c r="AK412" s="0" t="n">
        <v>1279</v>
      </c>
      <c r="AL412" s="0" t="n">
        <v>1.52</v>
      </c>
    </row>
    <row r="413">
      <c r="A413" s="0" t="inlineStr">
        <is>
          <t>[성화동]</t>
        </is>
      </c>
      <c r="B413" s="0" t="n">
        <v>101838</v>
      </c>
      <c r="C413" s="0" t="n">
        <v>2</v>
      </c>
      <c r="D413" s="0" t="inlineStr">
        <is>
          <t>성화호반베르디움</t>
        </is>
      </c>
      <c r="E413" s="0" t="inlineStr">
        <is>
          <t>2012.06.</t>
        </is>
      </c>
      <c r="F413" s="0" t="n">
        <v>840</v>
      </c>
      <c r="G413" s="0" t="n">
        <v>33.29</v>
      </c>
      <c r="H413" s="0" t="n">
        <v>110.06</v>
      </c>
      <c r="I413" s="0" t="n">
        <v>25.68</v>
      </c>
      <c r="J413" s="0" t="n">
        <v>84.91</v>
      </c>
      <c r="K413" s="0" t="n">
        <v>1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110A1</t>
        </is>
      </c>
      <c r="X413" s="0" t="n">
        <v>20</v>
      </c>
      <c r="Y413" s="0" t="n">
        <v>10</v>
      </c>
      <c r="Z413" s="0" t="inlineStr">
        <is>
          <t>https://new.land.naver.com/complexes/101838?tab=detail&amp;rf=Y</t>
        </is>
      </c>
      <c r="AA413" s="0" t="inlineStr">
        <is>
          <t>충청북도 청주시 서원구 성화동 939</t>
        </is>
      </c>
      <c r="AB413" s="0" t="inlineStr">
        <is>
          <t>충청북도</t>
        </is>
      </c>
      <c r="AC413" s="0" t="inlineStr">
        <is>
          <t>청주시</t>
        </is>
      </c>
      <c r="AD413" s="0" t="inlineStr">
        <is>
          <t>서원구</t>
        </is>
      </c>
      <c r="AE413" s="0" t="inlineStr">
        <is>
          <t>성화동</t>
        </is>
      </c>
      <c r="AG413" s="0" t="inlineStr">
        <is>
          <t>충청북도 청주시 서원구 구룡산로 24</t>
        </is>
      </c>
      <c r="AH413" s="0" t="n">
        <v>0</v>
      </c>
      <c r="AI413" s="0" t="n">
        <v>180</v>
      </c>
      <c r="AJ413" s="0" t="n">
        <v>16</v>
      </c>
      <c r="AK413" s="0" t="n">
        <v>1279</v>
      </c>
      <c r="AL413" s="0" t="n">
        <v>1.52</v>
      </c>
    </row>
    <row r="414">
      <c r="A414" s="0" t="inlineStr">
        <is>
          <t>[성화동]</t>
        </is>
      </c>
      <c r="B414" s="0" t="n">
        <v>101838</v>
      </c>
      <c r="C414" s="0" t="n">
        <v>3</v>
      </c>
      <c r="D414" s="0" t="inlineStr">
        <is>
          <t>성화호반베르디움</t>
        </is>
      </c>
      <c r="E414" s="0" t="inlineStr">
        <is>
          <t>2012.06.</t>
        </is>
      </c>
      <c r="F414" s="0" t="n">
        <v>840</v>
      </c>
      <c r="G414" s="0" t="n">
        <v>33.9</v>
      </c>
      <c r="H414" s="0" t="n">
        <v>112.08</v>
      </c>
      <c r="I414" s="0" t="n">
        <v>25.69</v>
      </c>
      <c r="J414" s="0" t="n">
        <v>84.95</v>
      </c>
      <c r="K414" s="0" t="n">
        <v>193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112</v>
      </c>
      <c r="X414" s="0" t="n">
        <v>20</v>
      </c>
      <c r="Y414" s="0" t="n">
        <v>10</v>
      </c>
      <c r="Z414" s="0" t="inlineStr">
        <is>
          <t>https://new.land.naver.com/complexes/101838?tab=detail&amp;rf=Y</t>
        </is>
      </c>
      <c r="AA414" s="0" t="inlineStr">
        <is>
          <t>충청북도 청주시 서원구 성화동 939</t>
        </is>
      </c>
      <c r="AB414" s="0" t="inlineStr">
        <is>
          <t>충청북도</t>
        </is>
      </c>
      <c r="AC414" s="0" t="inlineStr">
        <is>
          <t>청주시</t>
        </is>
      </c>
      <c r="AD414" s="0" t="inlineStr">
        <is>
          <t>서원구</t>
        </is>
      </c>
      <c r="AE414" s="0" t="inlineStr">
        <is>
          <t>성화동</t>
        </is>
      </c>
      <c r="AG414" s="0" t="inlineStr">
        <is>
          <t>충청북도 청주시 서원구 구룡산로 24</t>
        </is>
      </c>
      <c r="AH414" s="0" t="n">
        <v>0</v>
      </c>
      <c r="AI414" s="0" t="n">
        <v>180</v>
      </c>
      <c r="AJ414" s="0" t="n">
        <v>16</v>
      </c>
      <c r="AK414" s="0" t="n">
        <v>1279</v>
      </c>
      <c r="AL414" s="0" t="n">
        <v>1.52</v>
      </c>
    </row>
    <row r="415">
      <c r="A415" s="0" t="inlineStr">
        <is>
          <t>[수곡동]</t>
        </is>
      </c>
      <c r="B415" s="0" t="n">
        <v>120999</v>
      </c>
      <c r="C415" s="0" t="n">
        <v>1</v>
      </c>
      <c r="D415" s="0" t="inlineStr">
        <is>
          <t>더샵청주퍼스트파크</t>
        </is>
      </c>
      <c r="E415" s="0" t="inlineStr">
        <is>
          <t>2021.03.</t>
        </is>
      </c>
      <c r="F415" s="0" t="n">
        <v>1112</v>
      </c>
      <c r="G415" s="0" t="n">
        <v>25.24</v>
      </c>
      <c r="H415" s="0" t="n">
        <v>83.47</v>
      </c>
      <c r="I415" s="0" t="n">
        <v>19.33</v>
      </c>
      <c r="J415" s="0" t="n">
        <v>63.93</v>
      </c>
      <c r="K415" s="0" t="n">
        <v>216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83</v>
      </c>
      <c r="X415" s="0" t="n">
        <v>28</v>
      </c>
      <c r="Y415" s="0" t="n">
        <v>15</v>
      </c>
      <c r="Z415" s="0" t="inlineStr">
        <is>
          <t>https://new.land.naver.com/complexes/120999?tab=detail&amp;rf=Y</t>
        </is>
      </c>
      <c r="AA415" s="0" t="inlineStr">
        <is>
          <t>충청북도 청주시 서원구 수곡동 1057</t>
        </is>
      </c>
      <c r="AB415" s="0" t="inlineStr">
        <is>
          <t>충청북도</t>
        </is>
      </c>
      <c r="AC415" s="0" t="inlineStr">
        <is>
          <t>청주시</t>
        </is>
      </c>
      <c r="AD415" s="0" t="inlineStr">
        <is>
          <t>서원구</t>
        </is>
      </c>
      <c r="AE415" s="0" t="inlineStr">
        <is>
          <t>수곡동</t>
        </is>
      </c>
      <c r="AG415" s="0" t="inlineStr">
        <is>
          <t>충청북도 청주시 서원구 수곡로 20</t>
        </is>
      </c>
      <c r="AH415" s="0" t="n">
        <v>0</v>
      </c>
      <c r="AI415" s="0" t="n">
        <v>226</v>
      </c>
      <c r="AJ415" s="0" t="n">
        <v>17</v>
      </c>
      <c r="AK415" s="0" t="n">
        <v>0</v>
      </c>
      <c r="AL415" s="0" t="n">
        <v>0</v>
      </c>
    </row>
    <row r="416">
      <c r="A416" s="0" t="inlineStr">
        <is>
          <t>[수곡동]</t>
        </is>
      </c>
      <c r="B416" s="0" t="n">
        <v>120999</v>
      </c>
      <c r="C416" s="0" t="n">
        <v>2</v>
      </c>
      <c r="D416" s="0" t="inlineStr">
        <is>
          <t>더샵청주퍼스트파크</t>
        </is>
      </c>
      <c r="E416" s="0" t="inlineStr">
        <is>
          <t>2021.03.</t>
        </is>
      </c>
      <c r="F416" s="0" t="n">
        <v>1112</v>
      </c>
      <c r="G416" s="0" t="n">
        <v>30.48</v>
      </c>
      <c r="H416" s="0" t="n">
        <v>100.78</v>
      </c>
      <c r="I416" s="0" t="n">
        <v>23.28</v>
      </c>
      <c r="J416" s="0" t="n">
        <v>76.98999999999999</v>
      </c>
      <c r="K416" s="0" t="n">
        <v>146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100B</t>
        </is>
      </c>
      <c r="X416" s="0" t="n">
        <v>28</v>
      </c>
      <c r="Y416" s="0" t="n">
        <v>15</v>
      </c>
      <c r="Z416" s="0" t="inlineStr">
        <is>
          <t>https://new.land.naver.com/complexes/120999?tab=detail&amp;rf=Y</t>
        </is>
      </c>
      <c r="AA416" s="0" t="inlineStr">
        <is>
          <t>충청북도 청주시 서원구 수곡동 1057</t>
        </is>
      </c>
      <c r="AB416" s="0" t="inlineStr">
        <is>
          <t>충청북도</t>
        </is>
      </c>
      <c r="AC416" s="0" t="inlineStr">
        <is>
          <t>청주시</t>
        </is>
      </c>
      <c r="AD416" s="0" t="inlineStr">
        <is>
          <t>서원구</t>
        </is>
      </c>
      <c r="AE416" s="0" t="inlineStr">
        <is>
          <t>수곡동</t>
        </is>
      </c>
      <c r="AG416" s="0" t="inlineStr">
        <is>
          <t>충청북도 청주시 서원구 수곡로 20</t>
        </is>
      </c>
      <c r="AH416" s="0" t="n">
        <v>0</v>
      </c>
      <c r="AI416" s="0" t="n">
        <v>226</v>
      </c>
      <c r="AJ416" s="0" t="n">
        <v>17</v>
      </c>
      <c r="AK416" s="0" t="n">
        <v>0</v>
      </c>
      <c r="AL416" s="0" t="n">
        <v>0</v>
      </c>
    </row>
    <row r="417">
      <c r="A417" s="0" t="inlineStr">
        <is>
          <t>[수곡동]</t>
        </is>
      </c>
      <c r="B417" s="0" t="n">
        <v>120999</v>
      </c>
      <c r="C417" s="0" t="n">
        <v>3</v>
      </c>
      <c r="D417" s="0" t="inlineStr">
        <is>
          <t>더샵청주퍼스트파크</t>
        </is>
      </c>
      <c r="E417" s="0" t="inlineStr">
        <is>
          <t>2021.03.</t>
        </is>
      </c>
      <c r="F417" s="0" t="n">
        <v>1112</v>
      </c>
      <c r="G417" s="0" t="n">
        <v>30.51</v>
      </c>
      <c r="H417" s="0" t="n">
        <v>100.88</v>
      </c>
      <c r="I417" s="0" t="n">
        <v>23.28</v>
      </c>
      <c r="J417" s="0" t="n">
        <v>76.98</v>
      </c>
      <c r="K417" s="0" t="n">
        <v>138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100A</t>
        </is>
      </c>
      <c r="X417" s="0" t="n">
        <v>28</v>
      </c>
      <c r="Y417" s="0" t="n">
        <v>15</v>
      </c>
      <c r="Z417" s="0" t="inlineStr">
        <is>
          <t>https://new.land.naver.com/complexes/120999?tab=detail&amp;rf=Y</t>
        </is>
      </c>
      <c r="AA417" s="0" t="inlineStr">
        <is>
          <t>충청북도 청주시 서원구 수곡동 1057</t>
        </is>
      </c>
      <c r="AB417" s="0" t="inlineStr">
        <is>
          <t>충청북도</t>
        </is>
      </c>
      <c r="AC417" s="0" t="inlineStr">
        <is>
          <t>청주시</t>
        </is>
      </c>
      <c r="AD417" s="0" t="inlineStr">
        <is>
          <t>서원구</t>
        </is>
      </c>
      <c r="AE417" s="0" t="inlineStr">
        <is>
          <t>수곡동</t>
        </is>
      </c>
      <c r="AG417" s="0" t="inlineStr">
        <is>
          <t>충청북도 청주시 서원구 수곡로 20</t>
        </is>
      </c>
      <c r="AH417" s="0" t="n">
        <v>0</v>
      </c>
      <c r="AI417" s="0" t="n">
        <v>226</v>
      </c>
      <c r="AJ417" s="0" t="n">
        <v>17</v>
      </c>
      <c r="AK417" s="0" t="n">
        <v>0</v>
      </c>
      <c r="AL417" s="0" t="n">
        <v>0</v>
      </c>
    </row>
    <row r="418">
      <c r="A418" s="0" t="inlineStr">
        <is>
          <t>[수곡동]</t>
        </is>
      </c>
      <c r="B418" s="0" t="n">
        <v>120999</v>
      </c>
      <c r="C418" s="0" t="n">
        <v>4</v>
      </c>
      <c r="D418" s="0" t="inlineStr">
        <is>
          <t>더샵청주퍼스트파크</t>
        </is>
      </c>
      <c r="E418" s="0" t="inlineStr">
        <is>
          <t>2021.03.</t>
        </is>
      </c>
      <c r="F418" s="0" t="n">
        <v>1112</v>
      </c>
      <c r="G418" s="0" t="n">
        <v>33.29</v>
      </c>
      <c r="H418" s="0" t="n">
        <v>110.07</v>
      </c>
      <c r="I418" s="0" t="n">
        <v>25.7</v>
      </c>
      <c r="J418" s="0" t="n">
        <v>84.97</v>
      </c>
      <c r="K418" s="0" t="n">
        <v>385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110A</t>
        </is>
      </c>
      <c r="X418" s="0" t="n">
        <v>28</v>
      </c>
      <c r="Y418" s="0" t="n">
        <v>15</v>
      </c>
      <c r="Z418" s="0" t="inlineStr">
        <is>
          <t>https://new.land.naver.com/complexes/120999?tab=detail&amp;rf=Y</t>
        </is>
      </c>
      <c r="AA418" s="0" t="inlineStr">
        <is>
          <t>충청북도 청주시 서원구 수곡동 1057</t>
        </is>
      </c>
      <c r="AB418" s="0" t="inlineStr">
        <is>
          <t>충청북도</t>
        </is>
      </c>
      <c r="AC418" s="0" t="inlineStr">
        <is>
          <t>청주시</t>
        </is>
      </c>
      <c r="AD418" s="0" t="inlineStr">
        <is>
          <t>서원구</t>
        </is>
      </c>
      <c r="AE418" s="0" t="inlineStr">
        <is>
          <t>수곡동</t>
        </is>
      </c>
      <c r="AG418" s="0" t="inlineStr">
        <is>
          <t>충청북도 청주시 서원구 수곡로 20</t>
        </is>
      </c>
      <c r="AH418" s="0" t="n">
        <v>0</v>
      </c>
      <c r="AI418" s="0" t="n">
        <v>226</v>
      </c>
      <c r="AJ418" s="0" t="n">
        <v>17</v>
      </c>
      <c r="AK418" s="0" t="n">
        <v>0</v>
      </c>
      <c r="AL418" s="0" t="n">
        <v>0</v>
      </c>
    </row>
    <row r="419">
      <c r="A419" s="0" t="inlineStr">
        <is>
          <t>[수곡동]</t>
        </is>
      </c>
      <c r="B419" s="0" t="n">
        <v>120999</v>
      </c>
      <c r="C419" s="0" t="n">
        <v>5</v>
      </c>
      <c r="D419" s="0" t="inlineStr">
        <is>
          <t>더샵청주퍼스트파크</t>
        </is>
      </c>
      <c r="E419" s="0" t="inlineStr">
        <is>
          <t>2021.03.</t>
        </is>
      </c>
      <c r="F419" s="0" t="n">
        <v>1112</v>
      </c>
      <c r="G419" s="0" t="n">
        <v>33.45</v>
      </c>
      <c r="H419" s="0" t="n">
        <v>110.59</v>
      </c>
      <c r="I419" s="0" t="n">
        <v>25.7</v>
      </c>
      <c r="J419" s="0" t="n">
        <v>84.98</v>
      </c>
      <c r="K419" s="0" t="n">
        <v>83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110B</t>
        </is>
      </c>
      <c r="X419" s="0" t="n">
        <v>28</v>
      </c>
      <c r="Y419" s="0" t="n">
        <v>15</v>
      </c>
      <c r="Z419" s="0" t="inlineStr">
        <is>
          <t>https://new.land.naver.com/complexes/120999?tab=detail&amp;rf=Y</t>
        </is>
      </c>
      <c r="AA419" s="0" t="inlineStr">
        <is>
          <t>충청북도 청주시 서원구 수곡동 1057</t>
        </is>
      </c>
      <c r="AB419" s="0" t="inlineStr">
        <is>
          <t>충청북도</t>
        </is>
      </c>
      <c r="AC419" s="0" t="inlineStr">
        <is>
          <t>청주시</t>
        </is>
      </c>
      <c r="AD419" s="0" t="inlineStr">
        <is>
          <t>서원구</t>
        </is>
      </c>
      <c r="AE419" s="0" t="inlineStr">
        <is>
          <t>수곡동</t>
        </is>
      </c>
      <c r="AG419" s="0" t="inlineStr">
        <is>
          <t>충청북도 청주시 서원구 수곡로 20</t>
        </is>
      </c>
      <c r="AH419" s="0" t="n">
        <v>0</v>
      </c>
      <c r="AI419" s="0" t="n">
        <v>226</v>
      </c>
      <c r="AJ419" s="0" t="n">
        <v>17</v>
      </c>
      <c r="AK419" s="0" t="n">
        <v>0</v>
      </c>
      <c r="AL419" s="0" t="n">
        <v>0</v>
      </c>
    </row>
    <row r="420">
      <c r="A420" s="0" t="inlineStr">
        <is>
          <t>[수곡동]</t>
        </is>
      </c>
      <c r="B420" s="0" t="n">
        <v>120999</v>
      </c>
      <c r="C420" s="0" t="n">
        <v>6</v>
      </c>
      <c r="D420" s="0" t="inlineStr">
        <is>
          <t>더샵청주퍼스트파크</t>
        </is>
      </c>
      <c r="E420" s="0" t="inlineStr">
        <is>
          <t>2021.03.</t>
        </is>
      </c>
      <c r="F420" s="0" t="n">
        <v>1112</v>
      </c>
      <c r="G420" s="0" t="n">
        <v>33.32</v>
      </c>
      <c r="H420" s="0" t="n">
        <v>110.18</v>
      </c>
      <c r="I420" s="0" t="n">
        <v>25.7</v>
      </c>
      <c r="J420" s="0" t="n">
        <v>84.95999999999999</v>
      </c>
      <c r="K420" s="0" t="n">
        <v>80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110C</t>
        </is>
      </c>
      <c r="X420" s="0" t="n">
        <v>28</v>
      </c>
      <c r="Y420" s="0" t="n">
        <v>15</v>
      </c>
      <c r="Z420" s="0" t="inlineStr">
        <is>
          <t>https://new.land.naver.com/complexes/120999?tab=detail&amp;rf=Y</t>
        </is>
      </c>
      <c r="AA420" s="0" t="inlineStr">
        <is>
          <t>충청북도 청주시 서원구 수곡동 1057</t>
        </is>
      </c>
      <c r="AB420" s="0" t="inlineStr">
        <is>
          <t>충청북도</t>
        </is>
      </c>
      <c r="AC420" s="0" t="inlineStr">
        <is>
          <t>청주시</t>
        </is>
      </c>
      <c r="AD420" s="0" t="inlineStr">
        <is>
          <t>서원구</t>
        </is>
      </c>
      <c r="AE420" s="0" t="inlineStr">
        <is>
          <t>수곡동</t>
        </is>
      </c>
      <c r="AG420" s="0" t="inlineStr">
        <is>
          <t>충청북도 청주시 서원구 수곡로 20</t>
        </is>
      </c>
      <c r="AH420" s="0" t="n">
        <v>0</v>
      </c>
      <c r="AI420" s="0" t="n">
        <v>226</v>
      </c>
      <c r="AJ420" s="0" t="n">
        <v>17</v>
      </c>
      <c r="AK420" s="0" t="n">
        <v>0</v>
      </c>
      <c r="AL420" s="0" t="n">
        <v>0</v>
      </c>
    </row>
    <row r="421">
      <c r="A421" s="0" t="inlineStr">
        <is>
          <t>[수곡동]</t>
        </is>
      </c>
      <c r="B421" s="0" t="n">
        <v>120999</v>
      </c>
      <c r="C421" s="0" t="n">
        <v>7</v>
      </c>
      <c r="D421" s="0" t="inlineStr">
        <is>
          <t>더샵청주퍼스트파크</t>
        </is>
      </c>
      <c r="E421" s="0" t="inlineStr">
        <is>
          <t>2021.03.</t>
        </is>
      </c>
      <c r="F421" s="0" t="n">
        <v>1112</v>
      </c>
      <c r="G421" s="0" t="n">
        <v>39.61</v>
      </c>
      <c r="H421" s="0" t="n">
        <v>130.96</v>
      </c>
      <c r="I421" s="0" t="n">
        <v>30.85</v>
      </c>
      <c r="J421" s="0" t="n">
        <v>101.99</v>
      </c>
      <c r="K421" s="0" t="n">
        <v>54</v>
      </c>
      <c r="T421" s="0" t="n">
        <v>4</v>
      </c>
      <c r="U421" s="0" t="n">
        <v>2</v>
      </c>
      <c r="V421" s="0" t="inlineStr">
        <is>
          <t>계단식</t>
        </is>
      </c>
      <c r="W421" s="0" t="n">
        <v>130</v>
      </c>
      <c r="X421" s="0" t="n">
        <v>28</v>
      </c>
      <c r="Y421" s="0" t="n">
        <v>15</v>
      </c>
      <c r="Z421" s="0" t="inlineStr">
        <is>
          <t>https://new.land.naver.com/complexes/120999?tab=detail&amp;rf=Y</t>
        </is>
      </c>
      <c r="AA421" s="0" t="inlineStr">
        <is>
          <t>충청북도 청주시 서원구 수곡동 1057</t>
        </is>
      </c>
      <c r="AB421" s="0" t="inlineStr">
        <is>
          <t>충청북도</t>
        </is>
      </c>
      <c r="AC421" s="0" t="inlineStr">
        <is>
          <t>청주시</t>
        </is>
      </c>
      <c r="AD421" s="0" t="inlineStr">
        <is>
          <t>서원구</t>
        </is>
      </c>
      <c r="AE421" s="0" t="inlineStr">
        <is>
          <t>수곡동</t>
        </is>
      </c>
      <c r="AG421" s="0" t="inlineStr">
        <is>
          <t>충청북도 청주시 서원구 수곡로 20</t>
        </is>
      </c>
      <c r="AH421" s="0" t="n">
        <v>0</v>
      </c>
      <c r="AI421" s="0" t="n">
        <v>226</v>
      </c>
      <c r="AJ421" s="0" t="n">
        <v>17</v>
      </c>
      <c r="AK421" s="0" t="n">
        <v>0</v>
      </c>
      <c r="AL421" s="0" t="n">
        <v>0</v>
      </c>
    </row>
    <row r="422">
      <c r="A422" s="0" t="inlineStr">
        <is>
          <t>[수곡동]</t>
        </is>
      </c>
      <c r="B422" s="0" t="n">
        <v>120999</v>
      </c>
      <c r="C422" s="0" t="n">
        <v>8</v>
      </c>
      <c r="D422" s="0" t="inlineStr">
        <is>
          <t>더샵청주퍼스트파크</t>
        </is>
      </c>
      <c r="E422" s="0" t="inlineStr">
        <is>
          <t>2021.03.</t>
        </is>
      </c>
      <c r="F422" s="0" t="n">
        <v>1112</v>
      </c>
      <c r="G422" s="0" t="n">
        <v>48.46</v>
      </c>
      <c r="H422" s="0" t="n">
        <v>160.21</v>
      </c>
      <c r="I422" s="0" t="n">
        <v>31.14</v>
      </c>
      <c r="J422" s="0" t="n">
        <v>102.95</v>
      </c>
      <c r="K422" s="0" t="n">
        <v>6</v>
      </c>
      <c r="T422" s="0" t="n">
        <v>4</v>
      </c>
      <c r="U422" s="0" t="n">
        <v>2</v>
      </c>
      <c r="V422" s="0" t="inlineStr">
        <is>
          <t>계단식</t>
        </is>
      </c>
      <c r="W422" s="0" t="inlineStr">
        <is>
          <t>160T</t>
        </is>
      </c>
      <c r="X422" s="0" t="n">
        <v>28</v>
      </c>
      <c r="Y422" s="0" t="n">
        <v>15</v>
      </c>
      <c r="Z422" s="0" t="inlineStr">
        <is>
          <t>https://new.land.naver.com/complexes/120999?tab=detail&amp;rf=Y</t>
        </is>
      </c>
      <c r="AA422" s="0" t="inlineStr">
        <is>
          <t>충청북도 청주시 서원구 수곡동 1057</t>
        </is>
      </c>
      <c r="AB422" s="0" t="inlineStr">
        <is>
          <t>충청북도</t>
        </is>
      </c>
      <c r="AC422" s="0" t="inlineStr">
        <is>
          <t>청주시</t>
        </is>
      </c>
      <c r="AD422" s="0" t="inlineStr">
        <is>
          <t>서원구</t>
        </is>
      </c>
      <c r="AE422" s="0" t="inlineStr">
        <is>
          <t>수곡동</t>
        </is>
      </c>
      <c r="AG422" s="0" t="inlineStr">
        <is>
          <t>충청북도 청주시 서원구 수곡로 20</t>
        </is>
      </c>
      <c r="AH422" s="0" t="n">
        <v>0</v>
      </c>
      <c r="AI422" s="0" t="n">
        <v>226</v>
      </c>
      <c r="AJ422" s="0" t="n">
        <v>17</v>
      </c>
      <c r="AK422" s="0" t="n">
        <v>0</v>
      </c>
      <c r="AL422" s="0" t="n">
        <v>0</v>
      </c>
    </row>
    <row r="423">
      <c r="A423" s="0" t="inlineStr">
        <is>
          <t>[수곡동]</t>
        </is>
      </c>
      <c r="B423" s="0" t="n">
        <v>120999</v>
      </c>
      <c r="C423" s="0" t="n">
        <v>9</v>
      </c>
      <c r="D423" s="0" t="inlineStr">
        <is>
          <t>더샵청주퍼스트파크</t>
        </is>
      </c>
      <c r="E423" s="0" t="inlineStr">
        <is>
          <t>2021.03.</t>
        </is>
      </c>
      <c r="F423" s="0" t="n">
        <v>1112</v>
      </c>
      <c r="G423" s="0" t="n">
        <v>52.76</v>
      </c>
      <c r="H423" s="0" t="n">
        <v>174.42</v>
      </c>
      <c r="I423" s="0" t="n">
        <v>40.32</v>
      </c>
      <c r="J423" s="0" t="n">
        <v>133.31</v>
      </c>
      <c r="K423" s="0" t="n">
        <v>4</v>
      </c>
      <c r="T423" s="0" t="n">
        <v>4</v>
      </c>
      <c r="U423" s="0" t="n">
        <v>3</v>
      </c>
      <c r="V423" s="0" t="inlineStr">
        <is>
          <t>계단식</t>
        </is>
      </c>
      <c r="W423" s="0" t="inlineStr">
        <is>
          <t>174P</t>
        </is>
      </c>
      <c r="X423" s="0" t="n">
        <v>28</v>
      </c>
      <c r="Y423" s="0" t="n">
        <v>15</v>
      </c>
      <c r="Z423" s="0" t="inlineStr">
        <is>
          <t>https://new.land.naver.com/complexes/120999?tab=detail&amp;rf=Y</t>
        </is>
      </c>
      <c r="AA423" s="0" t="inlineStr">
        <is>
          <t>충청북도 청주시 서원구 수곡동 1057</t>
        </is>
      </c>
      <c r="AB423" s="0" t="inlineStr">
        <is>
          <t>충청북도</t>
        </is>
      </c>
      <c r="AC423" s="0" t="inlineStr">
        <is>
          <t>청주시</t>
        </is>
      </c>
      <c r="AD423" s="0" t="inlineStr">
        <is>
          <t>서원구</t>
        </is>
      </c>
      <c r="AE423" s="0" t="inlineStr">
        <is>
          <t>수곡동</t>
        </is>
      </c>
      <c r="AG423" s="0" t="inlineStr">
        <is>
          <t>충청북도 청주시 서원구 수곡로 20</t>
        </is>
      </c>
      <c r="AH423" s="0" t="n">
        <v>0</v>
      </c>
      <c r="AI423" s="0" t="n">
        <v>226</v>
      </c>
      <c r="AJ423" s="0" t="n">
        <v>17</v>
      </c>
      <c r="AK423" s="0" t="n">
        <v>0</v>
      </c>
      <c r="AL423" s="0" t="n">
        <v>0</v>
      </c>
    </row>
    <row r="424">
      <c r="A424" s="0" t="inlineStr">
        <is>
          <t>[수곡동]</t>
        </is>
      </c>
      <c r="B424" s="0" t="n">
        <v>124340</v>
      </c>
      <c r="C424" s="0" t="n">
        <v>1</v>
      </c>
      <c r="D424" s="0" t="inlineStr">
        <is>
          <t>삼일</t>
        </is>
      </c>
      <c r="E424" s="0" t="inlineStr">
        <is>
          <t>1984.09.</t>
        </is>
      </c>
      <c r="F424" s="0" t="n">
        <v>50</v>
      </c>
      <c r="G424" s="0" t="n">
        <v>20.26</v>
      </c>
      <c r="H424" s="0" t="n">
        <v>67</v>
      </c>
      <c r="I424" s="0" t="n">
        <v>18.4</v>
      </c>
      <c r="J424" s="0" t="n">
        <v>60.84</v>
      </c>
      <c r="K424" s="0" t="n">
        <v>18</v>
      </c>
      <c r="T424" s="0" t="n">
        <v>3</v>
      </c>
      <c r="U424" s="0" t="n">
        <v>1</v>
      </c>
      <c r="V424" s="0" t="inlineStr">
        <is>
          <t>계단식</t>
        </is>
      </c>
      <c r="W424" s="0" t="n">
        <v>67</v>
      </c>
      <c r="X424" s="0" t="n">
        <v>5</v>
      </c>
      <c r="Y424" s="0" t="n">
        <v>3</v>
      </c>
      <c r="Z424" s="0" t="inlineStr">
        <is>
          <t>https://new.land.naver.com/complexes/124340?tab=detail&amp;rf=Y</t>
        </is>
      </c>
      <c r="AA424" s="0" t="inlineStr">
        <is>
          <t>충청북도 청주시 서원구 수곡동 43-3</t>
        </is>
      </c>
      <c r="AB424" s="0" t="inlineStr">
        <is>
          <t>충청북도</t>
        </is>
      </c>
      <c r="AC424" s="0" t="inlineStr">
        <is>
          <t>청주시</t>
        </is>
      </c>
      <c r="AD424" s="0" t="inlineStr">
        <is>
          <t>서원구</t>
        </is>
      </c>
      <c r="AE424" s="0" t="inlineStr">
        <is>
          <t>수곡동</t>
        </is>
      </c>
      <c r="AG424" s="0" t="inlineStr">
        <is>
          <t>충청북도 청주시 서원구 구룡산로 412</t>
        </is>
      </c>
      <c r="AH424" s="0" t="n">
        <v>0</v>
      </c>
      <c r="AI424" s="0" t="n">
        <v>0</v>
      </c>
      <c r="AJ424" s="0" t="n">
        <v>0</v>
      </c>
      <c r="AK424" s="0" t="n">
        <v>0</v>
      </c>
      <c r="AL424" s="0" t="n">
        <v>0</v>
      </c>
    </row>
    <row r="425">
      <c r="A425" s="0" t="inlineStr">
        <is>
          <t>[수곡동]</t>
        </is>
      </c>
      <c r="B425" s="0" t="n">
        <v>124340</v>
      </c>
      <c r="C425" s="0" t="n">
        <v>2</v>
      </c>
      <c r="D425" s="0" t="inlineStr">
        <is>
          <t>삼일</t>
        </is>
      </c>
      <c r="E425" s="0" t="inlineStr">
        <is>
          <t>1984.09.</t>
        </is>
      </c>
      <c r="F425" s="0" t="n">
        <v>50</v>
      </c>
      <c r="G425" s="0" t="n">
        <v>20.86</v>
      </c>
      <c r="H425" s="0" t="n">
        <v>68.98</v>
      </c>
      <c r="I425" s="0" t="n">
        <v>19</v>
      </c>
      <c r="J425" s="0" t="n">
        <v>62.82</v>
      </c>
      <c r="K425" s="0" t="n">
        <v>20</v>
      </c>
      <c r="T425" s="0" t="n">
        <v>3</v>
      </c>
      <c r="U425" s="0" t="n">
        <v>1</v>
      </c>
      <c r="V425" s="0" t="inlineStr">
        <is>
          <t>계단식</t>
        </is>
      </c>
      <c r="W425" s="0" t="n">
        <v>68</v>
      </c>
      <c r="X425" s="0" t="n">
        <v>5</v>
      </c>
      <c r="Y425" s="0" t="n">
        <v>3</v>
      </c>
      <c r="Z425" s="0" t="inlineStr">
        <is>
          <t>https://new.land.naver.com/complexes/124340?tab=detail&amp;rf=Y</t>
        </is>
      </c>
      <c r="AA425" s="0" t="inlineStr">
        <is>
          <t>충청북도 청주시 서원구 수곡동 43-3</t>
        </is>
      </c>
      <c r="AB425" s="0" t="inlineStr">
        <is>
          <t>충청북도</t>
        </is>
      </c>
      <c r="AC425" s="0" t="inlineStr">
        <is>
          <t>청주시</t>
        </is>
      </c>
      <c r="AD425" s="0" t="inlineStr">
        <is>
          <t>서원구</t>
        </is>
      </c>
      <c r="AE425" s="0" t="inlineStr">
        <is>
          <t>수곡동</t>
        </is>
      </c>
      <c r="AG425" s="0" t="inlineStr">
        <is>
          <t>충청북도 청주시 서원구 구룡산로 412</t>
        </is>
      </c>
      <c r="AH425" s="0" t="n">
        <v>0</v>
      </c>
      <c r="AI425" s="0" t="n">
        <v>0</v>
      </c>
      <c r="AJ425" s="0" t="n">
        <v>0</v>
      </c>
      <c r="AK425" s="0" t="n">
        <v>0</v>
      </c>
      <c r="AL425" s="0" t="n">
        <v>0</v>
      </c>
    </row>
    <row r="426">
      <c r="A426" s="0" t="inlineStr">
        <is>
          <t>[수곡동]</t>
        </is>
      </c>
      <c r="B426" s="0" t="n">
        <v>124340</v>
      </c>
      <c r="C426" s="0" t="n">
        <v>3</v>
      </c>
      <c r="D426" s="0" t="inlineStr">
        <is>
          <t>삼일</t>
        </is>
      </c>
      <c r="E426" s="0" t="inlineStr">
        <is>
          <t>1984.09.</t>
        </is>
      </c>
      <c r="F426" s="0" t="n">
        <v>50</v>
      </c>
      <c r="G426" s="0" t="n">
        <v>21.68</v>
      </c>
      <c r="H426" s="0" t="n">
        <v>71.68000000000001</v>
      </c>
      <c r="I426" s="0" t="n">
        <v>19.81</v>
      </c>
      <c r="J426" s="0" t="n">
        <v>65.52</v>
      </c>
      <c r="K426" s="0" t="n">
        <v>12</v>
      </c>
      <c r="T426" s="0" t="n">
        <v>3</v>
      </c>
      <c r="U426" s="0" t="n">
        <v>1</v>
      </c>
      <c r="V426" s="0" t="inlineStr">
        <is>
          <t>계단식</t>
        </is>
      </c>
      <c r="W426" s="0" t="n">
        <v>71</v>
      </c>
      <c r="X426" s="0" t="n">
        <v>5</v>
      </c>
      <c r="Y426" s="0" t="n">
        <v>3</v>
      </c>
      <c r="Z426" s="0" t="inlineStr">
        <is>
          <t>https://new.land.naver.com/complexes/124340?tab=detail&amp;rf=Y</t>
        </is>
      </c>
      <c r="AA426" s="0" t="inlineStr">
        <is>
          <t>충청북도 청주시 서원구 수곡동 43-3</t>
        </is>
      </c>
      <c r="AB426" s="0" t="inlineStr">
        <is>
          <t>충청북도</t>
        </is>
      </c>
      <c r="AC426" s="0" t="inlineStr">
        <is>
          <t>청주시</t>
        </is>
      </c>
      <c r="AD426" s="0" t="inlineStr">
        <is>
          <t>서원구</t>
        </is>
      </c>
      <c r="AE426" s="0" t="inlineStr">
        <is>
          <t>수곡동</t>
        </is>
      </c>
      <c r="AG426" s="0" t="inlineStr">
        <is>
          <t>충청북도 청주시 서원구 구룡산로 412</t>
        </is>
      </c>
      <c r="AH426" s="0" t="n">
        <v>0</v>
      </c>
      <c r="AI426" s="0" t="n">
        <v>0</v>
      </c>
      <c r="AJ426" s="0" t="n">
        <v>0</v>
      </c>
      <c r="AK426" s="0" t="n">
        <v>0</v>
      </c>
      <c r="AL426" s="0" t="n">
        <v>0</v>
      </c>
    </row>
    <row r="427">
      <c r="A427" s="0" t="inlineStr">
        <is>
          <t>[수곡동]</t>
        </is>
      </c>
      <c r="B427" s="0" t="n">
        <v>15467</v>
      </c>
      <c r="C427" s="0" t="n">
        <v>1</v>
      </c>
      <c r="D427" s="0" t="inlineStr">
        <is>
          <t>세원1차</t>
        </is>
      </c>
      <c r="E427" s="0" t="inlineStr">
        <is>
          <t>1989.06.</t>
        </is>
      </c>
      <c r="F427" s="0" t="n">
        <v>90</v>
      </c>
      <c r="G427" s="0" t="n">
        <v>21.5</v>
      </c>
      <c r="H427" s="0" t="n">
        <v>71.09999999999999</v>
      </c>
      <c r="I427" s="0" t="n">
        <v>17.79</v>
      </c>
      <c r="J427" s="0" t="n">
        <v>58.83</v>
      </c>
      <c r="K427" s="0" t="n">
        <v>5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71</v>
      </c>
      <c r="X427" s="0" t="n">
        <v>5</v>
      </c>
      <c r="Y427" s="0" t="n">
        <v>5</v>
      </c>
      <c r="Z427" s="0" t="inlineStr">
        <is>
          <t>https://new.land.naver.com/complexes/15467?tab=detail&amp;rf=Y</t>
        </is>
      </c>
      <c r="AA427" s="0" t="inlineStr">
        <is>
          <t>충청북도 청주시 서원구 수곡동 40-1</t>
        </is>
      </c>
      <c r="AB427" s="0" t="inlineStr">
        <is>
          <t>충청북도</t>
        </is>
      </c>
      <c r="AC427" s="0" t="inlineStr">
        <is>
          <t>청주시</t>
        </is>
      </c>
      <c r="AD427" s="0" t="inlineStr">
        <is>
          <t>서원구</t>
        </is>
      </c>
      <c r="AE427" s="0" t="inlineStr">
        <is>
          <t>수곡동</t>
        </is>
      </c>
      <c r="AG427" s="0" t="inlineStr">
        <is>
          <t>충청북도 청주시 서원구 수영로47번길 19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[수곡동]</t>
        </is>
      </c>
      <c r="B428" s="0" t="n">
        <v>15467</v>
      </c>
      <c r="C428" s="0" t="n">
        <v>2</v>
      </c>
      <c r="D428" s="0" t="inlineStr">
        <is>
          <t>세원1차</t>
        </is>
      </c>
      <c r="E428" s="0" t="inlineStr">
        <is>
          <t>1989.06.</t>
        </is>
      </c>
      <c r="F428" s="0" t="n">
        <v>90</v>
      </c>
      <c r="G428" s="0" t="n">
        <v>29.88</v>
      </c>
      <c r="H428" s="0" t="n">
        <v>98.78</v>
      </c>
      <c r="I428" s="0" t="n">
        <v>25.5</v>
      </c>
      <c r="J428" s="0" t="n">
        <v>84.3</v>
      </c>
      <c r="K428" s="0" t="n">
        <v>35</v>
      </c>
      <c r="T428" s="0" t="n">
        <v>3</v>
      </c>
      <c r="U428" s="0" t="n">
        <v>2</v>
      </c>
      <c r="V428" s="0" t="inlineStr">
        <is>
          <t>복도식</t>
        </is>
      </c>
      <c r="W428" s="0" t="n">
        <v>98</v>
      </c>
      <c r="X428" s="0" t="n">
        <v>5</v>
      </c>
      <c r="Y428" s="0" t="n">
        <v>5</v>
      </c>
      <c r="Z428" s="0" t="inlineStr">
        <is>
          <t>https://new.land.naver.com/complexes/15467?tab=detail&amp;rf=Y</t>
        </is>
      </c>
      <c r="AA428" s="0" t="inlineStr">
        <is>
          <t>충청북도 청주시 서원구 수곡동 40-1</t>
        </is>
      </c>
      <c r="AB428" s="0" t="inlineStr">
        <is>
          <t>충청북도</t>
        </is>
      </c>
      <c r="AC428" s="0" t="inlineStr">
        <is>
          <t>청주시</t>
        </is>
      </c>
      <c r="AD428" s="0" t="inlineStr">
        <is>
          <t>서원구</t>
        </is>
      </c>
      <c r="AE428" s="0" t="inlineStr">
        <is>
          <t>수곡동</t>
        </is>
      </c>
      <c r="AG428" s="0" t="inlineStr">
        <is>
          <t>충청북도 청주시 서원구 수영로47번길 19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[수곡동]</t>
        </is>
      </c>
      <c r="B429" s="0" t="n">
        <v>15467</v>
      </c>
      <c r="C429" s="0" t="n">
        <v>3</v>
      </c>
      <c r="D429" s="0" t="inlineStr">
        <is>
          <t>세원1차</t>
        </is>
      </c>
      <c r="E429" s="0" t="inlineStr">
        <is>
          <t>1989.06.</t>
        </is>
      </c>
      <c r="F429" s="0" t="n">
        <v>90</v>
      </c>
      <c r="G429" s="0" t="n">
        <v>30.08</v>
      </c>
      <c r="H429" s="0" t="n">
        <v>99.44</v>
      </c>
      <c r="I429" s="0" t="n">
        <v>25.68</v>
      </c>
      <c r="J429" s="0" t="n">
        <v>84.90000000000001</v>
      </c>
      <c r="K429" s="0" t="n">
        <v>50</v>
      </c>
      <c r="T429" s="0" t="n">
        <v>3</v>
      </c>
      <c r="U429" s="0" t="n">
        <v>1</v>
      </c>
      <c r="V429" s="0" t="inlineStr">
        <is>
          <t>계단식</t>
        </is>
      </c>
      <c r="W429" s="0" t="inlineStr">
        <is>
          <t>99B</t>
        </is>
      </c>
      <c r="X429" s="0" t="n">
        <v>5</v>
      </c>
      <c r="Y429" s="0" t="n">
        <v>5</v>
      </c>
      <c r="Z429" s="0" t="inlineStr">
        <is>
          <t>https://new.land.naver.com/complexes/15467?tab=detail&amp;rf=Y</t>
        </is>
      </c>
      <c r="AA429" s="0" t="inlineStr">
        <is>
          <t>충청북도 청주시 서원구 수곡동 40-1</t>
        </is>
      </c>
      <c r="AB429" s="0" t="inlineStr">
        <is>
          <t>충청북도</t>
        </is>
      </c>
      <c r="AC429" s="0" t="inlineStr">
        <is>
          <t>청주시</t>
        </is>
      </c>
      <c r="AD429" s="0" t="inlineStr">
        <is>
          <t>서원구</t>
        </is>
      </c>
      <c r="AE429" s="0" t="inlineStr">
        <is>
          <t>수곡동</t>
        </is>
      </c>
      <c r="AG429" s="0" t="inlineStr">
        <is>
          <t>충청북도 청주시 서원구 수영로47번길 19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[수곡동]</t>
        </is>
      </c>
      <c r="B430" s="0" t="n">
        <v>7401</v>
      </c>
      <c r="C430" s="0" t="n">
        <v>1</v>
      </c>
      <c r="D430" s="0" t="inlineStr">
        <is>
          <t>산남세원청실</t>
        </is>
      </c>
      <c r="E430" s="0" t="inlineStr">
        <is>
          <t>1995.05.</t>
        </is>
      </c>
      <c r="F430" s="0" t="n">
        <v>417</v>
      </c>
      <c r="G430" s="0" t="n">
        <v>25.52</v>
      </c>
      <c r="H430" s="0" t="n">
        <v>84.37</v>
      </c>
      <c r="I430" s="0" t="n">
        <v>20.56</v>
      </c>
      <c r="J430" s="0" t="n">
        <v>67.98</v>
      </c>
      <c r="K430" s="0" t="n">
        <v>87</v>
      </c>
      <c r="T430" s="0" t="n">
        <v>3</v>
      </c>
      <c r="U430" s="0" t="n">
        <v>1</v>
      </c>
      <c r="V430" s="0" t="inlineStr">
        <is>
          <t>계단식</t>
        </is>
      </c>
      <c r="W430" s="0" t="n">
        <v>84</v>
      </c>
      <c r="X430" s="0" t="n">
        <v>15</v>
      </c>
      <c r="Y430" s="0" t="n">
        <v>12</v>
      </c>
      <c r="Z430" s="0" t="inlineStr">
        <is>
          <t>https://new.land.naver.com/complexes/7401?tab=detail&amp;rf=Y</t>
        </is>
      </c>
      <c r="AA430" s="0" t="inlineStr">
        <is>
          <t>충청북도 청주시 서원구 수곡동 1001</t>
        </is>
      </c>
      <c r="AB430" s="0" t="inlineStr">
        <is>
          <t>충청북도</t>
        </is>
      </c>
      <c r="AC430" s="0" t="inlineStr">
        <is>
          <t>청주시</t>
        </is>
      </c>
      <c r="AD430" s="0" t="inlineStr">
        <is>
          <t>서원구</t>
        </is>
      </c>
      <c r="AE430" s="0" t="inlineStr">
        <is>
          <t>수곡동</t>
        </is>
      </c>
      <c r="AG430" s="0" t="inlineStr">
        <is>
          <t>충청북도 청주시 서원구 수곡로 46</t>
        </is>
      </c>
      <c r="AH430" s="0" t="n">
        <v>0</v>
      </c>
      <c r="AI430" s="0" t="n">
        <v>221</v>
      </c>
      <c r="AJ430" s="0" t="n">
        <v>18</v>
      </c>
      <c r="AK430" s="0" t="n">
        <v>0</v>
      </c>
      <c r="AL430" s="0" t="n">
        <v>0</v>
      </c>
    </row>
    <row r="431">
      <c r="A431" s="0" t="inlineStr">
        <is>
          <t>[수곡동]</t>
        </is>
      </c>
      <c r="B431" s="0" t="n">
        <v>7401</v>
      </c>
      <c r="C431" s="0" t="n">
        <v>2</v>
      </c>
      <c r="D431" s="0" t="inlineStr">
        <is>
          <t>산남세원청실</t>
        </is>
      </c>
      <c r="E431" s="0" t="inlineStr">
        <is>
          <t>1995.05.</t>
        </is>
      </c>
      <c r="F431" s="0" t="n">
        <v>417</v>
      </c>
      <c r="G431" s="0" t="n">
        <v>32.34</v>
      </c>
      <c r="H431" s="0" t="n">
        <v>106.94</v>
      </c>
      <c r="I431" s="0" t="n">
        <v>25.65</v>
      </c>
      <c r="J431" s="0" t="n">
        <v>84.81</v>
      </c>
      <c r="K431" s="0" t="n">
        <v>330</v>
      </c>
      <c r="T431" s="0" t="n">
        <v>3</v>
      </c>
      <c r="U431" s="0" t="n">
        <v>2</v>
      </c>
      <c r="V431" s="0" t="inlineStr">
        <is>
          <t>계단식</t>
        </is>
      </c>
      <c r="W431" s="0" t="n">
        <v>106</v>
      </c>
      <c r="X431" s="0" t="n">
        <v>15</v>
      </c>
      <c r="Y431" s="0" t="n">
        <v>12</v>
      </c>
      <c r="Z431" s="0" t="inlineStr">
        <is>
          <t>https://new.land.naver.com/complexes/7401?tab=detail&amp;rf=Y</t>
        </is>
      </c>
      <c r="AA431" s="0" t="inlineStr">
        <is>
          <t>충청북도 청주시 서원구 수곡동 1001</t>
        </is>
      </c>
      <c r="AB431" s="0" t="inlineStr">
        <is>
          <t>충청북도</t>
        </is>
      </c>
      <c r="AC431" s="0" t="inlineStr">
        <is>
          <t>청주시</t>
        </is>
      </c>
      <c r="AD431" s="0" t="inlineStr">
        <is>
          <t>서원구</t>
        </is>
      </c>
      <c r="AE431" s="0" t="inlineStr">
        <is>
          <t>수곡동</t>
        </is>
      </c>
      <c r="AG431" s="0" t="inlineStr">
        <is>
          <t>충청북도 청주시 서원구 수곡로 46</t>
        </is>
      </c>
      <c r="AH431" s="0" t="n">
        <v>0</v>
      </c>
      <c r="AI431" s="0" t="n">
        <v>221</v>
      </c>
      <c r="AJ431" s="0" t="n">
        <v>18</v>
      </c>
      <c r="AK431" s="0" t="n">
        <v>0</v>
      </c>
      <c r="AL431" s="0" t="n">
        <v>0</v>
      </c>
    </row>
    <row r="432">
      <c r="A432" s="0" t="inlineStr">
        <is>
          <t>[수곡동]</t>
        </is>
      </c>
      <c r="B432" s="0" t="n">
        <v>126786</v>
      </c>
      <c r="C432" s="0" t="n">
        <v>1</v>
      </c>
      <c r="D432" s="0" t="inlineStr">
        <is>
          <t>선광한빛(로즈웰타운)</t>
        </is>
      </c>
      <c r="E432" s="0" t="inlineStr">
        <is>
          <t>1998.03.</t>
        </is>
      </c>
      <c r="F432" s="0" t="n">
        <v>377</v>
      </c>
      <c r="G432" s="0" t="n">
        <v>12</v>
      </c>
      <c r="H432" s="0" t="n">
        <v>39.67</v>
      </c>
      <c r="I432" s="0" t="n">
        <v>8.82</v>
      </c>
      <c r="J432" s="0" t="n">
        <v>29.16</v>
      </c>
      <c r="K432" s="0" t="n">
        <v>377</v>
      </c>
      <c r="T432" s="0" t="n">
        <v>1</v>
      </c>
      <c r="U432" s="0" t="n">
        <v>1</v>
      </c>
      <c r="V432" s="0" t="inlineStr">
        <is>
          <t>계단식</t>
        </is>
      </c>
      <c r="W432" s="0" t="n">
        <v>39</v>
      </c>
      <c r="X432" s="0" t="n">
        <v>15</v>
      </c>
      <c r="Y432" s="0" t="n">
        <v>11</v>
      </c>
      <c r="Z432" s="0" t="inlineStr">
        <is>
          <t>https://new.land.naver.com/complexes/126786?tab=detail&amp;rf=Y</t>
        </is>
      </c>
      <c r="AA432" s="0" t="inlineStr">
        <is>
          <t>충청북도 청주시 서원구 수곡동 231-2</t>
        </is>
      </c>
      <c r="AB432" s="0" t="inlineStr">
        <is>
          <t>충청북도</t>
        </is>
      </c>
      <c r="AC432" s="0" t="inlineStr">
        <is>
          <t>청주시</t>
        </is>
      </c>
      <c r="AD432" s="0" t="inlineStr">
        <is>
          <t>서원구</t>
        </is>
      </c>
      <c r="AE432" s="0" t="inlineStr">
        <is>
          <t>수곡동</t>
        </is>
      </c>
      <c r="AG432" s="0" t="inlineStr">
        <is>
          <t>충청북도 청주시 서원구 매봉로60번길 18</t>
        </is>
      </c>
      <c r="AH432" s="0" t="n">
        <v>0</v>
      </c>
      <c r="AI432" s="0" t="n">
        <v>311</v>
      </c>
      <c r="AJ432" s="0" t="n">
        <v>23</v>
      </c>
      <c r="AK432" s="0" t="n">
        <v>274</v>
      </c>
      <c r="AL432" s="0" t="n">
        <v>0.73</v>
      </c>
    </row>
    <row r="433">
      <c r="A433" s="0" t="inlineStr">
        <is>
          <t>[수곡동]</t>
        </is>
      </c>
      <c r="B433" s="0" t="n">
        <v>12824</v>
      </c>
      <c r="C433" s="0" t="n">
        <v>1</v>
      </c>
      <c r="D433" s="0" t="inlineStr">
        <is>
          <t>두진하트리움</t>
        </is>
      </c>
      <c r="E433" s="0" t="inlineStr">
        <is>
          <t>1995.05.</t>
        </is>
      </c>
      <c r="F433" s="0" t="n">
        <v>935</v>
      </c>
      <c r="G433" s="0" t="n">
        <v>22.37</v>
      </c>
      <c r="H433" s="0" t="n">
        <v>73.95999999999999</v>
      </c>
      <c r="I433" s="0" t="n">
        <v>17.96</v>
      </c>
      <c r="J433" s="0" t="n">
        <v>59.4</v>
      </c>
      <c r="K433" s="0" t="n">
        <v>360</v>
      </c>
      <c r="T433" s="0" t="n">
        <v>3</v>
      </c>
      <c r="U433" s="0" t="n">
        <v>1</v>
      </c>
      <c r="V433" s="0" t="inlineStr">
        <is>
          <t>복도식</t>
        </is>
      </c>
      <c r="W433" s="0" t="n">
        <v>73</v>
      </c>
      <c r="X433" s="0" t="n">
        <v>15</v>
      </c>
      <c r="Y433" s="0" t="n">
        <v>10</v>
      </c>
      <c r="Z433" s="0" t="inlineStr">
        <is>
          <t>https://new.land.naver.com/complexes/12824?tab=detail&amp;rf=Y</t>
        </is>
      </c>
      <c r="AA433" s="0" t="inlineStr">
        <is>
          <t>충청북도 청주시 서원구 수곡동 1002</t>
        </is>
      </c>
      <c r="AB433" s="0" t="inlineStr">
        <is>
          <t>충청북도</t>
        </is>
      </c>
      <c r="AC433" s="0" t="inlineStr">
        <is>
          <t>청주시</t>
        </is>
      </c>
      <c r="AD433" s="0" t="inlineStr">
        <is>
          <t>서원구</t>
        </is>
      </c>
      <c r="AE433" s="0" t="inlineStr">
        <is>
          <t>수곡동</t>
        </is>
      </c>
      <c r="AG433" s="0" t="inlineStr">
        <is>
          <t>충청북도 청주시 서원구 수곡로 36</t>
        </is>
      </c>
      <c r="AH433" s="0" t="n">
        <v>0</v>
      </c>
      <c r="AI433" s="0" t="n">
        <v>215</v>
      </c>
      <c r="AJ433" s="0" t="n">
        <v>19</v>
      </c>
      <c r="AK433" s="0" t="n">
        <v>1000</v>
      </c>
      <c r="AL433" s="0" t="n">
        <v>1.07</v>
      </c>
    </row>
    <row r="434">
      <c r="A434" s="0" t="inlineStr">
        <is>
          <t>[수곡동]</t>
        </is>
      </c>
      <c r="B434" s="0" t="n">
        <v>12824</v>
      </c>
      <c r="C434" s="0" t="n">
        <v>2</v>
      </c>
      <c r="D434" s="0" t="inlineStr">
        <is>
          <t>두진하트리움</t>
        </is>
      </c>
      <c r="E434" s="0" t="inlineStr">
        <is>
          <t>1995.05.</t>
        </is>
      </c>
      <c r="F434" s="0" t="n">
        <v>935</v>
      </c>
      <c r="G434" s="0" t="n">
        <v>22.5</v>
      </c>
      <c r="H434" s="0" t="n">
        <v>74.40000000000001</v>
      </c>
      <c r="I434" s="0" t="n">
        <v>18.07</v>
      </c>
      <c r="J434" s="0" t="n">
        <v>59.76</v>
      </c>
      <c r="K434" s="0" t="n">
        <v>300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74A</t>
        </is>
      </c>
      <c r="X434" s="0" t="n">
        <v>15</v>
      </c>
      <c r="Y434" s="0" t="n">
        <v>10</v>
      </c>
      <c r="Z434" s="0" t="inlineStr">
        <is>
          <t>https://new.land.naver.com/complexes/12824?tab=detail&amp;rf=Y</t>
        </is>
      </c>
      <c r="AA434" s="0" t="inlineStr">
        <is>
          <t>충청북도 청주시 서원구 수곡동 1002</t>
        </is>
      </c>
      <c r="AB434" s="0" t="inlineStr">
        <is>
          <t>충청북도</t>
        </is>
      </c>
      <c r="AC434" s="0" t="inlineStr">
        <is>
          <t>청주시</t>
        </is>
      </c>
      <c r="AD434" s="0" t="inlineStr">
        <is>
          <t>서원구</t>
        </is>
      </c>
      <c r="AE434" s="0" t="inlineStr">
        <is>
          <t>수곡동</t>
        </is>
      </c>
      <c r="AG434" s="0" t="inlineStr">
        <is>
          <t>충청북도 청주시 서원구 수곡로 36</t>
        </is>
      </c>
      <c r="AH434" s="0" t="n">
        <v>0</v>
      </c>
      <c r="AI434" s="0" t="n">
        <v>215</v>
      </c>
      <c r="AJ434" s="0" t="n">
        <v>19</v>
      </c>
      <c r="AK434" s="0" t="n">
        <v>1000</v>
      </c>
      <c r="AL434" s="0" t="n">
        <v>1.07</v>
      </c>
    </row>
    <row r="435">
      <c r="A435" s="0" t="inlineStr">
        <is>
          <t>[수곡동]</t>
        </is>
      </c>
      <c r="B435" s="0" t="n">
        <v>12824</v>
      </c>
      <c r="C435" s="0" t="n">
        <v>3</v>
      </c>
      <c r="D435" s="0" t="inlineStr">
        <is>
          <t>두진하트리움</t>
        </is>
      </c>
      <c r="E435" s="0" t="inlineStr">
        <is>
          <t>1995.05.</t>
        </is>
      </c>
      <c r="F435" s="0" t="n">
        <v>935</v>
      </c>
      <c r="G435" s="0" t="n">
        <v>22.5</v>
      </c>
      <c r="H435" s="0" t="n">
        <v>74.40000000000001</v>
      </c>
      <c r="I435" s="0" t="n">
        <v>18.07</v>
      </c>
      <c r="J435" s="0" t="n">
        <v>59.76</v>
      </c>
      <c r="K435" s="0" t="n">
        <v>161</v>
      </c>
      <c r="T435" s="0" t="n">
        <v>2</v>
      </c>
      <c r="U435" s="0" t="n">
        <v>2</v>
      </c>
      <c r="V435" s="0" t="inlineStr">
        <is>
          <t>계단식</t>
        </is>
      </c>
      <c r="W435" s="0" t="inlineStr">
        <is>
          <t>74A1</t>
        </is>
      </c>
      <c r="X435" s="0" t="n">
        <v>15</v>
      </c>
      <c r="Y435" s="0" t="n">
        <v>10</v>
      </c>
      <c r="Z435" s="0" t="inlineStr">
        <is>
          <t>https://new.land.naver.com/complexes/12824?tab=detail&amp;rf=Y</t>
        </is>
      </c>
      <c r="AA435" s="0" t="inlineStr">
        <is>
          <t>충청북도 청주시 서원구 수곡동 1002</t>
        </is>
      </c>
      <c r="AB435" s="0" t="inlineStr">
        <is>
          <t>충청북도</t>
        </is>
      </c>
      <c r="AC435" s="0" t="inlineStr">
        <is>
          <t>청주시</t>
        </is>
      </c>
      <c r="AD435" s="0" t="inlineStr">
        <is>
          <t>서원구</t>
        </is>
      </c>
      <c r="AE435" s="0" t="inlineStr">
        <is>
          <t>수곡동</t>
        </is>
      </c>
      <c r="AG435" s="0" t="inlineStr">
        <is>
          <t>충청북도 청주시 서원구 수곡로 36</t>
        </is>
      </c>
      <c r="AH435" s="0" t="n">
        <v>0</v>
      </c>
      <c r="AI435" s="0" t="n">
        <v>215</v>
      </c>
      <c r="AJ435" s="0" t="n">
        <v>19</v>
      </c>
      <c r="AK435" s="0" t="n">
        <v>1000</v>
      </c>
      <c r="AL435" s="0" t="n">
        <v>1.07</v>
      </c>
    </row>
    <row r="436">
      <c r="A436" s="0" t="inlineStr">
        <is>
          <t>[수곡동]</t>
        </is>
      </c>
      <c r="B436" s="0" t="n">
        <v>12824</v>
      </c>
      <c r="C436" s="0" t="n">
        <v>4</v>
      </c>
      <c r="D436" s="0" t="inlineStr">
        <is>
          <t>두진하트리움</t>
        </is>
      </c>
      <c r="E436" s="0" t="inlineStr">
        <is>
          <t>1995.05.</t>
        </is>
      </c>
      <c r="F436" s="0" t="n">
        <v>935</v>
      </c>
      <c r="G436" s="0" t="n">
        <v>22.54</v>
      </c>
      <c r="H436" s="0" t="n">
        <v>74.52</v>
      </c>
      <c r="I436" s="0" t="n">
        <v>18.1</v>
      </c>
      <c r="J436" s="0" t="n">
        <v>59.85</v>
      </c>
      <c r="K436" s="0" t="n">
        <v>114</v>
      </c>
      <c r="T436" s="0" t="n">
        <v>2</v>
      </c>
      <c r="U436" s="0" t="n">
        <v>2</v>
      </c>
      <c r="V436" s="0" t="inlineStr">
        <is>
          <t>계단식</t>
        </is>
      </c>
      <c r="W436" s="0" t="inlineStr">
        <is>
          <t>74B</t>
        </is>
      </c>
      <c r="X436" s="0" t="n">
        <v>15</v>
      </c>
      <c r="Y436" s="0" t="n">
        <v>10</v>
      </c>
      <c r="Z436" s="0" t="inlineStr">
        <is>
          <t>https://new.land.naver.com/complexes/12824?tab=detail&amp;rf=Y</t>
        </is>
      </c>
      <c r="AA436" s="0" t="inlineStr">
        <is>
          <t>충청북도 청주시 서원구 수곡동 1002</t>
        </is>
      </c>
      <c r="AB436" s="0" t="inlineStr">
        <is>
          <t>충청북도</t>
        </is>
      </c>
      <c r="AC436" s="0" t="inlineStr">
        <is>
          <t>청주시</t>
        </is>
      </c>
      <c r="AD436" s="0" t="inlineStr">
        <is>
          <t>서원구</t>
        </is>
      </c>
      <c r="AE436" s="0" t="inlineStr">
        <is>
          <t>수곡동</t>
        </is>
      </c>
      <c r="AG436" s="0" t="inlineStr">
        <is>
          <t>충청북도 청주시 서원구 수곡로 36</t>
        </is>
      </c>
      <c r="AH436" s="0" t="n">
        <v>0</v>
      </c>
      <c r="AI436" s="0" t="n">
        <v>215</v>
      </c>
      <c r="AJ436" s="0" t="n">
        <v>19</v>
      </c>
      <c r="AK436" s="0" t="n">
        <v>1000</v>
      </c>
      <c r="AL436" s="0" t="n">
        <v>1.07</v>
      </c>
    </row>
    <row r="437">
      <c r="A437" s="0" t="inlineStr">
        <is>
          <t>[수곡동]</t>
        </is>
      </c>
      <c r="B437" s="0" t="n">
        <v>15473</v>
      </c>
      <c r="C437" s="0" t="n">
        <v>1</v>
      </c>
      <c r="D437" s="0" t="inlineStr">
        <is>
          <t>대림1차</t>
        </is>
      </c>
      <c r="E437" s="0" t="inlineStr">
        <is>
          <t>1985.12.</t>
        </is>
      </c>
      <c r="F437" s="0" t="n">
        <v>115</v>
      </c>
      <c r="G437" s="0" t="n">
        <v>20.88</v>
      </c>
      <c r="H437" s="0" t="n">
        <v>69.05</v>
      </c>
      <c r="I437" s="0" t="n">
        <v>19.09</v>
      </c>
      <c r="J437" s="0" t="n">
        <v>63.12</v>
      </c>
      <c r="K437" s="0" t="n">
        <v>4</v>
      </c>
      <c r="T437" s="0" t="n">
        <v>3</v>
      </c>
      <c r="U437" s="0" t="n">
        <v>1</v>
      </c>
      <c r="V437" s="0" t="inlineStr">
        <is>
          <t>복도식</t>
        </is>
      </c>
      <c r="W437" s="0" t="inlineStr">
        <is>
          <t>69A</t>
        </is>
      </c>
      <c r="X437" s="0" t="n">
        <v>5</v>
      </c>
      <c r="Y437" s="0" t="n">
        <v>5</v>
      </c>
      <c r="Z437" s="0" t="inlineStr">
        <is>
          <t>https://new.land.naver.com/complexes/15473?tab=detail&amp;rf=Y</t>
        </is>
      </c>
      <c r="AA437" s="0" t="inlineStr">
        <is>
          <t>충청북도 청주시 서원구 수곡동 154</t>
        </is>
      </c>
      <c r="AB437" s="0" t="inlineStr">
        <is>
          <t>충청북도</t>
        </is>
      </c>
      <c r="AC437" s="0" t="inlineStr">
        <is>
          <t>청주시</t>
        </is>
      </c>
      <c r="AD437" s="0" t="inlineStr">
        <is>
          <t>서원구</t>
        </is>
      </c>
      <c r="AE437" s="0" t="inlineStr">
        <is>
          <t>수곡동</t>
        </is>
      </c>
      <c r="AG437" s="0" t="inlineStr">
        <is>
          <t>충청북도 청주시 서원구 구룡산로 327</t>
        </is>
      </c>
      <c r="AH437" s="0" t="n">
        <v>0</v>
      </c>
      <c r="AI437" s="0" t="n">
        <v>0</v>
      </c>
      <c r="AJ437" s="0" t="n">
        <v>0</v>
      </c>
      <c r="AK437" s="0" t="n">
        <v>0</v>
      </c>
      <c r="AL437" s="0" t="n">
        <v>0</v>
      </c>
    </row>
    <row r="438">
      <c r="A438" s="0" t="inlineStr">
        <is>
          <t>[수곡동]</t>
        </is>
      </c>
      <c r="B438" s="0" t="n">
        <v>15473</v>
      </c>
      <c r="C438" s="0" t="n">
        <v>2</v>
      </c>
      <c r="D438" s="0" t="inlineStr">
        <is>
          <t>대림1차</t>
        </is>
      </c>
      <c r="E438" s="0" t="inlineStr">
        <is>
          <t>1985.12.</t>
        </is>
      </c>
      <c r="F438" s="0" t="n">
        <v>115</v>
      </c>
      <c r="G438" s="0" t="n">
        <v>21.47</v>
      </c>
      <c r="H438" s="0" t="n">
        <v>70.98</v>
      </c>
      <c r="I438" s="0" t="n">
        <v>19.67</v>
      </c>
      <c r="J438" s="0" t="n">
        <v>65.05</v>
      </c>
      <c r="K438" s="0" t="n">
        <v>5</v>
      </c>
      <c r="T438" s="0" t="n">
        <v>3</v>
      </c>
      <c r="U438" s="0" t="n">
        <v>1</v>
      </c>
      <c r="V438" s="0" t="inlineStr">
        <is>
          <t>복도식</t>
        </is>
      </c>
      <c r="W438" s="0" t="inlineStr">
        <is>
          <t>70B</t>
        </is>
      </c>
      <c r="X438" s="0" t="n">
        <v>5</v>
      </c>
      <c r="Y438" s="0" t="n">
        <v>5</v>
      </c>
      <c r="Z438" s="0" t="inlineStr">
        <is>
          <t>https://new.land.naver.com/complexes/15473?tab=detail&amp;rf=Y</t>
        </is>
      </c>
      <c r="AA438" s="0" t="inlineStr">
        <is>
          <t>충청북도 청주시 서원구 수곡동 154</t>
        </is>
      </c>
      <c r="AB438" s="0" t="inlineStr">
        <is>
          <t>충청북도</t>
        </is>
      </c>
      <c r="AC438" s="0" t="inlineStr">
        <is>
          <t>청주시</t>
        </is>
      </c>
      <c r="AD438" s="0" t="inlineStr">
        <is>
          <t>서원구</t>
        </is>
      </c>
      <c r="AE438" s="0" t="inlineStr">
        <is>
          <t>수곡동</t>
        </is>
      </c>
      <c r="AG438" s="0" t="inlineStr">
        <is>
          <t>충청북도 청주시 서원구 구룡산로 327</t>
        </is>
      </c>
      <c r="AH438" s="0" t="n">
        <v>0</v>
      </c>
      <c r="AI438" s="0" t="n">
        <v>0</v>
      </c>
      <c r="AJ438" s="0" t="n">
        <v>0</v>
      </c>
      <c r="AK438" s="0" t="n">
        <v>0</v>
      </c>
      <c r="AL438" s="0" t="n">
        <v>0</v>
      </c>
    </row>
    <row r="439">
      <c r="A439" s="0" t="inlineStr">
        <is>
          <t>[수곡동]</t>
        </is>
      </c>
      <c r="B439" s="0" t="n">
        <v>15473</v>
      </c>
      <c r="C439" s="0" t="n">
        <v>3</v>
      </c>
      <c r="D439" s="0" t="inlineStr">
        <is>
          <t>대림1차</t>
        </is>
      </c>
      <c r="E439" s="0" t="inlineStr">
        <is>
          <t>1985.12.</t>
        </is>
      </c>
      <c r="F439" s="0" t="n">
        <v>115</v>
      </c>
      <c r="G439" s="0" t="n">
        <v>21.53</v>
      </c>
      <c r="H439" s="0" t="n">
        <v>71.18000000000001</v>
      </c>
      <c r="I439" s="0" t="n">
        <v>19.73</v>
      </c>
      <c r="J439" s="0" t="n">
        <v>65.25</v>
      </c>
      <c r="K439" s="0" t="n">
        <v>95</v>
      </c>
      <c r="T439" s="0" t="n">
        <v>3</v>
      </c>
      <c r="U439" s="0" t="n">
        <v>1</v>
      </c>
      <c r="V439" s="0" t="inlineStr">
        <is>
          <t>계단식</t>
        </is>
      </c>
      <c r="W439" s="0" t="n">
        <v>71</v>
      </c>
      <c r="X439" s="0" t="n">
        <v>5</v>
      </c>
      <c r="Y439" s="0" t="n">
        <v>5</v>
      </c>
      <c r="Z439" s="0" t="inlineStr">
        <is>
          <t>https://new.land.naver.com/complexes/15473?tab=detail&amp;rf=Y</t>
        </is>
      </c>
      <c r="AA439" s="0" t="inlineStr">
        <is>
          <t>충청북도 청주시 서원구 수곡동 154</t>
        </is>
      </c>
      <c r="AB439" s="0" t="inlineStr">
        <is>
          <t>충청북도</t>
        </is>
      </c>
      <c r="AC439" s="0" t="inlineStr">
        <is>
          <t>청주시</t>
        </is>
      </c>
      <c r="AD439" s="0" t="inlineStr">
        <is>
          <t>서원구</t>
        </is>
      </c>
      <c r="AE439" s="0" t="inlineStr">
        <is>
          <t>수곡동</t>
        </is>
      </c>
      <c r="AG439" s="0" t="inlineStr">
        <is>
          <t>충청북도 청주시 서원구 구룡산로 327</t>
        </is>
      </c>
      <c r="AH439" s="0" t="n">
        <v>0</v>
      </c>
      <c r="AI439" s="0" t="n">
        <v>0</v>
      </c>
      <c r="AJ439" s="0" t="n">
        <v>0</v>
      </c>
      <c r="AK439" s="0" t="n">
        <v>0</v>
      </c>
      <c r="AL439" s="0" t="n">
        <v>0</v>
      </c>
    </row>
    <row r="440">
      <c r="A440" s="0" t="inlineStr">
        <is>
          <t>[수곡동]</t>
        </is>
      </c>
      <c r="B440" s="0" t="n">
        <v>15473</v>
      </c>
      <c r="C440" s="0" t="n">
        <v>4</v>
      </c>
      <c r="D440" s="0" t="inlineStr">
        <is>
          <t>대림1차</t>
        </is>
      </c>
      <c r="E440" s="0" t="inlineStr">
        <is>
          <t>1985.12.</t>
        </is>
      </c>
      <c r="F440" s="0" t="n">
        <v>115</v>
      </c>
      <c r="G440" s="0" t="n">
        <v>25.83</v>
      </c>
      <c r="H440" s="0" t="n">
        <v>85.42</v>
      </c>
      <c r="I440" s="0" t="n">
        <v>24.04</v>
      </c>
      <c r="J440" s="0" t="n">
        <v>79.48999999999999</v>
      </c>
      <c r="K440" s="0" t="n">
        <v>5</v>
      </c>
      <c r="T440" s="0" t="n">
        <v>3</v>
      </c>
      <c r="U440" s="0" t="n">
        <v>1</v>
      </c>
      <c r="V440" s="0" t="inlineStr">
        <is>
          <t>계단식</t>
        </is>
      </c>
      <c r="W440" s="0" t="n">
        <v>85</v>
      </c>
      <c r="X440" s="0" t="n">
        <v>5</v>
      </c>
      <c r="Y440" s="0" t="n">
        <v>5</v>
      </c>
      <c r="Z440" s="0" t="inlineStr">
        <is>
          <t>https://new.land.naver.com/complexes/15473?tab=detail&amp;rf=Y</t>
        </is>
      </c>
      <c r="AA440" s="0" t="inlineStr">
        <is>
          <t>충청북도 청주시 서원구 수곡동 154</t>
        </is>
      </c>
      <c r="AB440" s="0" t="inlineStr">
        <is>
          <t>충청북도</t>
        </is>
      </c>
      <c r="AC440" s="0" t="inlineStr">
        <is>
          <t>청주시</t>
        </is>
      </c>
      <c r="AD440" s="0" t="inlineStr">
        <is>
          <t>서원구</t>
        </is>
      </c>
      <c r="AE440" s="0" t="inlineStr">
        <is>
          <t>수곡동</t>
        </is>
      </c>
      <c r="AG440" s="0" t="inlineStr">
        <is>
          <t>충청북도 청주시 서원구 구룡산로 327</t>
        </is>
      </c>
      <c r="AH440" s="0" t="n">
        <v>0</v>
      </c>
      <c r="AI440" s="0" t="n">
        <v>0</v>
      </c>
      <c r="AJ440" s="0" t="n">
        <v>0</v>
      </c>
      <c r="AK440" s="0" t="n">
        <v>0</v>
      </c>
      <c r="AL440" s="0" t="n">
        <v>0</v>
      </c>
    </row>
    <row r="441">
      <c r="A441" s="0" t="inlineStr">
        <is>
          <t>[수곡동]</t>
        </is>
      </c>
      <c r="B441" s="0" t="n">
        <v>15473</v>
      </c>
      <c r="C441" s="0" t="n">
        <v>5</v>
      </c>
      <c r="D441" s="0" t="inlineStr">
        <is>
          <t>대림1차</t>
        </is>
      </c>
      <c r="E441" s="0" t="inlineStr">
        <is>
          <t>1985.12.</t>
        </is>
      </c>
      <c r="F441" s="0" t="n">
        <v>115</v>
      </c>
      <c r="G441" s="0" t="n">
        <v>27.28</v>
      </c>
      <c r="H441" s="0" t="n">
        <v>90.2</v>
      </c>
      <c r="I441" s="0" t="n">
        <v>25.49</v>
      </c>
      <c r="J441" s="0" t="n">
        <v>84.27</v>
      </c>
      <c r="K441" s="0" t="n">
        <v>5</v>
      </c>
      <c r="T441" s="0" t="n">
        <v>3</v>
      </c>
      <c r="U441" s="0" t="n">
        <v>1</v>
      </c>
      <c r="V441" s="0" t="inlineStr">
        <is>
          <t>계단식</t>
        </is>
      </c>
      <c r="W441" s="0" t="n">
        <v>90</v>
      </c>
      <c r="X441" s="0" t="n">
        <v>5</v>
      </c>
      <c r="Y441" s="0" t="n">
        <v>5</v>
      </c>
      <c r="Z441" s="0" t="inlineStr">
        <is>
          <t>https://new.land.naver.com/complexes/15473?tab=detail&amp;rf=Y</t>
        </is>
      </c>
      <c r="AA441" s="0" t="inlineStr">
        <is>
          <t>충청북도 청주시 서원구 수곡동 154</t>
        </is>
      </c>
      <c r="AB441" s="0" t="inlineStr">
        <is>
          <t>충청북도</t>
        </is>
      </c>
      <c r="AC441" s="0" t="inlineStr">
        <is>
          <t>청주시</t>
        </is>
      </c>
      <c r="AD441" s="0" t="inlineStr">
        <is>
          <t>서원구</t>
        </is>
      </c>
      <c r="AE441" s="0" t="inlineStr">
        <is>
          <t>수곡동</t>
        </is>
      </c>
      <c r="AG441" s="0" t="inlineStr">
        <is>
          <t>충청북도 청주시 서원구 구룡산로 327</t>
        </is>
      </c>
      <c r="AH441" s="0" t="n">
        <v>0</v>
      </c>
      <c r="AI441" s="0" t="n">
        <v>0</v>
      </c>
      <c r="AJ441" s="0" t="n">
        <v>0</v>
      </c>
      <c r="AK441" s="0" t="n">
        <v>0</v>
      </c>
      <c r="AL441" s="0" t="n">
        <v>0</v>
      </c>
    </row>
    <row r="442">
      <c r="A442" s="0" t="inlineStr">
        <is>
          <t>[수곡동]</t>
        </is>
      </c>
      <c r="B442" s="0" t="n">
        <v>15473</v>
      </c>
      <c r="C442" s="0" t="n">
        <v>6</v>
      </c>
      <c r="D442" s="0" t="inlineStr">
        <is>
          <t>대림1차</t>
        </is>
      </c>
      <c r="E442" s="0" t="inlineStr">
        <is>
          <t>1985.12.</t>
        </is>
      </c>
      <c r="F442" s="0" t="n">
        <v>115</v>
      </c>
      <c r="G442" s="0" t="n">
        <v>30.68</v>
      </c>
      <c r="H442" s="0" t="n">
        <v>101.45</v>
      </c>
      <c r="I442" s="0" t="n">
        <v>28.89</v>
      </c>
      <c r="J442" s="0" t="n">
        <v>95.52</v>
      </c>
      <c r="K442" s="0" t="n">
        <v>1</v>
      </c>
      <c r="T442" s="0" t="n">
        <v>3</v>
      </c>
      <c r="U442" s="0" t="n">
        <v>1</v>
      </c>
      <c r="V442" s="0" t="inlineStr">
        <is>
          <t>계단식</t>
        </is>
      </c>
      <c r="W442" s="0" t="n">
        <v>101</v>
      </c>
      <c r="X442" s="0" t="n">
        <v>5</v>
      </c>
      <c r="Y442" s="0" t="n">
        <v>5</v>
      </c>
      <c r="Z442" s="0" t="inlineStr">
        <is>
          <t>https://new.land.naver.com/complexes/15473?tab=detail&amp;rf=Y</t>
        </is>
      </c>
      <c r="AA442" s="0" t="inlineStr">
        <is>
          <t>충청북도 청주시 서원구 수곡동 154</t>
        </is>
      </c>
      <c r="AB442" s="0" t="inlineStr">
        <is>
          <t>충청북도</t>
        </is>
      </c>
      <c r="AC442" s="0" t="inlineStr">
        <is>
          <t>청주시</t>
        </is>
      </c>
      <c r="AD442" s="0" t="inlineStr">
        <is>
          <t>서원구</t>
        </is>
      </c>
      <c r="AE442" s="0" t="inlineStr">
        <is>
          <t>수곡동</t>
        </is>
      </c>
      <c r="AG442" s="0" t="inlineStr">
        <is>
          <t>충청북도 청주시 서원구 구룡산로 327</t>
        </is>
      </c>
      <c r="AH442" s="0" t="n">
        <v>0</v>
      </c>
      <c r="AI442" s="0" t="n">
        <v>0</v>
      </c>
      <c r="AJ442" s="0" t="n">
        <v>0</v>
      </c>
      <c r="AK442" s="0" t="n">
        <v>0</v>
      </c>
      <c r="AL442" s="0" t="n">
        <v>0</v>
      </c>
    </row>
    <row r="443">
      <c r="A443" s="0" t="inlineStr">
        <is>
          <t>[수곡동]</t>
        </is>
      </c>
      <c r="B443" s="0" t="n">
        <v>120294</v>
      </c>
      <c r="C443" s="0" t="n">
        <v>1</v>
      </c>
      <c r="D443" s="0" t="inlineStr">
        <is>
          <t>두진한라</t>
        </is>
      </c>
      <c r="E443" s="0" t="inlineStr">
        <is>
          <t>1990.01.</t>
        </is>
      </c>
      <c r="F443" s="0" t="n">
        <v>75</v>
      </c>
      <c r="G443" s="0" t="n">
        <v>23.23</v>
      </c>
      <c r="H443" s="0" t="n">
        <v>76.81999999999999</v>
      </c>
      <c r="I443" s="0" t="n">
        <v>17.91</v>
      </c>
      <c r="J443" s="0" t="n">
        <v>59.22</v>
      </c>
      <c r="K443" s="0" t="n">
        <v>1</v>
      </c>
      <c r="T443" s="0" t="n">
        <v>3</v>
      </c>
      <c r="U443" s="0" t="n">
        <v>1</v>
      </c>
      <c r="V443" s="0" t="inlineStr">
        <is>
          <t>복도식</t>
        </is>
      </c>
      <c r="W443" s="0" t="inlineStr">
        <is>
          <t>76A</t>
        </is>
      </c>
      <c r="X443" s="0" t="n">
        <v>6</v>
      </c>
      <c r="Y443" s="0" t="n">
        <v>5</v>
      </c>
      <c r="Z443" s="0" t="inlineStr">
        <is>
          <t>https://new.land.naver.com/complexes/120294?tab=detail&amp;rf=Y</t>
        </is>
      </c>
      <c r="AA443" s="0" t="inlineStr">
        <is>
          <t>충청북도 청주시 서원구 수곡동 63-2</t>
        </is>
      </c>
      <c r="AB443" s="0" t="inlineStr">
        <is>
          <t>충청북도</t>
        </is>
      </c>
      <c r="AC443" s="0" t="inlineStr">
        <is>
          <t>청주시</t>
        </is>
      </c>
      <c r="AD443" s="0" t="inlineStr">
        <is>
          <t>서원구</t>
        </is>
      </c>
      <c r="AE443" s="0" t="inlineStr">
        <is>
          <t>수곡동</t>
        </is>
      </c>
      <c r="AG443" s="0" t="inlineStr">
        <is>
          <t>충청북도 청주시 서원구 청남로2022번길 73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[수곡동]</t>
        </is>
      </c>
      <c r="B444" s="0" t="n">
        <v>120294</v>
      </c>
      <c r="C444" s="0" t="n">
        <v>2</v>
      </c>
      <c r="D444" s="0" t="inlineStr">
        <is>
          <t>두진한라</t>
        </is>
      </c>
      <c r="E444" s="0" t="inlineStr">
        <is>
          <t>1990.01.</t>
        </is>
      </c>
      <c r="F444" s="0" t="n">
        <v>75</v>
      </c>
      <c r="G444" s="0" t="n">
        <v>23.32</v>
      </c>
      <c r="H444" s="0" t="n">
        <v>77.12</v>
      </c>
      <c r="I444" s="0" t="n">
        <v>18</v>
      </c>
      <c r="J444" s="0" t="n">
        <v>59.52</v>
      </c>
      <c r="K444" s="0" t="n">
        <v>29</v>
      </c>
      <c r="T444" s="0" t="n">
        <v>3</v>
      </c>
      <c r="U444" s="0" t="n">
        <v>1</v>
      </c>
      <c r="V444" s="0" t="inlineStr">
        <is>
          <t>복도식</t>
        </is>
      </c>
      <c r="W444" s="0" t="inlineStr">
        <is>
          <t>77C</t>
        </is>
      </c>
      <c r="X444" s="0" t="n">
        <v>6</v>
      </c>
      <c r="Y444" s="0" t="n">
        <v>5</v>
      </c>
      <c r="Z444" s="0" t="inlineStr">
        <is>
          <t>https://new.land.naver.com/complexes/120294?tab=detail&amp;rf=Y</t>
        </is>
      </c>
      <c r="AA444" s="0" t="inlineStr">
        <is>
          <t>충청북도 청주시 서원구 수곡동 63-2</t>
        </is>
      </c>
      <c r="AB444" s="0" t="inlineStr">
        <is>
          <t>충청북도</t>
        </is>
      </c>
      <c r="AC444" s="0" t="inlineStr">
        <is>
          <t>청주시</t>
        </is>
      </c>
      <c r="AD444" s="0" t="inlineStr">
        <is>
          <t>서원구</t>
        </is>
      </c>
      <c r="AE444" s="0" t="inlineStr">
        <is>
          <t>수곡동</t>
        </is>
      </c>
      <c r="AG444" s="0" t="inlineStr">
        <is>
          <t>충청북도 청주시 서원구 청남로2022번길 73</t>
        </is>
      </c>
      <c r="AH444" s="0" t="n">
        <v>0</v>
      </c>
      <c r="AI444" s="0" t="n">
        <v>0</v>
      </c>
      <c r="AJ444" s="0" t="n">
        <v>0</v>
      </c>
      <c r="AK444" s="0" t="n">
        <v>0</v>
      </c>
      <c r="AL444" s="0" t="n">
        <v>0</v>
      </c>
    </row>
    <row r="445">
      <c r="A445" s="0" t="inlineStr">
        <is>
          <t>[수곡동]</t>
        </is>
      </c>
      <c r="B445" s="0" t="n">
        <v>120294</v>
      </c>
      <c r="C445" s="0" t="n">
        <v>3</v>
      </c>
      <c r="D445" s="0" t="inlineStr">
        <is>
          <t>두진한라</t>
        </is>
      </c>
      <c r="E445" s="0" t="inlineStr">
        <is>
          <t>1990.01.</t>
        </is>
      </c>
      <c r="F445" s="0" t="n">
        <v>75</v>
      </c>
      <c r="G445" s="0" t="n">
        <v>23.37</v>
      </c>
      <c r="H445" s="0" t="n">
        <v>77.27</v>
      </c>
      <c r="I445" s="0" t="n">
        <v>17.91</v>
      </c>
      <c r="J445" s="0" t="n">
        <v>59.22</v>
      </c>
      <c r="K445" s="0" t="n">
        <v>5</v>
      </c>
      <c r="T445" s="0" t="n">
        <v>3</v>
      </c>
      <c r="U445" s="0" t="n">
        <v>1</v>
      </c>
      <c r="V445" s="0" t="inlineStr">
        <is>
          <t>복도식</t>
        </is>
      </c>
      <c r="W445" s="0" t="inlineStr">
        <is>
          <t>77B</t>
        </is>
      </c>
      <c r="X445" s="0" t="n">
        <v>6</v>
      </c>
      <c r="Y445" s="0" t="n">
        <v>5</v>
      </c>
      <c r="Z445" s="0" t="inlineStr">
        <is>
          <t>https://new.land.naver.com/complexes/120294?tab=detail&amp;rf=Y</t>
        </is>
      </c>
      <c r="AA445" s="0" t="inlineStr">
        <is>
          <t>충청북도 청주시 서원구 수곡동 63-2</t>
        </is>
      </c>
      <c r="AB445" s="0" t="inlineStr">
        <is>
          <t>충청북도</t>
        </is>
      </c>
      <c r="AC445" s="0" t="inlineStr">
        <is>
          <t>청주시</t>
        </is>
      </c>
      <c r="AD445" s="0" t="inlineStr">
        <is>
          <t>서원구</t>
        </is>
      </c>
      <c r="AE445" s="0" t="inlineStr">
        <is>
          <t>수곡동</t>
        </is>
      </c>
      <c r="AG445" s="0" t="inlineStr">
        <is>
          <t>충청북도 청주시 서원구 청남로2022번길 73</t>
        </is>
      </c>
      <c r="AH445" s="0" t="n">
        <v>0</v>
      </c>
      <c r="AI445" s="0" t="n">
        <v>0</v>
      </c>
      <c r="AJ445" s="0" t="n">
        <v>0</v>
      </c>
      <c r="AK445" s="0" t="n">
        <v>0</v>
      </c>
      <c r="AL445" s="0" t="n">
        <v>0</v>
      </c>
    </row>
    <row r="446">
      <c r="A446" s="0" t="inlineStr">
        <is>
          <t>[수곡동]</t>
        </is>
      </c>
      <c r="B446" s="0" t="n">
        <v>120294</v>
      </c>
      <c r="C446" s="0" t="n">
        <v>4</v>
      </c>
      <c r="D446" s="0" t="inlineStr">
        <is>
          <t>두진한라</t>
        </is>
      </c>
      <c r="E446" s="0" t="inlineStr">
        <is>
          <t>1990.01.</t>
        </is>
      </c>
      <c r="F446" s="0" t="n">
        <v>75</v>
      </c>
      <c r="G446" s="0" t="n">
        <v>32.58</v>
      </c>
      <c r="H446" s="0" t="n">
        <v>107.72</v>
      </c>
      <c r="I446" s="0" t="n">
        <v>25.69</v>
      </c>
      <c r="J446" s="0" t="n">
        <v>84.93000000000001</v>
      </c>
      <c r="K446" s="0" t="n">
        <v>5</v>
      </c>
      <c r="T446" s="0" t="n">
        <v>3</v>
      </c>
      <c r="U446" s="0" t="n">
        <v>2</v>
      </c>
      <c r="V446" s="0" t="inlineStr">
        <is>
          <t>복도식</t>
        </is>
      </c>
      <c r="W446" s="0" t="inlineStr">
        <is>
          <t>107A</t>
        </is>
      </c>
      <c r="X446" s="0" t="n">
        <v>6</v>
      </c>
      <c r="Y446" s="0" t="n">
        <v>5</v>
      </c>
      <c r="Z446" s="0" t="inlineStr">
        <is>
          <t>https://new.land.naver.com/complexes/120294?tab=detail&amp;rf=Y</t>
        </is>
      </c>
      <c r="AA446" s="0" t="inlineStr">
        <is>
          <t>충청북도 청주시 서원구 수곡동 63-2</t>
        </is>
      </c>
      <c r="AB446" s="0" t="inlineStr">
        <is>
          <t>충청북도</t>
        </is>
      </c>
      <c r="AC446" s="0" t="inlineStr">
        <is>
          <t>청주시</t>
        </is>
      </c>
      <c r="AD446" s="0" t="inlineStr">
        <is>
          <t>서원구</t>
        </is>
      </c>
      <c r="AE446" s="0" t="inlineStr">
        <is>
          <t>수곡동</t>
        </is>
      </c>
      <c r="AG446" s="0" t="inlineStr">
        <is>
          <t>충청북도 청주시 서원구 청남로2022번길 73</t>
        </is>
      </c>
      <c r="AH446" s="0" t="n">
        <v>0</v>
      </c>
      <c r="AI446" s="0" t="n">
        <v>0</v>
      </c>
      <c r="AJ446" s="0" t="n">
        <v>0</v>
      </c>
      <c r="AK446" s="0" t="n">
        <v>0</v>
      </c>
      <c r="AL446" s="0" t="n">
        <v>0</v>
      </c>
    </row>
    <row r="447">
      <c r="A447" s="0" t="inlineStr">
        <is>
          <t>[수곡동]</t>
        </is>
      </c>
      <c r="B447" s="0" t="n">
        <v>120294</v>
      </c>
      <c r="C447" s="0" t="n">
        <v>5</v>
      </c>
      <c r="D447" s="0" t="inlineStr">
        <is>
          <t>두진한라</t>
        </is>
      </c>
      <c r="E447" s="0" t="inlineStr">
        <is>
          <t>1990.01.</t>
        </is>
      </c>
      <c r="F447" s="0" t="n">
        <v>75</v>
      </c>
      <c r="G447" s="0" t="n">
        <v>32.72</v>
      </c>
      <c r="H447" s="0" t="n">
        <v>108.18</v>
      </c>
      <c r="I447" s="0" t="n">
        <v>25.7</v>
      </c>
      <c r="J447" s="0" t="n">
        <v>84.95999999999999</v>
      </c>
      <c r="K447" s="0" t="n">
        <v>30</v>
      </c>
      <c r="T447" s="0" t="n">
        <v>3</v>
      </c>
      <c r="U447" s="0" t="n">
        <v>2</v>
      </c>
      <c r="V447" s="0" t="inlineStr">
        <is>
          <t>복도식</t>
        </is>
      </c>
      <c r="W447" s="0" t="inlineStr">
        <is>
          <t>108B</t>
        </is>
      </c>
      <c r="X447" s="0" t="n">
        <v>6</v>
      </c>
      <c r="Y447" s="0" t="n">
        <v>5</v>
      </c>
      <c r="Z447" s="0" t="inlineStr">
        <is>
          <t>https://new.land.naver.com/complexes/120294?tab=detail&amp;rf=Y</t>
        </is>
      </c>
      <c r="AA447" s="0" t="inlineStr">
        <is>
          <t>충청북도 청주시 서원구 수곡동 63-2</t>
        </is>
      </c>
      <c r="AB447" s="0" t="inlineStr">
        <is>
          <t>충청북도</t>
        </is>
      </c>
      <c r="AC447" s="0" t="inlineStr">
        <is>
          <t>청주시</t>
        </is>
      </c>
      <c r="AD447" s="0" t="inlineStr">
        <is>
          <t>서원구</t>
        </is>
      </c>
      <c r="AE447" s="0" t="inlineStr">
        <is>
          <t>수곡동</t>
        </is>
      </c>
      <c r="AG447" s="0" t="inlineStr">
        <is>
          <t>충청북도 청주시 서원구 청남로2022번길 73</t>
        </is>
      </c>
      <c r="AH447" s="0" t="n">
        <v>0</v>
      </c>
      <c r="AI447" s="0" t="n">
        <v>0</v>
      </c>
      <c r="AJ447" s="0" t="n">
        <v>0</v>
      </c>
      <c r="AK447" s="0" t="n">
        <v>0</v>
      </c>
      <c r="AL447" s="0" t="n">
        <v>0</v>
      </c>
    </row>
    <row r="448">
      <c r="A448" s="0" t="inlineStr">
        <is>
          <t>[수곡동]</t>
        </is>
      </c>
      <c r="B448" s="0" t="n">
        <v>120294</v>
      </c>
      <c r="C448" s="0" t="n">
        <v>6</v>
      </c>
      <c r="D448" s="0" t="inlineStr">
        <is>
          <t>두진한라</t>
        </is>
      </c>
      <c r="E448" s="0" t="inlineStr">
        <is>
          <t>1990.01.</t>
        </is>
      </c>
      <c r="F448" s="0" t="n">
        <v>75</v>
      </c>
      <c r="G448" s="0" t="n">
        <v>35</v>
      </c>
      <c r="H448" s="0" t="n">
        <v>115.73</v>
      </c>
      <c r="I448" s="0" t="n">
        <v>25.7</v>
      </c>
      <c r="J448" s="0" t="n">
        <v>84.95999999999999</v>
      </c>
      <c r="K448" s="0" t="n">
        <v>5</v>
      </c>
      <c r="T448" s="0" t="n">
        <v>3</v>
      </c>
      <c r="U448" s="0" t="n">
        <v>2</v>
      </c>
      <c r="V448" s="0" t="inlineStr">
        <is>
          <t>복도식</t>
        </is>
      </c>
      <c r="W448" s="0" t="n">
        <v>115</v>
      </c>
      <c r="X448" s="0" t="n">
        <v>6</v>
      </c>
      <c r="Y448" s="0" t="n">
        <v>5</v>
      </c>
      <c r="Z448" s="0" t="inlineStr">
        <is>
          <t>https://new.land.naver.com/complexes/120294?tab=detail&amp;rf=Y</t>
        </is>
      </c>
      <c r="AA448" s="0" t="inlineStr">
        <is>
          <t>충청북도 청주시 서원구 수곡동 63-2</t>
        </is>
      </c>
      <c r="AB448" s="0" t="inlineStr">
        <is>
          <t>충청북도</t>
        </is>
      </c>
      <c r="AC448" s="0" t="inlineStr">
        <is>
          <t>청주시</t>
        </is>
      </c>
      <c r="AD448" s="0" t="inlineStr">
        <is>
          <t>서원구</t>
        </is>
      </c>
      <c r="AE448" s="0" t="inlineStr">
        <is>
          <t>수곡동</t>
        </is>
      </c>
      <c r="AG448" s="0" t="inlineStr">
        <is>
          <t>충청북도 청주시 서원구 청남로2022번길 73</t>
        </is>
      </c>
      <c r="AH448" s="0" t="n">
        <v>0</v>
      </c>
      <c r="AI448" s="0" t="n">
        <v>0</v>
      </c>
      <c r="AJ448" s="0" t="n">
        <v>0</v>
      </c>
      <c r="AK448" s="0" t="n">
        <v>0</v>
      </c>
      <c r="AL448" s="0" t="n">
        <v>0</v>
      </c>
    </row>
    <row r="449">
      <c r="A449" s="0" t="inlineStr">
        <is>
          <t>[수곡동]</t>
        </is>
      </c>
      <c r="B449" s="0" t="n">
        <v>7410</v>
      </c>
      <c r="C449" s="0" t="n">
        <v>1</v>
      </c>
      <c r="D449" s="0" t="inlineStr">
        <is>
          <t>산남주공3차</t>
        </is>
      </c>
      <c r="E449" s="0" t="inlineStr">
        <is>
          <t>1991.11.</t>
        </is>
      </c>
      <c r="F449" s="0" t="n">
        <v>510</v>
      </c>
      <c r="G449" s="0" t="n">
        <v>17.28</v>
      </c>
      <c r="H449" s="0" t="n">
        <v>57.15</v>
      </c>
      <c r="I449" s="0" t="n">
        <v>12.49</v>
      </c>
      <c r="J449" s="0" t="n">
        <v>41.3</v>
      </c>
      <c r="K449" s="0" t="n">
        <v>180</v>
      </c>
      <c r="T449" s="0" t="n">
        <v>2</v>
      </c>
      <c r="U449" s="0" t="n">
        <v>1</v>
      </c>
      <c r="V449" s="0" t="inlineStr">
        <is>
          <t>복도식</t>
        </is>
      </c>
      <c r="W449" s="0" t="n">
        <v>57</v>
      </c>
      <c r="X449" s="0" t="n">
        <v>15</v>
      </c>
      <c r="Y449" s="0" t="n">
        <v>5</v>
      </c>
      <c r="Z449" s="0" t="inlineStr">
        <is>
          <t>https://new.land.naver.com/complexes/7410?tab=detail&amp;rf=Y</t>
        </is>
      </c>
      <c r="AA449" s="0" t="inlineStr">
        <is>
          <t>충청북도 청주시 서원구 수곡동 337</t>
        </is>
      </c>
      <c r="AB449" s="0" t="inlineStr">
        <is>
          <t>충청북도</t>
        </is>
      </c>
      <c r="AC449" s="0" t="inlineStr">
        <is>
          <t>청주시</t>
        </is>
      </c>
      <c r="AD449" s="0" t="inlineStr">
        <is>
          <t>서원구</t>
        </is>
      </c>
      <c r="AE449" s="0" t="inlineStr">
        <is>
          <t>수곡동</t>
        </is>
      </c>
      <c r="AG449" s="0" t="inlineStr">
        <is>
          <t>충청북도 청주시 서원구 매봉로 82</t>
        </is>
      </c>
      <c r="AH449" s="0" t="n">
        <v>0</v>
      </c>
      <c r="AI449" s="0" t="n">
        <v>0</v>
      </c>
      <c r="AJ449" s="0" t="n">
        <v>0</v>
      </c>
      <c r="AK449" s="0" t="n">
        <v>0</v>
      </c>
      <c r="AL449" s="0" t="n">
        <v>0</v>
      </c>
    </row>
    <row r="450">
      <c r="A450" s="0" t="inlineStr">
        <is>
          <t>[수곡동]</t>
        </is>
      </c>
      <c r="B450" s="0" t="n">
        <v>7410</v>
      </c>
      <c r="C450" s="0" t="n">
        <v>2</v>
      </c>
      <c r="D450" s="0" t="inlineStr">
        <is>
          <t>산남주공3차</t>
        </is>
      </c>
      <c r="E450" s="0" t="inlineStr">
        <is>
          <t>1991.11.</t>
        </is>
      </c>
      <c r="F450" s="0" t="n">
        <v>510</v>
      </c>
      <c r="G450" s="0" t="n">
        <v>18.83</v>
      </c>
      <c r="H450" s="0" t="n">
        <v>62.26</v>
      </c>
      <c r="I450" s="0" t="n">
        <v>15.48</v>
      </c>
      <c r="J450" s="0" t="n">
        <v>51.18</v>
      </c>
      <c r="K450" s="0" t="n">
        <v>81</v>
      </c>
      <c r="T450" s="0" t="n">
        <v>2</v>
      </c>
      <c r="U450" s="0" t="n">
        <v>1</v>
      </c>
      <c r="V450" s="0" t="inlineStr">
        <is>
          <t>복도식</t>
        </is>
      </c>
      <c r="W450" s="0" t="n">
        <v>62</v>
      </c>
      <c r="X450" s="0" t="n">
        <v>15</v>
      </c>
      <c r="Y450" s="0" t="n">
        <v>5</v>
      </c>
      <c r="Z450" s="0" t="inlineStr">
        <is>
          <t>https://new.land.naver.com/complexes/7410?tab=detail&amp;rf=Y</t>
        </is>
      </c>
      <c r="AA450" s="0" t="inlineStr">
        <is>
          <t>충청북도 청주시 서원구 수곡동 337</t>
        </is>
      </c>
      <c r="AB450" s="0" t="inlineStr">
        <is>
          <t>충청북도</t>
        </is>
      </c>
      <c r="AC450" s="0" t="inlineStr">
        <is>
          <t>청주시</t>
        </is>
      </c>
      <c r="AD450" s="0" t="inlineStr">
        <is>
          <t>서원구</t>
        </is>
      </c>
      <c r="AE450" s="0" t="inlineStr">
        <is>
          <t>수곡동</t>
        </is>
      </c>
      <c r="AG450" s="0" t="inlineStr">
        <is>
          <t>충청북도 청주시 서원구 매봉로 82</t>
        </is>
      </c>
      <c r="AH450" s="0" t="n">
        <v>0</v>
      </c>
      <c r="AI450" s="0" t="n">
        <v>0</v>
      </c>
      <c r="AJ450" s="0" t="n">
        <v>0</v>
      </c>
      <c r="AK450" s="0" t="n">
        <v>0</v>
      </c>
      <c r="AL450" s="0" t="n">
        <v>0</v>
      </c>
    </row>
    <row r="451">
      <c r="A451" s="0" t="inlineStr">
        <is>
          <t>[수곡동]</t>
        </is>
      </c>
      <c r="B451" s="0" t="n">
        <v>7410</v>
      </c>
      <c r="C451" s="0" t="n">
        <v>3</v>
      </c>
      <c r="D451" s="0" t="inlineStr">
        <is>
          <t>산남주공3차</t>
        </is>
      </c>
      <c r="E451" s="0" t="inlineStr">
        <is>
          <t>1991.11.</t>
        </is>
      </c>
      <c r="F451" s="0" t="n">
        <v>510</v>
      </c>
      <c r="G451" s="0" t="n">
        <v>20.9</v>
      </c>
      <c r="H451" s="0" t="n">
        <v>69.09999999999999</v>
      </c>
      <c r="I451" s="0" t="n">
        <v>15.1</v>
      </c>
      <c r="J451" s="0" t="n">
        <v>49.94</v>
      </c>
      <c r="K451" s="0" t="n">
        <v>180</v>
      </c>
      <c r="T451" s="0" t="n">
        <v>2</v>
      </c>
      <c r="U451" s="0" t="n">
        <v>1</v>
      </c>
      <c r="V451" s="0" t="inlineStr">
        <is>
          <t>복도식</t>
        </is>
      </c>
      <c r="W451" s="0" t="n">
        <v>69</v>
      </c>
      <c r="X451" s="0" t="n">
        <v>15</v>
      </c>
      <c r="Y451" s="0" t="n">
        <v>5</v>
      </c>
      <c r="Z451" s="0" t="inlineStr">
        <is>
          <t>https://new.land.naver.com/complexes/7410?tab=detail&amp;rf=Y</t>
        </is>
      </c>
      <c r="AA451" s="0" t="inlineStr">
        <is>
          <t>충청북도 청주시 서원구 수곡동 337</t>
        </is>
      </c>
      <c r="AB451" s="0" t="inlineStr">
        <is>
          <t>충청북도</t>
        </is>
      </c>
      <c r="AC451" s="0" t="inlineStr">
        <is>
          <t>청주시</t>
        </is>
      </c>
      <c r="AD451" s="0" t="inlineStr">
        <is>
          <t>서원구</t>
        </is>
      </c>
      <c r="AE451" s="0" t="inlineStr">
        <is>
          <t>수곡동</t>
        </is>
      </c>
      <c r="AG451" s="0" t="inlineStr">
        <is>
          <t>충청북도 청주시 서원구 매봉로 82</t>
        </is>
      </c>
      <c r="AH451" s="0" t="n">
        <v>0</v>
      </c>
      <c r="AI451" s="0" t="n">
        <v>0</v>
      </c>
      <c r="AJ451" s="0" t="n">
        <v>0</v>
      </c>
      <c r="AK451" s="0" t="n">
        <v>0</v>
      </c>
      <c r="AL451" s="0" t="n">
        <v>0</v>
      </c>
    </row>
    <row r="452">
      <c r="A452" s="0" t="inlineStr">
        <is>
          <t>[수곡동]</t>
        </is>
      </c>
      <c r="B452" s="0" t="n">
        <v>7410</v>
      </c>
      <c r="C452" s="0" t="n">
        <v>4</v>
      </c>
      <c r="D452" s="0" t="inlineStr">
        <is>
          <t>산남주공3차</t>
        </is>
      </c>
      <c r="E452" s="0" t="inlineStr">
        <is>
          <t>1991.11.</t>
        </is>
      </c>
      <c r="F452" s="0" t="n">
        <v>510</v>
      </c>
      <c r="G452" s="0" t="n">
        <v>21.81</v>
      </c>
      <c r="H452" s="0" t="n">
        <v>72.12</v>
      </c>
      <c r="I452" s="0" t="n">
        <v>17.93</v>
      </c>
      <c r="J452" s="0" t="n">
        <v>59.28</v>
      </c>
      <c r="K452" s="0" t="n">
        <v>69</v>
      </c>
      <c r="T452" s="0" t="n">
        <v>3</v>
      </c>
      <c r="U452" s="0" t="n">
        <v>1</v>
      </c>
      <c r="V452" s="0" t="inlineStr">
        <is>
          <t>복도식</t>
        </is>
      </c>
      <c r="W452" s="0" t="n">
        <v>72</v>
      </c>
      <c r="X452" s="0" t="n">
        <v>15</v>
      </c>
      <c r="Y452" s="0" t="n">
        <v>5</v>
      </c>
      <c r="Z452" s="0" t="inlineStr">
        <is>
          <t>https://new.land.naver.com/complexes/7410?tab=detail&amp;rf=Y</t>
        </is>
      </c>
      <c r="AA452" s="0" t="inlineStr">
        <is>
          <t>충청북도 청주시 서원구 수곡동 337</t>
        </is>
      </c>
      <c r="AB452" s="0" t="inlineStr">
        <is>
          <t>충청북도</t>
        </is>
      </c>
      <c r="AC452" s="0" t="inlineStr">
        <is>
          <t>청주시</t>
        </is>
      </c>
      <c r="AD452" s="0" t="inlineStr">
        <is>
          <t>서원구</t>
        </is>
      </c>
      <c r="AE452" s="0" t="inlineStr">
        <is>
          <t>수곡동</t>
        </is>
      </c>
      <c r="AG452" s="0" t="inlineStr">
        <is>
          <t>충청북도 청주시 서원구 매봉로 82</t>
        </is>
      </c>
      <c r="AH452" s="0" t="n">
        <v>0</v>
      </c>
      <c r="AI452" s="0" t="n">
        <v>0</v>
      </c>
      <c r="AJ452" s="0" t="n">
        <v>0</v>
      </c>
      <c r="AK452" s="0" t="n">
        <v>0</v>
      </c>
      <c r="AL452" s="0" t="n">
        <v>0</v>
      </c>
    </row>
    <row r="453">
      <c r="A453" s="0" t="inlineStr">
        <is>
          <t>[수곡동]</t>
        </is>
      </c>
      <c r="B453" s="0" t="n">
        <v>12787</v>
      </c>
      <c r="C453" s="0" t="n">
        <v>1</v>
      </c>
      <c r="D453" s="0" t="inlineStr">
        <is>
          <t>한마음2차</t>
        </is>
      </c>
      <c r="E453" s="0" t="inlineStr">
        <is>
          <t>1995.04.</t>
        </is>
      </c>
      <c r="F453" s="0" t="n">
        <v>228</v>
      </c>
      <c r="G453" s="0" t="n">
        <v>39.35</v>
      </c>
      <c r="H453" s="0" t="n">
        <v>130.09</v>
      </c>
      <c r="I453" s="0" t="n">
        <v>33.52</v>
      </c>
      <c r="J453" s="0" t="n">
        <v>110.82</v>
      </c>
      <c r="K453" s="0" t="n">
        <v>156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130</v>
      </c>
      <c r="X453" s="0" t="n">
        <v>13</v>
      </c>
      <c r="Y453" s="0" t="n">
        <v>12</v>
      </c>
      <c r="Z453" s="0" t="inlineStr">
        <is>
          <t>https://new.land.naver.com/complexes/12787?tab=detail&amp;rf=Y</t>
        </is>
      </c>
      <c r="AA453" s="0" t="inlineStr">
        <is>
          <t>충청북도 청주시 서원구 수곡동 775</t>
        </is>
      </c>
      <c r="AB453" s="0" t="inlineStr">
        <is>
          <t>충청북도</t>
        </is>
      </c>
      <c r="AC453" s="0" t="inlineStr">
        <is>
          <t>청주시</t>
        </is>
      </c>
      <c r="AD453" s="0" t="inlineStr">
        <is>
          <t>서원구</t>
        </is>
      </c>
      <c r="AE453" s="0" t="inlineStr">
        <is>
          <t>수곡동</t>
        </is>
      </c>
      <c r="AG453" s="0" t="inlineStr">
        <is>
          <t>충청북도 청주시 서원구 수곡로 100</t>
        </is>
      </c>
      <c r="AH453" s="0" t="n">
        <v>0</v>
      </c>
      <c r="AI453" s="0" t="n">
        <v>0</v>
      </c>
      <c r="AJ453" s="0" t="n">
        <v>0</v>
      </c>
      <c r="AK453" s="0" t="n">
        <v>0</v>
      </c>
      <c r="AL453" s="0" t="n">
        <v>0</v>
      </c>
    </row>
    <row r="454">
      <c r="A454" s="0" t="inlineStr">
        <is>
          <t>[수곡동]</t>
        </is>
      </c>
      <c r="B454" s="0" t="n">
        <v>12787</v>
      </c>
      <c r="C454" s="0" t="n">
        <v>2</v>
      </c>
      <c r="D454" s="0" t="inlineStr">
        <is>
          <t>한마음2차</t>
        </is>
      </c>
      <c r="E454" s="0" t="inlineStr">
        <is>
          <t>1995.04.</t>
        </is>
      </c>
      <c r="F454" s="0" t="n">
        <v>228</v>
      </c>
      <c r="G454" s="0" t="n">
        <v>46.05</v>
      </c>
      <c r="H454" s="0" t="n">
        <v>152.24</v>
      </c>
      <c r="I454" s="0" t="n">
        <v>39.89</v>
      </c>
      <c r="J454" s="0" t="n">
        <v>131.89</v>
      </c>
      <c r="K454" s="0" t="n">
        <v>48</v>
      </c>
      <c r="T454" s="0" t="n">
        <v>4</v>
      </c>
      <c r="U454" s="0" t="n">
        <v>2</v>
      </c>
      <c r="V454" s="0" t="inlineStr">
        <is>
          <t>계단식</t>
        </is>
      </c>
      <c r="W454" s="0" t="n">
        <v>152</v>
      </c>
      <c r="X454" s="0" t="n">
        <v>13</v>
      </c>
      <c r="Y454" s="0" t="n">
        <v>12</v>
      </c>
      <c r="Z454" s="0" t="inlineStr">
        <is>
          <t>https://new.land.naver.com/complexes/12787?tab=detail&amp;rf=Y</t>
        </is>
      </c>
      <c r="AA454" s="0" t="inlineStr">
        <is>
          <t>충청북도 청주시 서원구 수곡동 775</t>
        </is>
      </c>
      <c r="AB454" s="0" t="inlineStr">
        <is>
          <t>충청북도</t>
        </is>
      </c>
      <c r="AC454" s="0" t="inlineStr">
        <is>
          <t>청주시</t>
        </is>
      </c>
      <c r="AD454" s="0" t="inlineStr">
        <is>
          <t>서원구</t>
        </is>
      </c>
      <c r="AE454" s="0" t="inlineStr">
        <is>
          <t>수곡동</t>
        </is>
      </c>
      <c r="AG454" s="0" t="inlineStr">
        <is>
          <t>충청북도 청주시 서원구 수곡로 100</t>
        </is>
      </c>
      <c r="AH454" s="0" t="n">
        <v>0</v>
      </c>
      <c r="AI454" s="0" t="n">
        <v>0</v>
      </c>
      <c r="AJ454" s="0" t="n">
        <v>0</v>
      </c>
      <c r="AK454" s="0" t="n">
        <v>0</v>
      </c>
      <c r="AL454" s="0" t="n">
        <v>0</v>
      </c>
    </row>
    <row r="455">
      <c r="A455" s="0" t="inlineStr">
        <is>
          <t>[수곡동]</t>
        </is>
      </c>
      <c r="B455" s="0" t="n">
        <v>12787</v>
      </c>
      <c r="C455" s="0" t="n">
        <v>3</v>
      </c>
      <c r="D455" s="0" t="inlineStr">
        <is>
          <t>한마음2차</t>
        </is>
      </c>
      <c r="E455" s="0" t="inlineStr">
        <is>
          <t>1995.04.</t>
        </is>
      </c>
      <c r="F455" s="0" t="n">
        <v>228</v>
      </c>
      <c r="G455" s="0" t="n">
        <v>57.74</v>
      </c>
      <c r="H455" s="0" t="n">
        <v>190.9</v>
      </c>
      <c r="I455" s="0" t="n">
        <v>49.9</v>
      </c>
      <c r="J455" s="0" t="n">
        <v>164.97</v>
      </c>
      <c r="K455" s="0" t="n">
        <v>24</v>
      </c>
      <c r="T455" s="0" t="n">
        <v>5</v>
      </c>
      <c r="U455" s="0" t="n">
        <v>2</v>
      </c>
      <c r="V455" s="0" t="inlineStr">
        <is>
          <t>계단식</t>
        </is>
      </c>
      <c r="W455" s="0" t="n">
        <v>190</v>
      </c>
      <c r="X455" s="0" t="n">
        <v>13</v>
      </c>
      <c r="Y455" s="0" t="n">
        <v>12</v>
      </c>
      <c r="Z455" s="0" t="inlineStr">
        <is>
          <t>https://new.land.naver.com/complexes/12787?tab=detail&amp;rf=Y</t>
        </is>
      </c>
      <c r="AA455" s="0" t="inlineStr">
        <is>
          <t>충청북도 청주시 서원구 수곡동 775</t>
        </is>
      </c>
      <c r="AB455" s="0" t="inlineStr">
        <is>
          <t>충청북도</t>
        </is>
      </c>
      <c r="AC455" s="0" t="inlineStr">
        <is>
          <t>청주시</t>
        </is>
      </c>
      <c r="AD455" s="0" t="inlineStr">
        <is>
          <t>서원구</t>
        </is>
      </c>
      <c r="AE455" s="0" t="inlineStr">
        <is>
          <t>수곡동</t>
        </is>
      </c>
      <c r="AG455" s="0" t="inlineStr">
        <is>
          <t>충청북도 청주시 서원구 수곡로 100</t>
        </is>
      </c>
      <c r="AH455" s="0" t="n">
        <v>0</v>
      </c>
      <c r="AI455" s="0" t="n">
        <v>0</v>
      </c>
      <c r="AJ455" s="0" t="n">
        <v>0</v>
      </c>
      <c r="AK455" s="0" t="n">
        <v>0</v>
      </c>
      <c r="AL455" s="0" t="n">
        <v>0</v>
      </c>
    </row>
    <row r="456">
      <c r="A456" s="0" t="inlineStr">
        <is>
          <t>[수곡동]</t>
        </is>
      </c>
      <c r="B456" s="0" t="n">
        <v>12786</v>
      </c>
      <c r="C456" s="0" t="n">
        <v>1</v>
      </c>
      <c r="D456" s="0" t="inlineStr">
        <is>
          <t>한마음1차</t>
        </is>
      </c>
      <c r="E456" s="0" t="inlineStr">
        <is>
          <t>1995.04.</t>
        </is>
      </c>
      <c r="F456" s="0" t="n">
        <v>435</v>
      </c>
      <c r="G456" s="0" t="n">
        <v>22.87</v>
      </c>
      <c r="H456" s="0" t="n">
        <v>75.63</v>
      </c>
      <c r="I456" s="0" t="n">
        <v>18.13</v>
      </c>
      <c r="J456" s="0" t="n">
        <v>59.94</v>
      </c>
      <c r="K456" s="0" t="n">
        <v>435</v>
      </c>
      <c r="T456" s="0" t="n">
        <v>3</v>
      </c>
      <c r="U456" s="0" t="n">
        <v>1</v>
      </c>
      <c r="V456" s="0" t="inlineStr">
        <is>
          <t>계단식</t>
        </is>
      </c>
      <c r="W456" s="0" t="n">
        <v>75</v>
      </c>
      <c r="X456" s="0" t="n">
        <v>15</v>
      </c>
      <c r="Y456" s="0" t="n">
        <v>15</v>
      </c>
      <c r="Z456" s="0" t="inlineStr">
        <is>
          <t>https://new.land.naver.com/complexes/12786?tab=detail&amp;rf=Y</t>
        </is>
      </c>
      <c r="AA456" s="0" t="inlineStr">
        <is>
          <t>충청북도 청주시 서원구 수곡동 777</t>
        </is>
      </c>
      <c r="AB456" s="0" t="inlineStr">
        <is>
          <t>충청북도</t>
        </is>
      </c>
      <c r="AC456" s="0" t="inlineStr">
        <is>
          <t>청주시</t>
        </is>
      </c>
      <c r="AD456" s="0" t="inlineStr">
        <is>
          <t>서원구</t>
        </is>
      </c>
      <c r="AE456" s="0" t="inlineStr">
        <is>
          <t>수곡동</t>
        </is>
      </c>
      <c r="AG456" s="0" t="inlineStr">
        <is>
          <t>충청북도 청주시 서원구 수곡로 78</t>
        </is>
      </c>
      <c r="AH456" s="0" t="n">
        <v>0</v>
      </c>
      <c r="AI456" s="0" t="n">
        <v>0</v>
      </c>
      <c r="AJ456" s="0" t="n">
        <v>0</v>
      </c>
      <c r="AK456" s="0" t="n">
        <v>500</v>
      </c>
      <c r="AL456" s="0" t="n">
        <v>1.15</v>
      </c>
    </row>
    <row r="457">
      <c r="A457" s="0" t="inlineStr">
        <is>
          <t>[수곡동]</t>
        </is>
      </c>
      <c r="B457" s="0" t="n">
        <v>115878</v>
      </c>
      <c r="C457" s="0" t="n">
        <v>1</v>
      </c>
      <c r="D457" s="0" t="inlineStr">
        <is>
          <t>수정</t>
        </is>
      </c>
      <c r="E457" s="0" t="inlineStr">
        <is>
          <t>1989.12.</t>
        </is>
      </c>
      <c r="F457" s="0" t="n">
        <v>72</v>
      </c>
      <c r="G457" s="0" t="n">
        <v>30.81</v>
      </c>
      <c r="H457" s="0" t="n">
        <v>101.86</v>
      </c>
      <c r="I457" s="0" t="n">
        <v>24.49</v>
      </c>
      <c r="J457" s="0" t="n">
        <v>80.97</v>
      </c>
      <c r="K457" s="0" t="n">
        <v>36</v>
      </c>
      <c r="T457" s="0" t="n">
        <v>3</v>
      </c>
      <c r="U457" s="0" t="n">
        <v>2</v>
      </c>
      <c r="V457" s="0" t="inlineStr">
        <is>
          <t>계단식</t>
        </is>
      </c>
      <c r="W457" s="0" t="n">
        <v>101</v>
      </c>
      <c r="X457" s="0" t="n">
        <v>9</v>
      </c>
      <c r="Y457" s="0" t="n">
        <v>9</v>
      </c>
      <c r="Z457" s="0" t="inlineStr">
        <is>
          <t>https://new.land.naver.com/complexes/115878?tab=detail&amp;rf=Y</t>
        </is>
      </c>
      <c r="AA457" s="0" t="inlineStr">
        <is>
          <t>충청북도 청주시 서원구 수곡동 38-3</t>
        </is>
      </c>
      <c r="AB457" s="0" t="inlineStr">
        <is>
          <t>충청북도</t>
        </is>
      </c>
      <c r="AC457" s="0" t="inlineStr">
        <is>
          <t>청주시</t>
        </is>
      </c>
      <c r="AD457" s="0" t="inlineStr">
        <is>
          <t>서원구</t>
        </is>
      </c>
      <c r="AE457" s="0" t="inlineStr">
        <is>
          <t>수곡동</t>
        </is>
      </c>
      <c r="AG457" s="0" t="inlineStr">
        <is>
          <t>충청북도 청주시 서원구 수영로36번길 5</t>
        </is>
      </c>
      <c r="AH457" s="0" t="n">
        <v>0</v>
      </c>
      <c r="AI457" s="0" t="n">
        <v>0</v>
      </c>
      <c r="AJ457" s="0" t="n">
        <v>0</v>
      </c>
      <c r="AK457" s="0" t="n">
        <v>0</v>
      </c>
      <c r="AL457" s="0" t="n">
        <v>0</v>
      </c>
    </row>
    <row r="458">
      <c r="A458" s="0" t="inlineStr">
        <is>
          <t>[수곡동]</t>
        </is>
      </c>
      <c r="B458" s="0" t="n">
        <v>115878</v>
      </c>
      <c r="C458" s="0" t="n">
        <v>2</v>
      </c>
      <c r="D458" s="0" t="inlineStr">
        <is>
          <t>수정</t>
        </is>
      </c>
      <c r="E458" s="0" t="inlineStr">
        <is>
          <t>1989.12.</t>
        </is>
      </c>
      <c r="F458" s="0" t="n">
        <v>72</v>
      </c>
      <c r="G458" s="0" t="n">
        <v>32.26</v>
      </c>
      <c r="H458" s="0" t="n">
        <v>106.65</v>
      </c>
      <c r="I458" s="0" t="n">
        <v>25.63</v>
      </c>
      <c r="J458" s="0" t="n">
        <v>84.73</v>
      </c>
      <c r="K458" s="0" t="n">
        <v>18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106</v>
      </c>
      <c r="X458" s="0" t="n">
        <v>9</v>
      </c>
      <c r="Y458" s="0" t="n">
        <v>9</v>
      </c>
      <c r="Z458" s="0" t="inlineStr">
        <is>
          <t>https://new.land.naver.com/complexes/115878?tab=detail&amp;rf=Y</t>
        </is>
      </c>
      <c r="AA458" s="0" t="inlineStr">
        <is>
          <t>충청북도 청주시 서원구 수곡동 38-3</t>
        </is>
      </c>
      <c r="AB458" s="0" t="inlineStr">
        <is>
          <t>충청북도</t>
        </is>
      </c>
      <c r="AC458" s="0" t="inlineStr">
        <is>
          <t>청주시</t>
        </is>
      </c>
      <c r="AD458" s="0" t="inlineStr">
        <is>
          <t>서원구</t>
        </is>
      </c>
      <c r="AE458" s="0" t="inlineStr">
        <is>
          <t>수곡동</t>
        </is>
      </c>
      <c r="AG458" s="0" t="inlineStr">
        <is>
          <t>충청북도 청주시 서원구 수영로36번길 5</t>
        </is>
      </c>
      <c r="AH458" s="0" t="n">
        <v>0</v>
      </c>
      <c r="AI458" s="0" t="n">
        <v>0</v>
      </c>
      <c r="AJ458" s="0" t="n">
        <v>0</v>
      </c>
      <c r="AK458" s="0" t="n">
        <v>0</v>
      </c>
      <c r="AL458" s="0" t="n">
        <v>0</v>
      </c>
    </row>
    <row r="459">
      <c r="A459" s="0" t="inlineStr">
        <is>
          <t>[수곡동]</t>
        </is>
      </c>
      <c r="B459" s="0" t="n">
        <v>115878</v>
      </c>
      <c r="C459" s="0" t="n">
        <v>3</v>
      </c>
      <c r="D459" s="0" t="inlineStr">
        <is>
          <t>수정</t>
        </is>
      </c>
      <c r="E459" s="0" t="inlineStr">
        <is>
          <t>1989.12.</t>
        </is>
      </c>
      <c r="F459" s="0" t="n">
        <v>72</v>
      </c>
      <c r="G459" s="0" t="n">
        <v>45.09</v>
      </c>
      <c r="H459" s="0" t="n">
        <v>149.07</v>
      </c>
      <c r="I459" s="0" t="n">
        <v>36.82</v>
      </c>
      <c r="J459" s="0" t="n">
        <v>121.75</v>
      </c>
      <c r="K459" s="0" t="n">
        <v>18</v>
      </c>
      <c r="T459" s="0" t="n">
        <v>4</v>
      </c>
      <c r="U459" s="0" t="n">
        <v>2</v>
      </c>
      <c r="V459" s="0" t="inlineStr">
        <is>
          <t>계단식</t>
        </is>
      </c>
      <c r="W459" s="0" t="n">
        <v>149</v>
      </c>
      <c r="X459" s="0" t="n">
        <v>9</v>
      </c>
      <c r="Y459" s="0" t="n">
        <v>9</v>
      </c>
      <c r="Z459" s="0" t="inlineStr">
        <is>
          <t>https://new.land.naver.com/complexes/115878?tab=detail&amp;rf=Y</t>
        </is>
      </c>
      <c r="AA459" s="0" t="inlineStr">
        <is>
          <t>충청북도 청주시 서원구 수곡동 38-3</t>
        </is>
      </c>
      <c r="AB459" s="0" t="inlineStr">
        <is>
          <t>충청북도</t>
        </is>
      </c>
      <c r="AC459" s="0" t="inlineStr">
        <is>
          <t>청주시</t>
        </is>
      </c>
      <c r="AD459" s="0" t="inlineStr">
        <is>
          <t>서원구</t>
        </is>
      </c>
      <c r="AE459" s="0" t="inlineStr">
        <is>
          <t>수곡동</t>
        </is>
      </c>
      <c r="AG459" s="0" t="inlineStr">
        <is>
          <t>충청북도 청주시 서원구 수영로36번길 5</t>
        </is>
      </c>
      <c r="AH459" s="0" t="n">
        <v>0</v>
      </c>
      <c r="AI459" s="0" t="n">
        <v>0</v>
      </c>
      <c r="AJ459" s="0" t="n">
        <v>0</v>
      </c>
      <c r="AK459" s="0" t="n">
        <v>0</v>
      </c>
      <c r="AL459" s="0" t="n">
        <v>0</v>
      </c>
    </row>
    <row r="460">
      <c r="A460" s="0" t="inlineStr">
        <is>
          <t>[수곡동]</t>
        </is>
      </c>
      <c r="B460" s="0" t="n">
        <v>7396</v>
      </c>
      <c r="C460" s="0" t="n">
        <v>1</v>
      </c>
      <c r="D460" s="0" t="inlineStr">
        <is>
          <t>대림2차</t>
        </is>
      </c>
      <c r="E460" s="0" t="inlineStr">
        <is>
          <t>1987.07.</t>
        </is>
      </c>
      <c r="F460" s="0" t="n">
        <v>120</v>
      </c>
      <c r="G460" s="0" t="n">
        <v>28.05</v>
      </c>
      <c r="H460" s="0" t="n">
        <v>92.76000000000001</v>
      </c>
      <c r="I460" s="0" t="n">
        <v>20.66</v>
      </c>
      <c r="J460" s="0" t="n">
        <v>68.31</v>
      </c>
      <c r="K460" s="0" t="n">
        <v>40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92</v>
      </c>
      <c r="X460" s="0" t="n">
        <v>5</v>
      </c>
      <c r="Y460" s="0" t="n">
        <v>5</v>
      </c>
      <c r="Z460" s="0" t="inlineStr">
        <is>
          <t>https://new.land.naver.com/complexes/7396?tab=detail&amp;rf=Y</t>
        </is>
      </c>
      <c r="AA460" s="0" t="inlineStr">
        <is>
          <t>충청북도 청주시 서원구 수곡동 239</t>
        </is>
      </c>
      <c r="AB460" s="0" t="inlineStr">
        <is>
          <t>충청북도</t>
        </is>
      </c>
      <c r="AC460" s="0" t="inlineStr">
        <is>
          <t>청주시</t>
        </is>
      </c>
      <c r="AD460" s="0" t="inlineStr">
        <is>
          <t>서원구</t>
        </is>
      </c>
      <c r="AE460" s="0" t="inlineStr">
        <is>
          <t>수곡동</t>
        </is>
      </c>
      <c r="AG460" s="0" t="inlineStr">
        <is>
          <t>충청북도 청주시 서원구 매봉로76번길 18</t>
        </is>
      </c>
      <c r="AH460" s="0" t="n">
        <v>0</v>
      </c>
      <c r="AI460" s="0" t="n">
        <v>0</v>
      </c>
      <c r="AJ460" s="0" t="n">
        <v>0</v>
      </c>
      <c r="AK460" s="0" t="n">
        <v>0</v>
      </c>
      <c r="AL460" s="0" t="n">
        <v>0</v>
      </c>
    </row>
    <row r="461">
      <c r="A461" s="0" t="inlineStr">
        <is>
          <t>[수곡동]</t>
        </is>
      </c>
      <c r="B461" s="0" t="n">
        <v>7396</v>
      </c>
      <c r="C461" s="0" t="n">
        <v>2</v>
      </c>
      <c r="D461" s="0" t="inlineStr">
        <is>
          <t>대림2차</t>
        </is>
      </c>
      <c r="E461" s="0" t="inlineStr">
        <is>
          <t>1987.07.</t>
        </is>
      </c>
      <c r="F461" s="0" t="n">
        <v>120</v>
      </c>
      <c r="G461" s="0" t="n">
        <v>28.81</v>
      </c>
      <c r="H461" s="0" t="n">
        <v>95.25</v>
      </c>
      <c r="I461" s="0" t="n">
        <v>22.1</v>
      </c>
      <c r="J461" s="0" t="n">
        <v>73.08</v>
      </c>
      <c r="K461" s="0" t="n">
        <v>50</v>
      </c>
      <c r="T461" s="0" t="n">
        <v>3</v>
      </c>
      <c r="U461" s="0" t="n">
        <v>1</v>
      </c>
      <c r="V461" s="0" t="inlineStr">
        <is>
          <t>계단식</t>
        </is>
      </c>
      <c r="W461" s="0" t="n">
        <v>95</v>
      </c>
      <c r="X461" s="0" t="n">
        <v>5</v>
      </c>
      <c r="Y461" s="0" t="n">
        <v>5</v>
      </c>
      <c r="Z461" s="0" t="inlineStr">
        <is>
          <t>https://new.land.naver.com/complexes/7396?tab=detail&amp;rf=Y</t>
        </is>
      </c>
      <c r="AA461" s="0" t="inlineStr">
        <is>
          <t>충청북도 청주시 서원구 수곡동 239</t>
        </is>
      </c>
      <c r="AB461" s="0" t="inlineStr">
        <is>
          <t>충청북도</t>
        </is>
      </c>
      <c r="AC461" s="0" t="inlineStr">
        <is>
          <t>청주시</t>
        </is>
      </c>
      <c r="AD461" s="0" t="inlineStr">
        <is>
          <t>서원구</t>
        </is>
      </c>
      <c r="AE461" s="0" t="inlineStr">
        <is>
          <t>수곡동</t>
        </is>
      </c>
      <c r="AG461" s="0" t="inlineStr">
        <is>
          <t>충청북도 청주시 서원구 매봉로76번길 18</t>
        </is>
      </c>
      <c r="AH461" s="0" t="n">
        <v>0</v>
      </c>
      <c r="AI461" s="0" t="n">
        <v>0</v>
      </c>
      <c r="AJ461" s="0" t="n">
        <v>0</v>
      </c>
      <c r="AK461" s="0" t="n">
        <v>0</v>
      </c>
      <c r="AL461" s="0" t="n">
        <v>0</v>
      </c>
    </row>
    <row r="462">
      <c r="A462" s="0" t="inlineStr">
        <is>
          <t>[수곡동]</t>
        </is>
      </c>
      <c r="B462" s="0" t="n">
        <v>7396</v>
      </c>
      <c r="C462" s="0" t="n">
        <v>3</v>
      </c>
      <c r="D462" s="0" t="inlineStr">
        <is>
          <t>대림2차</t>
        </is>
      </c>
      <c r="E462" s="0" t="inlineStr">
        <is>
          <t>1987.07.</t>
        </is>
      </c>
      <c r="F462" s="0" t="n">
        <v>120</v>
      </c>
      <c r="G462" s="0" t="n">
        <v>32.65</v>
      </c>
      <c r="H462" s="0" t="n">
        <v>107.95</v>
      </c>
      <c r="I462" s="0" t="n">
        <v>25.27</v>
      </c>
      <c r="J462" s="0" t="n">
        <v>83.55</v>
      </c>
      <c r="K462" s="0" t="n">
        <v>30</v>
      </c>
      <c r="T462" s="0" t="n">
        <v>4</v>
      </c>
      <c r="U462" s="0" t="n">
        <v>1</v>
      </c>
      <c r="V462" s="0" t="inlineStr">
        <is>
          <t>계단식</t>
        </is>
      </c>
      <c r="W462" s="0" t="n">
        <v>107</v>
      </c>
      <c r="X462" s="0" t="n">
        <v>5</v>
      </c>
      <c r="Y462" s="0" t="n">
        <v>5</v>
      </c>
      <c r="Z462" s="0" t="inlineStr">
        <is>
          <t>https://new.land.naver.com/complexes/7396?tab=detail&amp;rf=Y</t>
        </is>
      </c>
      <c r="AA462" s="0" t="inlineStr">
        <is>
          <t>충청북도 청주시 서원구 수곡동 239</t>
        </is>
      </c>
      <c r="AB462" s="0" t="inlineStr">
        <is>
          <t>충청북도</t>
        </is>
      </c>
      <c r="AC462" s="0" t="inlineStr">
        <is>
          <t>청주시</t>
        </is>
      </c>
      <c r="AD462" s="0" t="inlineStr">
        <is>
          <t>서원구</t>
        </is>
      </c>
      <c r="AE462" s="0" t="inlineStr">
        <is>
          <t>수곡동</t>
        </is>
      </c>
      <c r="AG462" s="0" t="inlineStr">
        <is>
          <t>충청북도 청주시 서원구 매봉로76번길 18</t>
        </is>
      </c>
      <c r="AH462" s="0" t="n">
        <v>0</v>
      </c>
      <c r="AI462" s="0" t="n">
        <v>0</v>
      </c>
      <c r="AJ462" s="0" t="n">
        <v>0</v>
      </c>
      <c r="AK462" s="0" t="n">
        <v>0</v>
      </c>
      <c r="AL462" s="0" t="n">
        <v>0</v>
      </c>
    </row>
    <row r="463">
      <c r="A463" s="0" t="inlineStr">
        <is>
          <t>[수곡동]</t>
        </is>
      </c>
      <c r="B463" s="0" t="n">
        <v>113233</v>
      </c>
      <c r="C463" s="0" t="n">
        <v>1</v>
      </c>
      <c r="D463" s="0" t="inlineStr">
        <is>
          <t>목화맨션(20-3)</t>
        </is>
      </c>
      <c r="E463" s="0" t="inlineStr">
        <is>
          <t>1985.07.</t>
        </is>
      </c>
      <c r="F463" s="0" t="n">
        <v>62</v>
      </c>
      <c r="G463" s="0" t="n">
        <v>33.55</v>
      </c>
      <c r="H463" s="0" t="n">
        <v>110.93</v>
      </c>
      <c r="I463" s="0" t="n">
        <v>25.48</v>
      </c>
      <c r="J463" s="0" t="n">
        <v>84.23999999999999</v>
      </c>
      <c r="K463" s="0" t="n">
        <v>50</v>
      </c>
      <c r="T463" s="0" t="n">
        <v>3</v>
      </c>
      <c r="U463" s="0" t="n">
        <v>2</v>
      </c>
      <c r="V463" s="0" t="inlineStr">
        <is>
          <t>계단식</t>
        </is>
      </c>
      <c r="W463" s="0" t="n">
        <v>110</v>
      </c>
      <c r="X463" s="0" t="n">
        <v>5</v>
      </c>
      <c r="Y463" s="0" t="n">
        <v>3</v>
      </c>
      <c r="Z463" s="0" t="inlineStr">
        <is>
          <t>https://new.land.naver.com/complexes/113233?tab=detail&amp;rf=Y</t>
        </is>
      </c>
      <c r="AA463" s="0" t="inlineStr">
        <is>
          <t>충청북도 청주시 서원구 수곡동 20-3</t>
        </is>
      </c>
      <c r="AB463" s="0" t="inlineStr">
        <is>
          <t>충청북도</t>
        </is>
      </c>
      <c r="AC463" s="0" t="inlineStr">
        <is>
          <t>청주시</t>
        </is>
      </c>
      <c r="AD463" s="0" t="inlineStr">
        <is>
          <t>서원구</t>
        </is>
      </c>
      <c r="AE463" s="0" t="inlineStr">
        <is>
          <t>수곡동</t>
        </is>
      </c>
      <c r="AG463" s="0" t="inlineStr">
        <is>
          <t>충청북도 청주시 서원구 구룡산로 424</t>
        </is>
      </c>
      <c r="AH463" s="0" t="n">
        <v>0</v>
      </c>
      <c r="AI463" s="0" t="n">
        <v>0</v>
      </c>
      <c r="AJ463" s="0" t="n">
        <v>0</v>
      </c>
      <c r="AK463" s="0" t="n">
        <v>0</v>
      </c>
      <c r="AL463" s="0" t="n">
        <v>0</v>
      </c>
    </row>
    <row r="464">
      <c r="A464" s="0" t="inlineStr">
        <is>
          <t>[수곡동]</t>
        </is>
      </c>
      <c r="B464" s="0" t="n">
        <v>113233</v>
      </c>
      <c r="C464" s="0" t="n">
        <v>2</v>
      </c>
      <c r="D464" s="0" t="inlineStr">
        <is>
          <t>목화맨션(20-3)</t>
        </is>
      </c>
      <c r="E464" s="0" t="inlineStr">
        <is>
          <t>1985.07.</t>
        </is>
      </c>
      <c r="F464" s="0" t="n">
        <v>62</v>
      </c>
      <c r="G464" s="0" t="n">
        <v>46.1</v>
      </c>
      <c r="H464" s="0" t="n">
        <v>152.4</v>
      </c>
      <c r="I464" s="0" t="n">
        <v>32.83</v>
      </c>
      <c r="J464" s="0" t="n">
        <v>108.54</v>
      </c>
      <c r="K464" s="0" t="n">
        <v>12</v>
      </c>
      <c r="T464" s="0" t="n">
        <v>4</v>
      </c>
      <c r="U464" s="0" t="n">
        <v>2</v>
      </c>
      <c r="V464" s="0" t="inlineStr">
        <is>
          <t>계단식</t>
        </is>
      </c>
      <c r="W464" s="0" t="n">
        <v>152</v>
      </c>
      <c r="X464" s="0" t="n">
        <v>5</v>
      </c>
      <c r="Y464" s="0" t="n">
        <v>3</v>
      </c>
      <c r="Z464" s="0" t="inlineStr">
        <is>
          <t>https://new.land.naver.com/complexes/113233?tab=detail&amp;rf=Y</t>
        </is>
      </c>
      <c r="AA464" s="0" t="inlineStr">
        <is>
          <t>충청북도 청주시 서원구 수곡동 20-3</t>
        </is>
      </c>
      <c r="AB464" s="0" t="inlineStr">
        <is>
          <t>충청북도</t>
        </is>
      </c>
      <c r="AC464" s="0" t="inlineStr">
        <is>
          <t>청주시</t>
        </is>
      </c>
      <c r="AD464" s="0" t="inlineStr">
        <is>
          <t>서원구</t>
        </is>
      </c>
      <c r="AE464" s="0" t="inlineStr">
        <is>
          <t>수곡동</t>
        </is>
      </c>
      <c r="AG464" s="0" t="inlineStr">
        <is>
          <t>충청북도 청주시 서원구 구룡산로 424</t>
        </is>
      </c>
      <c r="AH464" s="0" t="n">
        <v>0</v>
      </c>
      <c r="AI464" s="0" t="n">
        <v>0</v>
      </c>
      <c r="AJ464" s="0" t="n">
        <v>0</v>
      </c>
      <c r="AK464" s="0" t="n">
        <v>0</v>
      </c>
      <c r="AL464" s="0" t="n">
        <v>0</v>
      </c>
    </row>
    <row r="465">
      <c r="A465" s="0" t="inlineStr">
        <is>
          <t>[수곡동]</t>
        </is>
      </c>
      <c r="B465" s="0" t="n">
        <v>106719</v>
      </c>
      <c r="C465" s="0" t="n">
        <v>1</v>
      </c>
      <c r="D465" s="0" t="inlineStr">
        <is>
          <t>삼일맨션</t>
        </is>
      </c>
      <c r="E465" s="0" t="inlineStr">
        <is>
          <t>1986.09.</t>
        </is>
      </c>
      <c r="F465" s="0" t="n">
        <v>87</v>
      </c>
      <c r="G465" s="0" t="n">
        <v>30.4</v>
      </c>
      <c r="H465" s="0" t="n">
        <v>100.52</v>
      </c>
      <c r="I465" s="0" t="n">
        <v>25.7</v>
      </c>
      <c r="J465" s="0" t="n">
        <v>84.95999999999999</v>
      </c>
      <c r="K465" s="0" t="n">
        <v>77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100</v>
      </c>
      <c r="X465" s="0" t="n">
        <v>6</v>
      </c>
      <c r="Y465" s="0" t="n">
        <v>5</v>
      </c>
      <c r="Z465" s="0" t="inlineStr">
        <is>
          <t>https://new.land.naver.com/complexes/106719?tab=detail&amp;rf=Y</t>
        </is>
      </c>
      <c r="AA465" s="0" t="inlineStr">
        <is>
          <t>충청북도 청주시 서원구 수곡동 153-3</t>
        </is>
      </c>
      <c r="AB465" s="0" t="inlineStr">
        <is>
          <t>충청북도</t>
        </is>
      </c>
      <c r="AC465" s="0" t="inlineStr">
        <is>
          <t>청주시</t>
        </is>
      </c>
      <c r="AD465" s="0" t="inlineStr">
        <is>
          <t>서원구</t>
        </is>
      </c>
      <c r="AE465" s="0" t="inlineStr">
        <is>
          <t>수곡동</t>
        </is>
      </c>
      <c r="AG465" s="0" t="inlineStr">
        <is>
          <t>충청북도 청주시 서원구 구룡산로337번길 33</t>
        </is>
      </c>
      <c r="AH465" s="0" t="n">
        <v>0</v>
      </c>
      <c r="AI465" s="0" t="n">
        <v>0</v>
      </c>
      <c r="AJ465" s="0" t="n">
        <v>0</v>
      </c>
      <c r="AK465" s="0" t="n">
        <v>0</v>
      </c>
      <c r="AL465" s="0" t="n">
        <v>0</v>
      </c>
    </row>
    <row r="466">
      <c r="A466" s="0" t="inlineStr">
        <is>
          <t>[수곡동]</t>
        </is>
      </c>
      <c r="B466" s="0" t="n">
        <v>106719</v>
      </c>
      <c r="C466" s="0" t="n">
        <v>2</v>
      </c>
      <c r="D466" s="0" t="inlineStr">
        <is>
          <t>삼일맨션</t>
        </is>
      </c>
      <c r="E466" s="0" t="inlineStr">
        <is>
          <t>1986.09.</t>
        </is>
      </c>
      <c r="F466" s="0" t="n">
        <v>87</v>
      </c>
      <c r="G466" s="0" t="n">
        <v>30.74</v>
      </c>
      <c r="H466" s="0" t="n">
        <v>101.65</v>
      </c>
      <c r="I466" s="0" t="n">
        <v>25.53</v>
      </c>
      <c r="J466" s="0" t="n">
        <v>84.42</v>
      </c>
      <c r="K466" s="0" t="n">
        <v>10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101A</t>
        </is>
      </c>
      <c r="X466" s="0" t="n">
        <v>6</v>
      </c>
      <c r="Y466" s="0" t="n">
        <v>5</v>
      </c>
      <c r="Z466" s="0" t="inlineStr">
        <is>
          <t>https://new.land.naver.com/complexes/106719?tab=detail&amp;rf=Y</t>
        </is>
      </c>
      <c r="AA466" s="0" t="inlineStr">
        <is>
          <t>충청북도 청주시 서원구 수곡동 153-3</t>
        </is>
      </c>
      <c r="AB466" s="0" t="inlineStr">
        <is>
          <t>충청북도</t>
        </is>
      </c>
      <c r="AC466" s="0" t="inlineStr">
        <is>
          <t>청주시</t>
        </is>
      </c>
      <c r="AD466" s="0" t="inlineStr">
        <is>
          <t>서원구</t>
        </is>
      </c>
      <c r="AE466" s="0" t="inlineStr">
        <is>
          <t>수곡동</t>
        </is>
      </c>
      <c r="AG466" s="0" t="inlineStr">
        <is>
          <t>충청북도 청주시 서원구 구룡산로337번길 33</t>
        </is>
      </c>
      <c r="AH466" s="0" t="n">
        <v>0</v>
      </c>
      <c r="AI466" s="0" t="n">
        <v>0</v>
      </c>
      <c r="AJ466" s="0" t="n">
        <v>0</v>
      </c>
      <c r="AK466" s="0" t="n">
        <v>0</v>
      </c>
      <c r="AL466" s="0" t="n">
        <v>0</v>
      </c>
    </row>
    <row r="467">
      <c r="A467" s="0" t="inlineStr">
        <is>
          <t>[수곡동]</t>
        </is>
      </c>
      <c r="B467" s="0" t="n">
        <v>141502</v>
      </c>
      <c r="C467" s="0" t="n">
        <v>1</v>
      </c>
      <c r="D467" s="0" t="inlineStr">
        <is>
          <t>삼덕</t>
        </is>
      </c>
      <c r="E467" s="0" t="inlineStr">
        <is>
          <t>1995.09.</t>
        </is>
      </c>
      <c r="F467" s="0" t="n">
        <v>47</v>
      </c>
      <c r="G467" s="0" t="n">
        <v>13.11</v>
      </c>
      <c r="H467" s="0" t="n">
        <v>43.34</v>
      </c>
      <c r="I467" s="0" t="n">
        <v>10.91</v>
      </c>
      <c r="J467" s="0" t="n">
        <v>36.08</v>
      </c>
      <c r="K467" s="0" t="n">
        <v>5</v>
      </c>
      <c r="T467" s="0" t="n">
        <v>1</v>
      </c>
      <c r="U467" s="0" t="n">
        <v>1</v>
      </c>
      <c r="V467" s="0" t="inlineStr">
        <is>
          <t>계단식</t>
        </is>
      </c>
      <c r="W467" s="0" t="n">
        <v>43</v>
      </c>
      <c r="X467" s="0" t="n">
        <v>6</v>
      </c>
      <c r="Y467" s="0" t="n">
        <v>6</v>
      </c>
      <c r="Z467" s="0" t="inlineStr">
        <is>
          <t>https://new.land.naver.com/complexes/141502?tab=detail&amp;rf=Y</t>
        </is>
      </c>
      <c r="AA467" s="0" t="inlineStr">
        <is>
          <t>충청북도 청주시 서원구 수곡동 64-2</t>
        </is>
      </c>
      <c r="AB467" s="0" t="inlineStr">
        <is>
          <t>충청북도</t>
        </is>
      </c>
      <c r="AC467" s="0" t="inlineStr">
        <is>
          <t>청주시</t>
        </is>
      </c>
      <c r="AD467" s="0" t="inlineStr">
        <is>
          <t>서원구</t>
        </is>
      </c>
      <c r="AE467" s="0" t="inlineStr">
        <is>
          <t>수곡동</t>
        </is>
      </c>
      <c r="AG467" s="0" t="inlineStr">
        <is>
          <t>충청북도 청주시 서원구 수영로12번길 41</t>
        </is>
      </c>
      <c r="AH467" s="0" t="n">
        <v>0</v>
      </c>
      <c r="AI467" s="0" t="n">
        <v>168</v>
      </c>
      <c r="AJ467" s="0" t="n">
        <v>37</v>
      </c>
      <c r="AK467" s="0" t="n">
        <v>25</v>
      </c>
      <c r="AL467" s="0" t="n">
        <v>0.53</v>
      </c>
    </row>
    <row r="468">
      <c r="A468" s="0" t="inlineStr">
        <is>
          <t>[수곡동]</t>
        </is>
      </c>
      <c r="B468" s="0" t="n">
        <v>141502</v>
      </c>
      <c r="C468" s="0" t="n">
        <v>2</v>
      </c>
      <c r="D468" s="0" t="inlineStr">
        <is>
          <t>삼덕</t>
        </is>
      </c>
      <c r="E468" s="0" t="inlineStr">
        <is>
          <t>1995.09.</t>
        </is>
      </c>
      <c r="F468" s="0" t="n">
        <v>47</v>
      </c>
      <c r="G468" s="0" t="n">
        <v>21.68</v>
      </c>
      <c r="H468" s="0" t="n">
        <v>71.67</v>
      </c>
      <c r="I468" s="0" t="n">
        <v>18.04</v>
      </c>
      <c r="J468" s="0" t="n">
        <v>59.66</v>
      </c>
      <c r="K468" s="0" t="n">
        <v>42</v>
      </c>
      <c r="T468" s="0" t="n">
        <v>3</v>
      </c>
      <c r="U468" s="0" t="n">
        <v>1</v>
      </c>
      <c r="V468" s="0" t="inlineStr">
        <is>
          <t>계단식</t>
        </is>
      </c>
      <c r="W468" s="0" t="n">
        <v>71</v>
      </c>
      <c r="X468" s="0" t="n">
        <v>6</v>
      </c>
      <c r="Y468" s="0" t="n">
        <v>6</v>
      </c>
      <c r="Z468" s="0" t="inlineStr">
        <is>
          <t>https://new.land.naver.com/complexes/141502?tab=detail&amp;rf=Y</t>
        </is>
      </c>
      <c r="AA468" s="0" t="inlineStr">
        <is>
          <t>충청북도 청주시 서원구 수곡동 64-2</t>
        </is>
      </c>
      <c r="AB468" s="0" t="inlineStr">
        <is>
          <t>충청북도</t>
        </is>
      </c>
      <c r="AC468" s="0" t="inlineStr">
        <is>
          <t>청주시</t>
        </is>
      </c>
      <c r="AD468" s="0" t="inlineStr">
        <is>
          <t>서원구</t>
        </is>
      </c>
      <c r="AE468" s="0" t="inlineStr">
        <is>
          <t>수곡동</t>
        </is>
      </c>
      <c r="AG468" s="0" t="inlineStr">
        <is>
          <t>충청북도 청주시 서원구 수영로12번길 41</t>
        </is>
      </c>
      <c r="AH468" s="0" t="n">
        <v>0</v>
      </c>
      <c r="AI468" s="0" t="n">
        <v>168</v>
      </c>
      <c r="AJ468" s="0" t="n">
        <v>37</v>
      </c>
      <c r="AK468" s="0" t="n">
        <v>25</v>
      </c>
      <c r="AL468" s="0" t="n">
        <v>0.53</v>
      </c>
    </row>
    <row r="469">
      <c r="A469" s="0" t="inlineStr">
        <is>
          <t>[수곡동]</t>
        </is>
      </c>
      <c r="B469" s="0" t="n">
        <v>13013</v>
      </c>
      <c r="C469" s="0" t="n">
        <v>1</v>
      </c>
      <c r="D469" s="0" t="inlineStr">
        <is>
          <t>세원홍실</t>
        </is>
      </c>
      <c r="E469" s="0" t="inlineStr">
        <is>
          <t>1996.09.</t>
        </is>
      </c>
      <c r="F469" s="0" t="n">
        <v>224</v>
      </c>
      <c r="G469" s="0" t="n">
        <v>35.09</v>
      </c>
      <c r="H469" s="0" t="n">
        <v>116.01</v>
      </c>
      <c r="I469" s="0" t="n">
        <v>28.2</v>
      </c>
      <c r="J469" s="0" t="n">
        <v>93.23999999999999</v>
      </c>
      <c r="K469" s="0" t="n">
        <v>52</v>
      </c>
      <c r="T469" s="0" t="n">
        <v>3</v>
      </c>
      <c r="U469" s="0" t="n">
        <v>2</v>
      </c>
      <c r="V469" s="0" t="inlineStr">
        <is>
          <t>계단식</t>
        </is>
      </c>
      <c r="W469" s="0" t="n">
        <v>116</v>
      </c>
      <c r="X469" s="0" t="n">
        <v>15</v>
      </c>
      <c r="Y469" s="0" t="n">
        <v>13</v>
      </c>
      <c r="Z469" s="0" t="inlineStr">
        <is>
          <t>https://new.land.naver.com/complexes/13013?tab=detail&amp;rf=Y</t>
        </is>
      </c>
      <c r="AA469" s="0" t="inlineStr">
        <is>
          <t>충청북도 청주시 서원구 수곡동 776</t>
        </is>
      </c>
      <c r="AB469" s="0" t="inlineStr">
        <is>
          <t>충청북도</t>
        </is>
      </c>
      <c r="AC469" s="0" t="inlineStr">
        <is>
          <t>청주시</t>
        </is>
      </c>
      <c r="AD469" s="0" t="inlineStr">
        <is>
          <t>서원구</t>
        </is>
      </c>
      <c r="AE469" s="0" t="inlineStr">
        <is>
          <t>수곡동</t>
        </is>
      </c>
      <c r="AG469" s="0" t="inlineStr">
        <is>
          <t>충청북도 청주시 서원구 수곡로 88</t>
        </is>
      </c>
      <c r="AH469" s="0" t="n">
        <v>0</v>
      </c>
      <c r="AI469" s="0" t="n">
        <v>220</v>
      </c>
      <c r="AJ469" s="0" t="n">
        <v>20</v>
      </c>
      <c r="AK469" s="0" t="n">
        <v>292</v>
      </c>
      <c r="AL469" s="0" t="n">
        <v>1.3</v>
      </c>
    </row>
    <row r="470">
      <c r="A470" s="0" t="inlineStr">
        <is>
          <t>[수곡동]</t>
        </is>
      </c>
      <c r="B470" s="0" t="n">
        <v>13013</v>
      </c>
      <c r="C470" s="0" t="n">
        <v>2</v>
      </c>
      <c r="D470" s="0" t="inlineStr">
        <is>
          <t>세원홍실</t>
        </is>
      </c>
      <c r="E470" s="0" t="inlineStr">
        <is>
          <t>1996.09.</t>
        </is>
      </c>
      <c r="F470" s="0" t="n">
        <v>224</v>
      </c>
      <c r="G470" s="0" t="n">
        <v>43.83</v>
      </c>
      <c r="H470" s="0" t="n">
        <v>144.91</v>
      </c>
      <c r="I470" s="0" t="n">
        <v>37.79</v>
      </c>
      <c r="J470" s="0" t="n">
        <v>124.95</v>
      </c>
      <c r="K470" s="0" t="n">
        <v>120</v>
      </c>
      <c r="T470" s="0" t="n">
        <v>4</v>
      </c>
      <c r="U470" s="0" t="n">
        <v>2</v>
      </c>
      <c r="V470" s="0" t="inlineStr">
        <is>
          <t>계단식</t>
        </is>
      </c>
      <c r="W470" s="0" t="n">
        <v>144</v>
      </c>
      <c r="X470" s="0" t="n">
        <v>15</v>
      </c>
      <c r="Y470" s="0" t="n">
        <v>13</v>
      </c>
      <c r="Z470" s="0" t="inlineStr">
        <is>
          <t>https://new.land.naver.com/complexes/13013?tab=detail&amp;rf=Y</t>
        </is>
      </c>
      <c r="AA470" s="0" t="inlineStr">
        <is>
          <t>충청북도 청주시 서원구 수곡동 776</t>
        </is>
      </c>
      <c r="AB470" s="0" t="inlineStr">
        <is>
          <t>충청북도</t>
        </is>
      </c>
      <c r="AC470" s="0" t="inlineStr">
        <is>
          <t>청주시</t>
        </is>
      </c>
      <c r="AD470" s="0" t="inlineStr">
        <is>
          <t>서원구</t>
        </is>
      </c>
      <c r="AE470" s="0" t="inlineStr">
        <is>
          <t>수곡동</t>
        </is>
      </c>
      <c r="AG470" s="0" t="inlineStr">
        <is>
          <t>충청북도 청주시 서원구 수곡로 88</t>
        </is>
      </c>
      <c r="AH470" s="0" t="n">
        <v>0</v>
      </c>
      <c r="AI470" s="0" t="n">
        <v>220</v>
      </c>
      <c r="AJ470" s="0" t="n">
        <v>20</v>
      </c>
      <c r="AK470" s="0" t="n">
        <v>292</v>
      </c>
      <c r="AL470" s="0" t="n">
        <v>1.3</v>
      </c>
    </row>
    <row r="471">
      <c r="A471" s="0" t="inlineStr">
        <is>
          <t>[수곡동]</t>
        </is>
      </c>
      <c r="B471" s="0" t="n">
        <v>13013</v>
      </c>
      <c r="C471" s="0" t="n">
        <v>3</v>
      </c>
      <c r="D471" s="0" t="inlineStr">
        <is>
          <t>세원홍실</t>
        </is>
      </c>
      <c r="E471" s="0" t="inlineStr">
        <is>
          <t>1996.09.</t>
        </is>
      </c>
      <c r="F471" s="0" t="n">
        <v>224</v>
      </c>
      <c r="G471" s="0" t="n">
        <v>48.3</v>
      </c>
      <c r="H471" s="0" t="n">
        <v>159.7</v>
      </c>
      <c r="I471" s="0" t="n">
        <v>41.99</v>
      </c>
      <c r="J471" s="0" t="n">
        <v>138.81</v>
      </c>
      <c r="K471" s="0" t="n">
        <v>52</v>
      </c>
      <c r="T471" s="0" t="n">
        <v>4</v>
      </c>
      <c r="U471" s="0" t="n">
        <v>2</v>
      </c>
      <c r="V471" s="0" t="inlineStr">
        <is>
          <t>계단식</t>
        </is>
      </c>
      <c r="W471" s="0" t="n">
        <v>159</v>
      </c>
      <c r="X471" s="0" t="n">
        <v>15</v>
      </c>
      <c r="Y471" s="0" t="n">
        <v>13</v>
      </c>
      <c r="Z471" s="0" t="inlineStr">
        <is>
          <t>https://new.land.naver.com/complexes/13013?tab=detail&amp;rf=Y</t>
        </is>
      </c>
      <c r="AA471" s="0" t="inlineStr">
        <is>
          <t>충청북도 청주시 서원구 수곡동 776</t>
        </is>
      </c>
      <c r="AB471" s="0" t="inlineStr">
        <is>
          <t>충청북도</t>
        </is>
      </c>
      <c r="AC471" s="0" t="inlineStr">
        <is>
          <t>청주시</t>
        </is>
      </c>
      <c r="AD471" s="0" t="inlineStr">
        <is>
          <t>서원구</t>
        </is>
      </c>
      <c r="AE471" s="0" t="inlineStr">
        <is>
          <t>수곡동</t>
        </is>
      </c>
      <c r="AG471" s="0" t="inlineStr">
        <is>
          <t>충청북도 청주시 서원구 수곡로 88</t>
        </is>
      </c>
      <c r="AH471" s="0" t="n">
        <v>0</v>
      </c>
      <c r="AI471" s="0" t="n">
        <v>220</v>
      </c>
      <c r="AJ471" s="0" t="n">
        <v>20</v>
      </c>
      <c r="AK471" s="0" t="n">
        <v>292</v>
      </c>
      <c r="AL471" s="0" t="n">
        <v>1.3</v>
      </c>
    </row>
    <row r="472">
      <c r="A472" s="0" t="inlineStr">
        <is>
          <t>[수곡동]</t>
        </is>
      </c>
      <c r="B472" s="0" t="n">
        <v>15468</v>
      </c>
      <c r="C472" s="0" t="n">
        <v>1</v>
      </c>
      <c r="D472" s="0" t="inlineStr">
        <is>
          <t>세원2차</t>
        </is>
      </c>
      <c r="E472" s="0" t="inlineStr">
        <is>
          <t>1989.12.</t>
        </is>
      </c>
      <c r="F472" s="0" t="n">
        <v>120</v>
      </c>
      <c r="G472" s="0" t="n">
        <v>21.64</v>
      </c>
      <c r="H472" s="0" t="n">
        <v>71.55</v>
      </c>
      <c r="I472" s="0" t="n">
        <v>17.92</v>
      </c>
      <c r="J472" s="0" t="n">
        <v>59.27</v>
      </c>
      <c r="K472" s="0" t="n">
        <v>36</v>
      </c>
      <c r="T472" s="0" t="n">
        <v>3</v>
      </c>
      <c r="U472" s="0" t="n">
        <v>1</v>
      </c>
      <c r="V472" s="0" t="inlineStr">
        <is>
          <t>계단식</t>
        </is>
      </c>
      <c r="W472" s="0" t="n">
        <v>71</v>
      </c>
      <c r="X472" s="0" t="n">
        <v>6</v>
      </c>
      <c r="Y472" s="0" t="n">
        <v>6</v>
      </c>
      <c r="Z472" s="0" t="inlineStr">
        <is>
          <t>https://new.land.naver.com/complexes/15468?tab=detail&amp;rf=Y</t>
        </is>
      </c>
      <c r="AA472" s="0" t="inlineStr">
        <is>
          <t>충청북도 청주시 서원구 수곡동 60-1</t>
        </is>
      </c>
      <c r="AB472" s="0" t="inlineStr">
        <is>
          <t>충청북도</t>
        </is>
      </c>
      <c r="AC472" s="0" t="inlineStr">
        <is>
          <t>청주시</t>
        </is>
      </c>
      <c r="AD472" s="0" t="inlineStr">
        <is>
          <t>서원구</t>
        </is>
      </c>
      <c r="AE472" s="0" t="inlineStr">
        <is>
          <t>수곡동</t>
        </is>
      </c>
      <c r="AG472" s="0" t="inlineStr">
        <is>
          <t>충청북도 청주시 서원구 수영로24번길 5</t>
        </is>
      </c>
      <c r="AH472" s="0" t="n">
        <v>0</v>
      </c>
      <c r="AI472" s="0" t="n">
        <v>0</v>
      </c>
      <c r="AJ472" s="0" t="n">
        <v>0</v>
      </c>
      <c r="AK472" s="0" t="n">
        <v>0</v>
      </c>
      <c r="AL472" s="0" t="n">
        <v>0</v>
      </c>
    </row>
    <row r="473">
      <c r="A473" s="0" t="inlineStr">
        <is>
          <t>[수곡동]</t>
        </is>
      </c>
      <c r="B473" s="0" t="n">
        <v>15468</v>
      </c>
      <c r="C473" s="0" t="n">
        <v>2</v>
      </c>
      <c r="D473" s="0" t="inlineStr">
        <is>
          <t>세원2차</t>
        </is>
      </c>
      <c r="E473" s="0" t="inlineStr">
        <is>
          <t>1989.12.</t>
        </is>
      </c>
      <c r="F473" s="0" t="n">
        <v>120</v>
      </c>
      <c r="G473" s="0" t="n">
        <v>30.18</v>
      </c>
      <c r="H473" s="0" t="n">
        <v>99.8</v>
      </c>
      <c r="I473" s="0" t="n">
        <v>25.7</v>
      </c>
      <c r="J473" s="0" t="n">
        <v>84.97</v>
      </c>
      <c r="K473" s="0" t="n">
        <v>24</v>
      </c>
      <c r="T473" s="0" t="n">
        <v>3</v>
      </c>
      <c r="U473" s="0" t="n">
        <v>1</v>
      </c>
      <c r="V473" s="0" t="inlineStr">
        <is>
          <t>계단식</t>
        </is>
      </c>
      <c r="W473" s="0" t="inlineStr">
        <is>
          <t>99B</t>
        </is>
      </c>
      <c r="X473" s="0" t="n">
        <v>6</v>
      </c>
      <c r="Y473" s="0" t="n">
        <v>6</v>
      </c>
      <c r="Z473" s="0" t="inlineStr">
        <is>
          <t>https://new.land.naver.com/complexes/15468?tab=detail&amp;rf=Y</t>
        </is>
      </c>
      <c r="AA473" s="0" t="inlineStr">
        <is>
          <t>충청북도 청주시 서원구 수곡동 60-1</t>
        </is>
      </c>
      <c r="AB473" s="0" t="inlineStr">
        <is>
          <t>충청북도</t>
        </is>
      </c>
      <c r="AC473" s="0" t="inlineStr">
        <is>
          <t>청주시</t>
        </is>
      </c>
      <c r="AD473" s="0" t="inlineStr">
        <is>
          <t>서원구</t>
        </is>
      </c>
      <c r="AE473" s="0" t="inlineStr">
        <is>
          <t>수곡동</t>
        </is>
      </c>
      <c r="AG473" s="0" t="inlineStr">
        <is>
          <t>충청북도 청주시 서원구 수영로24번길 5</t>
        </is>
      </c>
      <c r="AH473" s="0" t="n">
        <v>0</v>
      </c>
      <c r="AI473" s="0" t="n">
        <v>0</v>
      </c>
      <c r="AJ473" s="0" t="n">
        <v>0</v>
      </c>
      <c r="AK473" s="0" t="n">
        <v>0</v>
      </c>
      <c r="AL473" s="0" t="n">
        <v>0</v>
      </c>
    </row>
    <row r="474">
      <c r="A474" s="0" t="inlineStr">
        <is>
          <t>[수곡동]</t>
        </is>
      </c>
      <c r="B474" s="0" t="n">
        <v>15468</v>
      </c>
      <c r="C474" s="0" t="n">
        <v>3</v>
      </c>
      <c r="D474" s="0" t="inlineStr">
        <is>
          <t>세원2차</t>
        </is>
      </c>
      <c r="E474" s="0" t="inlineStr">
        <is>
          <t>1989.12.</t>
        </is>
      </c>
      <c r="F474" s="0" t="n">
        <v>120</v>
      </c>
      <c r="G474" s="0" t="n">
        <v>30.28</v>
      </c>
      <c r="H474" s="0" t="n">
        <v>100.13</v>
      </c>
      <c r="I474" s="0" t="n">
        <v>25.68</v>
      </c>
      <c r="J474" s="0" t="n">
        <v>84.90000000000001</v>
      </c>
      <c r="K474" s="0" t="n">
        <v>60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100A</t>
        </is>
      </c>
      <c r="X474" s="0" t="n">
        <v>6</v>
      </c>
      <c r="Y474" s="0" t="n">
        <v>6</v>
      </c>
      <c r="Z474" s="0" t="inlineStr">
        <is>
          <t>https://new.land.naver.com/complexes/15468?tab=detail&amp;rf=Y</t>
        </is>
      </c>
      <c r="AA474" s="0" t="inlineStr">
        <is>
          <t>충청북도 청주시 서원구 수곡동 60-1</t>
        </is>
      </c>
      <c r="AB474" s="0" t="inlineStr">
        <is>
          <t>충청북도</t>
        </is>
      </c>
      <c r="AC474" s="0" t="inlineStr">
        <is>
          <t>청주시</t>
        </is>
      </c>
      <c r="AD474" s="0" t="inlineStr">
        <is>
          <t>서원구</t>
        </is>
      </c>
      <c r="AE474" s="0" t="inlineStr">
        <is>
          <t>수곡동</t>
        </is>
      </c>
      <c r="AG474" s="0" t="inlineStr">
        <is>
          <t>충청북도 청주시 서원구 수영로24번길 5</t>
        </is>
      </c>
      <c r="AH474" s="0" t="n">
        <v>0</v>
      </c>
      <c r="AI474" s="0" t="n">
        <v>0</v>
      </c>
      <c r="AJ474" s="0" t="n">
        <v>0</v>
      </c>
      <c r="AK474" s="0" t="n">
        <v>0</v>
      </c>
      <c r="AL474" s="0" t="n">
        <v>0</v>
      </c>
    </row>
    <row r="475">
      <c r="A475" s="0" t="inlineStr">
        <is>
          <t>[수곡동]</t>
        </is>
      </c>
      <c r="B475" s="0" t="n">
        <v>7407</v>
      </c>
      <c r="C475" s="0" t="n">
        <v>1</v>
      </c>
      <c r="D475" s="0" t="inlineStr">
        <is>
          <t>주공</t>
        </is>
      </c>
      <c r="E475" s="0" t="inlineStr">
        <is>
          <t>1990.12.</t>
        </is>
      </c>
      <c r="F475" s="0" t="n">
        <v>1240</v>
      </c>
      <c r="G475" s="0" t="n">
        <v>14.99</v>
      </c>
      <c r="H475" s="0" t="n">
        <v>49.56</v>
      </c>
      <c r="I475" s="0" t="n">
        <v>12</v>
      </c>
      <c r="J475" s="0" t="n">
        <v>39.69</v>
      </c>
      <c r="K475" s="0" t="n">
        <v>300</v>
      </c>
      <c r="T475" s="0" t="n">
        <v>2</v>
      </c>
      <c r="U475" s="0" t="n">
        <v>1</v>
      </c>
      <c r="V475" s="0" t="inlineStr">
        <is>
          <t>계단식</t>
        </is>
      </c>
      <c r="W475" s="0" t="inlineStr">
        <is>
          <t>49B</t>
        </is>
      </c>
      <c r="X475" s="0" t="n">
        <v>5</v>
      </c>
      <c r="Y475" s="0" t="n">
        <v>5</v>
      </c>
      <c r="Z475" s="0" t="inlineStr">
        <is>
          <t>https://new.land.naver.com/complexes/7407?tab=detail&amp;rf=Y</t>
        </is>
      </c>
      <c r="AA475" s="0" t="inlineStr">
        <is>
          <t>충청북도 청주시 서원구 수곡동 324</t>
        </is>
      </c>
      <c r="AB475" s="0" t="inlineStr">
        <is>
          <t>충청북도</t>
        </is>
      </c>
      <c r="AC475" s="0" t="inlineStr">
        <is>
          <t>청주시</t>
        </is>
      </c>
      <c r="AD475" s="0" t="inlineStr">
        <is>
          <t>서원구</t>
        </is>
      </c>
      <c r="AE475" s="0" t="inlineStr">
        <is>
          <t>수곡동</t>
        </is>
      </c>
      <c r="AG475" s="0" t="inlineStr">
        <is>
          <t>충청북도 청주시 서원구 매봉로 101</t>
        </is>
      </c>
      <c r="AH475" s="0" t="n">
        <v>0</v>
      </c>
      <c r="AI475" s="0" t="n">
        <v>0</v>
      </c>
      <c r="AJ475" s="0" t="n">
        <v>0</v>
      </c>
      <c r="AK475" s="0" t="n">
        <v>0</v>
      </c>
      <c r="AL475" s="0" t="n">
        <v>0</v>
      </c>
    </row>
    <row r="476">
      <c r="A476" s="0" t="inlineStr">
        <is>
          <t>[수곡동]</t>
        </is>
      </c>
      <c r="B476" s="0" t="n">
        <v>7407</v>
      </c>
      <c r="C476" s="0" t="n">
        <v>2</v>
      </c>
      <c r="D476" s="0" t="inlineStr">
        <is>
          <t>주공</t>
        </is>
      </c>
      <c r="E476" s="0" t="inlineStr">
        <is>
          <t>1990.12.</t>
        </is>
      </c>
      <c r="F476" s="0" t="n">
        <v>1240</v>
      </c>
      <c r="G476" s="0" t="n">
        <v>14.86</v>
      </c>
      <c r="H476" s="0" t="n">
        <v>49.13</v>
      </c>
      <c r="I476" s="0" t="n">
        <v>11.88</v>
      </c>
      <c r="J476" s="0" t="n">
        <v>39.3</v>
      </c>
      <c r="K476" s="0" t="n">
        <v>220</v>
      </c>
      <c r="T476" s="0" t="n">
        <v>2</v>
      </c>
      <c r="U476" s="0" t="n">
        <v>1</v>
      </c>
      <c r="V476" s="0" t="inlineStr">
        <is>
          <t>계단식</t>
        </is>
      </c>
      <c r="W476" s="0" t="inlineStr">
        <is>
          <t>49A</t>
        </is>
      </c>
      <c r="X476" s="0" t="n">
        <v>5</v>
      </c>
      <c r="Y476" s="0" t="n">
        <v>5</v>
      </c>
      <c r="Z476" s="0" t="inlineStr">
        <is>
          <t>https://new.land.naver.com/complexes/7407?tab=detail&amp;rf=Y</t>
        </is>
      </c>
      <c r="AA476" s="0" t="inlineStr">
        <is>
          <t>충청북도 청주시 서원구 수곡동 324</t>
        </is>
      </c>
      <c r="AB476" s="0" t="inlineStr">
        <is>
          <t>충청북도</t>
        </is>
      </c>
      <c r="AC476" s="0" t="inlineStr">
        <is>
          <t>청주시</t>
        </is>
      </c>
      <c r="AD476" s="0" t="inlineStr">
        <is>
          <t>서원구</t>
        </is>
      </c>
      <c r="AE476" s="0" t="inlineStr">
        <is>
          <t>수곡동</t>
        </is>
      </c>
      <c r="AG476" s="0" t="inlineStr">
        <is>
          <t>충청북도 청주시 서원구 매봉로 101</t>
        </is>
      </c>
      <c r="AH476" s="0" t="n">
        <v>0</v>
      </c>
      <c r="AI476" s="0" t="n">
        <v>0</v>
      </c>
      <c r="AJ476" s="0" t="n">
        <v>0</v>
      </c>
      <c r="AK476" s="0" t="n">
        <v>0</v>
      </c>
      <c r="AL476" s="0" t="n">
        <v>0</v>
      </c>
    </row>
    <row r="477">
      <c r="A477" s="0" t="inlineStr">
        <is>
          <t>[수곡동]</t>
        </is>
      </c>
      <c r="B477" s="0" t="n">
        <v>7407</v>
      </c>
      <c r="C477" s="0" t="n">
        <v>3</v>
      </c>
      <c r="D477" s="0" t="inlineStr">
        <is>
          <t>주공</t>
        </is>
      </c>
      <c r="E477" s="0" t="inlineStr">
        <is>
          <t>1990.12.</t>
        </is>
      </c>
      <c r="F477" s="0" t="n">
        <v>1240</v>
      </c>
      <c r="G477" s="0" t="n">
        <v>17.43</v>
      </c>
      <c r="H477" s="0" t="n">
        <v>57.62</v>
      </c>
      <c r="I477" s="0" t="n">
        <v>14.22</v>
      </c>
      <c r="J477" s="0" t="n">
        <v>47.01</v>
      </c>
      <c r="K477" s="0" t="n">
        <v>390</v>
      </c>
      <c r="T477" s="0" t="n">
        <v>2</v>
      </c>
      <c r="U477" s="0" t="n">
        <v>1</v>
      </c>
      <c r="V477" s="0" t="inlineStr">
        <is>
          <t>계단식</t>
        </is>
      </c>
      <c r="W477" s="0" t="inlineStr">
        <is>
          <t>57B</t>
        </is>
      </c>
      <c r="X477" s="0" t="n">
        <v>5</v>
      </c>
      <c r="Y477" s="0" t="n">
        <v>5</v>
      </c>
      <c r="Z477" s="0" t="inlineStr">
        <is>
          <t>https://new.land.naver.com/complexes/7407?tab=detail&amp;rf=Y</t>
        </is>
      </c>
      <c r="AA477" s="0" t="inlineStr">
        <is>
          <t>충청북도 청주시 서원구 수곡동 324</t>
        </is>
      </c>
      <c r="AB477" s="0" t="inlineStr">
        <is>
          <t>충청북도</t>
        </is>
      </c>
      <c r="AC477" s="0" t="inlineStr">
        <is>
          <t>청주시</t>
        </is>
      </c>
      <c r="AD477" s="0" t="inlineStr">
        <is>
          <t>서원구</t>
        </is>
      </c>
      <c r="AE477" s="0" t="inlineStr">
        <is>
          <t>수곡동</t>
        </is>
      </c>
      <c r="AG477" s="0" t="inlineStr">
        <is>
          <t>충청북도 청주시 서원구 매봉로 101</t>
        </is>
      </c>
      <c r="AH477" s="0" t="n">
        <v>0</v>
      </c>
      <c r="AI477" s="0" t="n">
        <v>0</v>
      </c>
      <c r="AJ477" s="0" t="n">
        <v>0</v>
      </c>
      <c r="AK477" s="0" t="n">
        <v>0</v>
      </c>
      <c r="AL477" s="0" t="n">
        <v>0</v>
      </c>
    </row>
    <row r="478">
      <c r="A478" s="0" t="inlineStr">
        <is>
          <t>[수곡동]</t>
        </is>
      </c>
      <c r="B478" s="0" t="n">
        <v>7407</v>
      </c>
      <c r="C478" s="0" t="n">
        <v>4</v>
      </c>
      <c r="D478" s="0" t="inlineStr">
        <is>
          <t>주공</t>
        </is>
      </c>
      <c r="E478" s="0" t="inlineStr">
        <is>
          <t>1990.12.</t>
        </is>
      </c>
      <c r="F478" s="0" t="n">
        <v>1240</v>
      </c>
      <c r="G478" s="0" t="n">
        <v>17.32</v>
      </c>
      <c r="H478" s="0" t="n">
        <v>57.26</v>
      </c>
      <c r="I478" s="0" t="n">
        <v>14.12</v>
      </c>
      <c r="J478" s="0" t="n">
        <v>46.68</v>
      </c>
      <c r="K478" s="0" t="n">
        <v>330</v>
      </c>
      <c r="T478" s="0" t="n">
        <v>2</v>
      </c>
      <c r="U478" s="0" t="n">
        <v>1</v>
      </c>
      <c r="V478" s="0" t="inlineStr">
        <is>
          <t>계단식</t>
        </is>
      </c>
      <c r="W478" s="0" t="inlineStr">
        <is>
          <t>57A</t>
        </is>
      </c>
      <c r="X478" s="0" t="n">
        <v>5</v>
      </c>
      <c r="Y478" s="0" t="n">
        <v>5</v>
      </c>
      <c r="Z478" s="0" t="inlineStr">
        <is>
          <t>https://new.land.naver.com/complexes/7407?tab=detail&amp;rf=Y</t>
        </is>
      </c>
      <c r="AA478" s="0" t="inlineStr">
        <is>
          <t>충청북도 청주시 서원구 수곡동 324</t>
        </is>
      </c>
      <c r="AB478" s="0" t="inlineStr">
        <is>
          <t>충청북도</t>
        </is>
      </c>
      <c r="AC478" s="0" t="inlineStr">
        <is>
          <t>청주시</t>
        </is>
      </c>
      <c r="AD478" s="0" t="inlineStr">
        <is>
          <t>서원구</t>
        </is>
      </c>
      <c r="AE478" s="0" t="inlineStr">
        <is>
          <t>수곡동</t>
        </is>
      </c>
      <c r="AG478" s="0" t="inlineStr">
        <is>
          <t>충청북도 청주시 서원구 매봉로 101</t>
        </is>
      </c>
      <c r="AH478" s="0" t="n">
        <v>0</v>
      </c>
      <c r="AI478" s="0" t="n">
        <v>0</v>
      </c>
      <c r="AJ478" s="0" t="n">
        <v>0</v>
      </c>
      <c r="AK478" s="0" t="n">
        <v>0</v>
      </c>
      <c r="AL478" s="0" t="n">
        <v>0</v>
      </c>
    </row>
    <row r="479">
      <c r="A479" s="0" t="inlineStr">
        <is>
          <t>[수곡동]</t>
        </is>
      </c>
      <c r="B479" s="0" t="n">
        <v>115456</v>
      </c>
      <c r="C479" s="0" t="n">
        <v>1</v>
      </c>
      <c r="D479" s="0" t="inlineStr">
        <is>
          <t>진흥</t>
        </is>
      </c>
      <c r="E479" s="0" t="inlineStr">
        <is>
          <t>1989.07.</t>
        </is>
      </c>
      <c r="F479" s="0" t="n">
        <v>50</v>
      </c>
      <c r="G479" s="0" t="n">
        <v>29.51</v>
      </c>
      <c r="H479" s="0" t="n">
        <v>97.58</v>
      </c>
      <c r="I479" s="0" t="n">
        <v>25.7</v>
      </c>
      <c r="J479" s="0" t="n">
        <v>84.95999999999999</v>
      </c>
      <c r="K479" s="0" t="n">
        <v>20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97B</t>
        </is>
      </c>
      <c r="X479" s="0" t="n">
        <v>5</v>
      </c>
      <c r="Y479" s="0" t="n">
        <v>5</v>
      </c>
      <c r="Z479" s="0" t="inlineStr">
        <is>
          <t>https://new.land.naver.com/complexes/115456?tab=detail&amp;rf=Y</t>
        </is>
      </c>
      <c r="AA479" s="0" t="inlineStr">
        <is>
          <t>충청북도 청주시 서원구 수곡동 32-1</t>
        </is>
      </c>
      <c r="AB479" s="0" t="inlineStr">
        <is>
          <t>충청북도</t>
        </is>
      </c>
      <c r="AC479" s="0" t="inlineStr">
        <is>
          <t>청주시</t>
        </is>
      </c>
      <c r="AD479" s="0" t="inlineStr">
        <is>
          <t>서원구</t>
        </is>
      </c>
      <c r="AE479" s="0" t="inlineStr">
        <is>
          <t>수곡동</t>
        </is>
      </c>
      <c r="AG479" s="0" t="inlineStr">
        <is>
          <t>충청북도 청주시 서원구 수영로60번길 16</t>
        </is>
      </c>
      <c r="AH479" s="0" t="n">
        <v>0</v>
      </c>
      <c r="AI479" s="0" t="n">
        <v>0</v>
      </c>
      <c r="AJ479" s="0" t="n">
        <v>0</v>
      </c>
      <c r="AK479" s="0" t="n">
        <v>0</v>
      </c>
      <c r="AL479" s="0" t="n">
        <v>0</v>
      </c>
    </row>
    <row r="480">
      <c r="A480" s="0" t="inlineStr">
        <is>
          <t>[수곡동]</t>
        </is>
      </c>
      <c r="B480" s="0" t="n">
        <v>115456</v>
      </c>
      <c r="C480" s="0" t="n">
        <v>2</v>
      </c>
      <c r="D480" s="0" t="inlineStr">
        <is>
          <t>진흥</t>
        </is>
      </c>
      <c r="E480" s="0" t="inlineStr">
        <is>
          <t>1989.07.</t>
        </is>
      </c>
      <c r="F480" s="0" t="n">
        <v>50</v>
      </c>
      <c r="G480" s="0" t="n">
        <v>29.77</v>
      </c>
      <c r="H480" s="0" t="n">
        <v>98.43000000000001</v>
      </c>
      <c r="I480" s="0" t="n">
        <v>25.68</v>
      </c>
      <c r="J480" s="0" t="n">
        <v>84.90000000000001</v>
      </c>
      <c r="K480" s="0" t="n">
        <v>30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98A</t>
        </is>
      </c>
      <c r="X480" s="0" t="n">
        <v>5</v>
      </c>
      <c r="Y480" s="0" t="n">
        <v>5</v>
      </c>
      <c r="Z480" s="0" t="inlineStr">
        <is>
          <t>https://new.land.naver.com/complexes/115456?tab=detail&amp;rf=Y</t>
        </is>
      </c>
      <c r="AA480" s="0" t="inlineStr">
        <is>
          <t>충청북도 청주시 서원구 수곡동 32-1</t>
        </is>
      </c>
      <c r="AB480" s="0" t="inlineStr">
        <is>
          <t>충청북도</t>
        </is>
      </c>
      <c r="AC480" s="0" t="inlineStr">
        <is>
          <t>청주시</t>
        </is>
      </c>
      <c r="AD480" s="0" t="inlineStr">
        <is>
          <t>서원구</t>
        </is>
      </c>
      <c r="AE480" s="0" t="inlineStr">
        <is>
          <t>수곡동</t>
        </is>
      </c>
      <c r="AG480" s="0" t="inlineStr">
        <is>
          <t>충청북도 청주시 서원구 수영로60번길 16</t>
        </is>
      </c>
      <c r="AH480" s="0" t="n">
        <v>0</v>
      </c>
      <c r="AI480" s="0" t="n">
        <v>0</v>
      </c>
      <c r="AJ480" s="0" t="n">
        <v>0</v>
      </c>
      <c r="AK480" s="0" t="n">
        <v>0</v>
      </c>
      <c r="AL480" s="0" t="n">
        <v>0</v>
      </c>
    </row>
    <row r="481">
      <c r="A481" s="0" t="inlineStr">
        <is>
          <t>[수곡동]</t>
        </is>
      </c>
      <c r="B481" s="0" t="n">
        <v>7418</v>
      </c>
      <c r="C481" s="0" t="n">
        <v>1</v>
      </c>
      <c r="D481" s="0" t="inlineStr">
        <is>
          <t>산남주공4단지</t>
        </is>
      </c>
      <c r="E481" s="0" t="inlineStr">
        <is>
          <t>1993.07.</t>
        </is>
      </c>
      <c r="F481" s="0" t="n">
        <v>1005</v>
      </c>
      <c r="G481" s="0" t="n">
        <v>15.24</v>
      </c>
      <c r="H481" s="0" t="n">
        <v>50.39</v>
      </c>
      <c r="I481" s="0" t="n">
        <v>11.68</v>
      </c>
      <c r="J481" s="0" t="n">
        <v>38.64</v>
      </c>
      <c r="K481" s="0" t="n">
        <v>120</v>
      </c>
      <c r="T481" s="0" t="n">
        <v>2</v>
      </c>
      <c r="U481" s="0" t="n">
        <v>1</v>
      </c>
      <c r="V481" s="0" t="inlineStr">
        <is>
          <t>복도식</t>
        </is>
      </c>
      <c r="W481" s="0" t="n">
        <v>50</v>
      </c>
      <c r="X481" s="0" t="n">
        <v>15</v>
      </c>
      <c r="Y481" s="0" t="n">
        <v>15</v>
      </c>
      <c r="Z481" s="0" t="inlineStr">
        <is>
          <t>https://new.land.naver.com/complexes/7418?tab=detail&amp;rf=Y</t>
        </is>
      </c>
      <c r="AA481" s="0" t="inlineStr">
        <is>
          <t>충청북도 청주시 서원구 수곡동 314</t>
        </is>
      </c>
      <c r="AB481" s="0" t="inlineStr">
        <is>
          <t>충청북도</t>
        </is>
      </c>
      <c r="AC481" s="0" t="inlineStr">
        <is>
          <t>청주시</t>
        </is>
      </c>
      <c r="AD481" s="0" t="inlineStr">
        <is>
          <t>서원구</t>
        </is>
      </c>
      <c r="AE481" s="0" t="inlineStr">
        <is>
          <t>수곡동</t>
        </is>
      </c>
      <c r="AG481" s="0" t="inlineStr">
        <is>
          <t>충청북도 청주시 서원구 구룡산로 275-13</t>
        </is>
      </c>
      <c r="AH481" s="0" t="n">
        <v>0</v>
      </c>
      <c r="AI481" s="0" t="n">
        <v>148</v>
      </c>
      <c r="AJ481" s="0" t="n">
        <v>11</v>
      </c>
      <c r="AK481" s="0" t="n">
        <v>680</v>
      </c>
      <c r="AL481" s="0" t="n">
        <v>0.68</v>
      </c>
    </row>
    <row r="482">
      <c r="A482" s="0" t="inlineStr">
        <is>
          <t>[수곡동]</t>
        </is>
      </c>
      <c r="B482" s="0" t="n">
        <v>7418</v>
      </c>
      <c r="C482" s="0" t="n">
        <v>2</v>
      </c>
      <c r="D482" s="0" t="inlineStr">
        <is>
          <t>산남주공4단지</t>
        </is>
      </c>
      <c r="E482" s="0" t="inlineStr">
        <is>
          <t>1993.07.</t>
        </is>
      </c>
      <c r="F482" s="0" t="n">
        <v>1005</v>
      </c>
      <c r="G482" s="0" t="n">
        <v>17.72</v>
      </c>
      <c r="H482" s="0" t="n">
        <v>58.6</v>
      </c>
      <c r="I482" s="0" t="n">
        <v>13.59</v>
      </c>
      <c r="J482" s="0" t="n">
        <v>44.94</v>
      </c>
      <c r="K482" s="0" t="n">
        <v>60</v>
      </c>
      <c r="T482" s="0" t="n">
        <v>2</v>
      </c>
      <c r="U482" s="0" t="n">
        <v>1</v>
      </c>
      <c r="V482" s="0" t="inlineStr">
        <is>
          <t>복도식</t>
        </is>
      </c>
      <c r="W482" s="0" t="inlineStr">
        <is>
          <t>58B</t>
        </is>
      </c>
      <c r="X482" s="0" t="n">
        <v>15</v>
      </c>
      <c r="Y482" s="0" t="n">
        <v>15</v>
      </c>
      <c r="Z482" s="0" t="inlineStr">
        <is>
          <t>https://new.land.naver.com/complexes/7418?tab=detail&amp;rf=Y</t>
        </is>
      </c>
      <c r="AA482" s="0" t="inlineStr">
        <is>
          <t>충청북도 청주시 서원구 수곡동 314</t>
        </is>
      </c>
      <c r="AB482" s="0" t="inlineStr">
        <is>
          <t>충청북도</t>
        </is>
      </c>
      <c r="AC482" s="0" t="inlineStr">
        <is>
          <t>청주시</t>
        </is>
      </c>
      <c r="AD482" s="0" t="inlineStr">
        <is>
          <t>서원구</t>
        </is>
      </c>
      <c r="AE482" s="0" t="inlineStr">
        <is>
          <t>수곡동</t>
        </is>
      </c>
      <c r="AG482" s="0" t="inlineStr">
        <is>
          <t>충청북도 청주시 서원구 구룡산로 275-13</t>
        </is>
      </c>
      <c r="AH482" s="0" t="n">
        <v>0</v>
      </c>
      <c r="AI482" s="0" t="n">
        <v>148</v>
      </c>
      <c r="AJ482" s="0" t="n">
        <v>11</v>
      </c>
      <c r="AK482" s="0" t="n">
        <v>680</v>
      </c>
      <c r="AL482" s="0" t="n">
        <v>0.68</v>
      </c>
    </row>
    <row r="483">
      <c r="A483" s="0" t="inlineStr">
        <is>
          <t>[수곡동]</t>
        </is>
      </c>
      <c r="B483" s="0" t="n">
        <v>7418</v>
      </c>
      <c r="C483" s="0" t="n">
        <v>3</v>
      </c>
      <c r="D483" s="0" t="inlineStr">
        <is>
          <t>산남주공4단지</t>
        </is>
      </c>
      <c r="E483" s="0" t="inlineStr">
        <is>
          <t>1993.07.</t>
        </is>
      </c>
      <c r="F483" s="0" t="n">
        <v>1005</v>
      </c>
      <c r="G483" s="0" t="n">
        <v>18.24</v>
      </c>
      <c r="H483" s="0" t="n">
        <v>60.33</v>
      </c>
      <c r="I483" s="0" t="n">
        <v>12.49</v>
      </c>
      <c r="J483" s="0" t="n">
        <v>41.3</v>
      </c>
      <c r="K483" s="0" t="n">
        <v>60</v>
      </c>
      <c r="T483" s="0" t="n">
        <v>2</v>
      </c>
      <c r="U483" s="0" t="n">
        <v>1</v>
      </c>
      <c r="V483" s="0" t="inlineStr">
        <is>
          <t>복도식</t>
        </is>
      </c>
      <c r="W483" s="0" t="inlineStr">
        <is>
          <t>60A</t>
        </is>
      </c>
      <c r="X483" s="0" t="n">
        <v>15</v>
      </c>
      <c r="Y483" s="0" t="n">
        <v>15</v>
      </c>
      <c r="Z483" s="0" t="inlineStr">
        <is>
          <t>https://new.land.naver.com/complexes/7418?tab=detail&amp;rf=Y</t>
        </is>
      </c>
      <c r="AA483" s="0" t="inlineStr">
        <is>
          <t>충청북도 청주시 서원구 수곡동 314</t>
        </is>
      </c>
      <c r="AB483" s="0" t="inlineStr">
        <is>
          <t>충청북도</t>
        </is>
      </c>
      <c r="AC483" s="0" t="inlineStr">
        <is>
          <t>청주시</t>
        </is>
      </c>
      <c r="AD483" s="0" t="inlineStr">
        <is>
          <t>서원구</t>
        </is>
      </c>
      <c r="AE483" s="0" t="inlineStr">
        <is>
          <t>수곡동</t>
        </is>
      </c>
      <c r="AG483" s="0" t="inlineStr">
        <is>
          <t>충청북도 청주시 서원구 구룡산로 275-13</t>
        </is>
      </c>
      <c r="AH483" s="0" t="n">
        <v>0</v>
      </c>
      <c r="AI483" s="0" t="n">
        <v>148</v>
      </c>
      <c r="AJ483" s="0" t="n">
        <v>11</v>
      </c>
      <c r="AK483" s="0" t="n">
        <v>680</v>
      </c>
      <c r="AL483" s="0" t="n">
        <v>0.68</v>
      </c>
    </row>
    <row r="484">
      <c r="A484" s="0" t="inlineStr">
        <is>
          <t>[수곡동]</t>
        </is>
      </c>
      <c r="B484" s="0" t="n">
        <v>7418</v>
      </c>
      <c r="C484" s="0" t="n">
        <v>4</v>
      </c>
      <c r="D484" s="0" t="inlineStr">
        <is>
          <t>산남주공4단지</t>
        </is>
      </c>
      <c r="E484" s="0" t="inlineStr">
        <is>
          <t>1993.07.</t>
        </is>
      </c>
      <c r="F484" s="0" t="n">
        <v>1005</v>
      </c>
      <c r="G484" s="0" t="n">
        <v>22.06</v>
      </c>
      <c r="H484" s="0" t="n">
        <v>72.95</v>
      </c>
      <c r="I484" s="0" t="n">
        <v>15.1</v>
      </c>
      <c r="J484" s="0" t="n">
        <v>49.94</v>
      </c>
      <c r="K484" s="0" t="n">
        <v>180</v>
      </c>
      <c r="T484" s="0" t="n">
        <v>2</v>
      </c>
      <c r="U484" s="0" t="n">
        <v>1</v>
      </c>
      <c r="V484" s="0" t="inlineStr">
        <is>
          <t>복도식</t>
        </is>
      </c>
      <c r="W484" s="0" t="inlineStr">
        <is>
          <t>72B</t>
        </is>
      </c>
      <c r="X484" s="0" t="n">
        <v>15</v>
      </c>
      <c r="Y484" s="0" t="n">
        <v>15</v>
      </c>
      <c r="Z484" s="0" t="inlineStr">
        <is>
          <t>https://new.land.naver.com/complexes/7418?tab=detail&amp;rf=Y</t>
        </is>
      </c>
      <c r="AA484" s="0" t="inlineStr">
        <is>
          <t>충청북도 청주시 서원구 수곡동 314</t>
        </is>
      </c>
      <c r="AB484" s="0" t="inlineStr">
        <is>
          <t>충청북도</t>
        </is>
      </c>
      <c r="AC484" s="0" t="inlineStr">
        <is>
          <t>청주시</t>
        </is>
      </c>
      <c r="AD484" s="0" t="inlineStr">
        <is>
          <t>서원구</t>
        </is>
      </c>
      <c r="AE484" s="0" t="inlineStr">
        <is>
          <t>수곡동</t>
        </is>
      </c>
      <c r="AG484" s="0" t="inlineStr">
        <is>
          <t>충청북도 청주시 서원구 구룡산로 275-13</t>
        </is>
      </c>
      <c r="AH484" s="0" t="n">
        <v>0</v>
      </c>
      <c r="AI484" s="0" t="n">
        <v>148</v>
      </c>
      <c r="AJ484" s="0" t="n">
        <v>11</v>
      </c>
      <c r="AK484" s="0" t="n">
        <v>680</v>
      </c>
      <c r="AL484" s="0" t="n">
        <v>0.68</v>
      </c>
    </row>
    <row r="485">
      <c r="A485" s="0" t="inlineStr">
        <is>
          <t>[수곡동]</t>
        </is>
      </c>
      <c r="B485" s="0" t="n">
        <v>7418</v>
      </c>
      <c r="C485" s="0" t="n">
        <v>5</v>
      </c>
      <c r="D485" s="0" t="inlineStr">
        <is>
          <t>산남주공4단지</t>
        </is>
      </c>
      <c r="E485" s="0" t="inlineStr">
        <is>
          <t>1993.07.</t>
        </is>
      </c>
      <c r="F485" s="0" t="n">
        <v>1005</v>
      </c>
      <c r="G485" s="0" t="n">
        <v>21.82</v>
      </c>
      <c r="H485" s="0" t="n">
        <v>72.15000000000001</v>
      </c>
      <c r="I485" s="0" t="n">
        <v>15.1</v>
      </c>
      <c r="J485" s="0" t="n">
        <v>49.94</v>
      </c>
      <c r="K485" s="0" t="n">
        <v>105</v>
      </c>
      <c r="T485" s="0" t="n">
        <v>2</v>
      </c>
      <c r="U485" s="0" t="n">
        <v>1</v>
      </c>
      <c r="V485" s="0" t="inlineStr">
        <is>
          <t>복도식</t>
        </is>
      </c>
      <c r="W485" s="0" t="inlineStr">
        <is>
          <t>72A</t>
        </is>
      </c>
      <c r="X485" s="0" t="n">
        <v>15</v>
      </c>
      <c r="Y485" s="0" t="n">
        <v>15</v>
      </c>
      <c r="Z485" s="0" t="inlineStr">
        <is>
          <t>https://new.land.naver.com/complexes/7418?tab=detail&amp;rf=Y</t>
        </is>
      </c>
      <c r="AA485" s="0" t="inlineStr">
        <is>
          <t>충청북도 청주시 서원구 수곡동 314</t>
        </is>
      </c>
      <c r="AB485" s="0" t="inlineStr">
        <is>
          <t>충청북도</t>
        </is>
      </c>
      <c r="AC485" s="0" t="inlineStr">
        <is>
          <t>청주시</t>
        </is>
      </c>
      <c r="AD485" s="0" t="inlineStr">
        <is>
          <t>서원구</t>
        </is>
      </c>
      <c r="AE485" s="0" t="inlineStr">
        <is>
          <t>수곡동</t>
        </is>
      </c>
      <c r="AG485" s="0" t="inlineStr">
        <is>
          <t>충청북도 청주시 서원구 구룡산로 275-13</t>
        </is>
      </c>
      <c r="AH485" s="0" t="n">
        <v>0</v>
      </c>
      <c r="AI485" s="0" t="n">
        <v>148</v>
      </c>
      <c r="AJ485" s="0" t="n">
        <v>11</v>
      </c>
      <c r="AK485" s="0" t="n">
        <v>680</v>
      </c>
      <c r="AL485" s="0" t="n">
        <v>0.68</v>
      </c>
    </row>
    <row r="486">
      <c r="A486" s="0" t="inlineStr">
        <is>
          <t>[수곡동]</t>
        </is>
      </c>
      <c r="B486" s="0" t="n">
        <v>7418</v>
      </c>
      <c r="C486" s="0" t="n">
        <v>6</v>
      </c>
      <c r="D486" s="0" t="inlineStr">
        <is>
          <t>산남주공4단지</t>
        </is>
      </c>
      <c r="E486" s="0" t="inlineStr">
        <is>
          <t>1993.07.</t>
        </is>
      </c>
      <c r="F486" s="0" t="n">
        <v>1005</v>
      </c>
      <c r="G486" s="0" t="n">
        <v>28.47</v>
      </c>
      <c r="H486" s="0" t="n">
        <v>94.12</v>
      </c>
      <c r="I486" s="0" t="n">
        <v>23.14</v>
      </c>
      <c r="J486" s="0" t="n">
        <v>76.51000000000001</v>
      </c>
      <c r="K486" s="0" t="n">
        <v>239</v>
      </c>
      <c r="T486" s="0" t="n">
        <v>3</v>
      </c>
      <c r="U486" s="0" t="n">
        <v>1</v>
      </c>
      <c r="V486" s="0" t="inlineStr">
        <is>
          <t>복도식</t>
        </is>
      </c>
      <c r="W486" s="0" t="n">
        <v>94</v>
      </c>
      <c r="X486" s="0" t="n">
        <v>15</v>
      </c>
      <c r="Y486" s="0" t="n">
        <v>15</v>
      </c>
      <c r="Z486" s="0" t="inlineStr">
        <is>
          <t>https://new.land.naver.com/complexes/7418?tab=detail&amp;rf=Y</t>
        </is>
      </c>
      <c r="AA486" s="0" t="inlineStr">
        <is>
          <t>충청북도 청주시 서원구 수곡동 314</t>
        </is>
      </c>
      <c r="AB486" s="0" t="inlineStr">
        <is>
          <t>충청북도</t>
        </is>
      </c>
      <c r="AC486" s="0" t="inlineStr">
        <is>
          <t>청주시</t>
        </is>
      </c>
      <c r="AD486" s="0" t="inlineStr">
        <is>
          <t>서원구</t>
        </is>
      </c>
      <c r="AE486" s="0" t="inlineStr">
        <is>
          <t>수곡동</t>
        </is>
      </c>
      <c r="AG486" s="0" t="inlineStr">
        <is>
          <t>충청북도 청주시 서원구 구룡산로 275-13</t>
        </is>
      </c>
      <c r="AH486" s="0" t="n">
        <v>0</v>
      </c>
      <c r="AI486" s="0" t="n">
        <v>148</v>
      </c>
      <c r="AJ486" s="0" t="n">
        <v>11</v>
      </c>
      <c r="AK486" s="0" t="n">
        <v>680</v>
      </c>
      <c r="AL486" s="0" t="n">
        <v>0.68</v>
      </c>
    </row>
    <row r="487">
      <c r="A487" s="0" t="inlineStr">
        <is>
          <t>[수곡동]</t>
        </is>
      </c>
      <c r="B487" s="0" t="n">
        <v>7418</v>
      </c>
      <c r="C487" s="0" t="n">
        <v>7</v>
      </c>
      <c r="D487" s="0" t="inlineStr">
        <is>
          <t>산남주공4단지</t>
        </is>
      </c>
      <c r="E487" s="0" t="inlineStr">
        <is>
          <t>1993.07.</t>
        </is>
      </c>
      <c r="F487" s="0" t="n">
        <v>1005</v>
      </c>
      <c r="G487" s="0" t="n">
        <v>28.59</v>
      </c>
      <c r="H487" s="0" t="n">
        <v>94.52</v>
      </c>
      <c r="I487" s="0" t="n">
        <v>23.26</v>
      </c>
      <c r="J487" s="0" t="n">
        <v>76.91</v>
      </c>
      <c r="K487" s="0" t="n">
        <v>1</v>
      </c>
      <c r="T487" s="0" t="n">
        <v>3</v>
      </c>
      <c r="U487" s="0" t="n">
        <v>1</v>
      </c>
      <c r="V487" s="0" t="inlineStr">
        <is>
          <t>복도식</t>
        </is>
      </c>
      <c r="W487" s="0" t="n">
        <v>94</v>
      </c>
      <c r="X487" s="0" t="n">
        <v>15</v>
      </c>
      <c r="Y487" s="0" t="n">
        <v>15</v>
      </c>
      <c r="Z487" s="0" t="inlineStr">
        <is>
          <t>https://new.land.naver.com/complexes/7418?tab=detail&amp;rf=Y</t>
        </is>
      </c>
      <c r="AA487" s="0" t="inlineStr">
        <is>
          <t>충청북도 청주시 서원구 수곡동 314</t>
        </is>
      </c>
      <c r="AB487" s="0" t="inlineStr">
        <is>
          <t>충청북도</t>
        </is>
      </c>
      <c r="AC487" s="0" t="inlineStr">
        <is>
          <t>청주시</t>
        </is>
      </c>
      <c r="AD487" s="0" t="inlineStr">
        <is>
          <t>서원구</t>
        </is>
      </c>
      <c r="AE487" s="0" t="inlineStr">
        <is>
          <t>수곡동</t>
        </is>
      </c>
      <c r="AG487" s="0" t="inlineStr">
        <is>
          <t>충청북도 청주시 서원구 구룡산로 275-13</t>
        </is>
      </c>
      <c r="AH487" s="0" t="n">
        <v>0</v>
      </c>
      <c r="AI487" s="0" t="n">
        <v>148</v>
      </c>
      <c r="AJ487" s="0" t="n">
        <v>11</v>
      </c>
      <c r="AK487" s="0" t="n">
        <v>680</v>
      </c>
      <c r="AL487" s="0" t="n">
        <v>0.68</v>
      </c>
    </row>
    <row r="488">
      <c r="A488" s="0" t="inlineStr">
        <is>
          <t>[수곡동]</t>
        </is>
      </c>
      <c r="B488" s="0" t="n">
        <v>7418</v>
      </c>
      <c r="C488" s="0" t="n">
        <v>8</v>
      </c>
      <c r="D488" s="0" t="inlineStr">
        <is>
          <t>산남주공4단지</t>
        </is>
      </c>
      <c r="E488" s="0" t="inlineStr">
        <is>
          <t>1993.07.</t>
        </is>
      </c>
      <c r="F488" s="0" t="n">
        <v>1005</v>
      </c>
      <c r="G488" s="0" t="n">
        <v>31.55</v>
      </c>
      <c r="H488" s="0" t="n">
        <v>104.31</v>
      </c>
      <c r="I488" s="0" t="n">
        <v>25.64</v>
      </c>
      <c r="J488" s="0" t="n">
        <v>84.79000000000001</v>
      </c>
      <c r="K488" s="0" t="n">
        <v>240</v>
      </c>
      <c r="T488" s="0" t="n">
        <v>3</v>
      </c>
      <c r="U488" s="0" t="n">
        <v>2</v>
      </c>
      <c r="V488" s="0" t="inlineStr">
        <is>
          <t>복도식</t>
        </is>
      </c>
      <c r="W488" s="0" t="n">
        <v>104</v>
      </c>
      <c r="X488" s="0" t="n">
        <v>15</v>
      </c>
      <c r="Y488" s="0" t="n">
        <v>15</v>
      </c>
      <c r="Z488" s="0" t="inlineStr">
        <is>
          <t>https://new.land.naver.com/complexes/7418?tab=detail&amp;rf=Y</t>
        </is>
      </c>
      <c r="AA488" s="0" t="inlineStr">
        <is>
          <t>충청북도 청주시 서원구 수곡동 314</t>
        </is>
      </c>
      <c r="AB488" s="0" t="inlineStr">
        <is>
          <t>충청북도</t>
        </is>
      </c>
      <c r="AC488" s="0" t="inlineStr">
        <is>
          <t>청주시</t>
        </is>
      </c>
      <c r="AD488" s="0" t="inlineStr">
        <is>
          <t>서원구</t>
        </is>
      </c>
      <c r="AE488" s="0" t="inlineStr">
        <is>
          <t>수곡동</t>
        </is>
      </c>
      <c r="AG488" s="0" t="inlineStr">
        <is>
          <t>충청북도 청주시 서원구 구룡산로 275-13</t>
        </is>
      </c>
      <c r="AH488" s="0" t="n">
        <v>0</v>
      </c>
      <c r="AI488" s="0" t="n">
        <v>148</v>
      </c>
      <c r="AJ488" s="0" t="n">
        <v>11</v>
      </c>
      <c r="AK488" s="0" t="n">
        <v>680</v>
      </c>
      <c r="AL488" s="0" t="n">
        <v>0.68</v>
      </c>
    </row>
    <row r="489">
      <c r="A489" s="0" t="inlineStr">
        <is>
          <t>[수곡동]</t>
        </is>
      </c>
      <c r="B489" s="0" t="n">
        <v>108160</v>
      </c>
      <c r="C489" s="0" t="n">
        <v>1</v>
      </c>
      <c r="D489" s="0" t="inlineStr">
        <is>
          <t>목화맨션(19-4)</t>
        </is>
      </c>
      <c r="E489" s="0" t="inlineStr">
        <is>
          <t>1984.07.</t>
        </is>
      </c>
      <c r="F489" s="0" t="n">
        <v>55</v>
      </c>
      <c r="G489" s="0" t="n">
        <v>32.74</v>
      </c>
      <c r="H489" s="0" t="n">
        <v>108.24</v>
      </c>
      <c r="I489" s="0" t="n">
        <v>25.45</v>
      </c>
      <c r="J489" s="0" t="n">
        <v>84.15000000000001</v>
      </c>
      <c r="K489" s="0" t="n">
        <v>25</v>
      </c>
      <c r="T489" s="0" t="n">
        <v>3</v>
      </c>
      <c r="U489" s="0" t="n">
        <v>2</v>
      </c>
      <c r="V489" s="0" t="inlineStr">
        <is>
          <t>복도식</t>
        </is>
      </c>
      <c r="W489" s="0" t="inlineStr">
        <is>
          <t>108A</t>
        </is>
      </c>
      <c r="X489" s="0" t="n">
        <v>5</v>
      </c>
      <c r="Y489" s="0" t="n">
        <v>5</v>
      </c>
      <c r="Z489" s="0" t="inlineStr">
        <is>
          <t>https://new.land.naver.com/complexes/108160?tab=detail&amp;rf=Y</t>
        </is>
      </c>
      <c r="AA489" s="0" t="inlineStr">
        <is>
          <t>충청북도 청주시 서원구 수곡동 19-4</t>
        </is>
      </c>
      <c r="AB489" s="0" t="inlineStr">
        <is>
          <t>충청북도</t>
        </is>
      </c>
      <c r="AC489" s="0" t="inlineStr">
        <is>
          <t>청주시</t>
        </is>
      </c>
      <c r="AD489" s="0" t="inlineStr">
        <is>
          <t>서원구</t>
        </is>
      </c>
      <c r="AE489" s="0" t="inlineStr">
        <is>
          <t>수곡동</t>
        </is>
      </c>
      <c r="AG489" s="0" t="inlineStr">
        <is>
          <t>충청북도 청주시 서원구</t>
        </is>
      </c>
      <c r="AH489" s="0" t="n">
        <v>0</v>
      </c>
      <c r="AI489" s="0" t="n">
        <v>0</v>
      </c>
      <c r="AJ489" s="0" t="n">
        <v>0</v>
      </c>
      <c r="AK489" s="0" t="n">
        <v>0</v>
      </c>
      <c r="AL489" s="0" t="n">
        <v>0</v>
      </c>
    </row>
    <row r="490">
      <c r="A490" s="0" t="inlineStr">
        <is>
          <t>[수곡동]</t>
        </is>
      </c>
      <c r="B490" s="0" t="n">
        <v>108160</v>
      </c>
      <c r="C490" s="0" t="n">
        <v>2</v>
      </c>
      <c r="D490" s="0" t="inlineStr">
        <is>
          <t>목화맨션(19-4)</t>
        </is>
      </c>
      <c r="E490" s="0" t="inlineStr">
        <is>
          <t>1984.07.</t>
        </is>
      </c>
      <c r="F490" s="0" t="n">
        <v>55</v>
      </c>
      <c r="G490" s="0" t="n">
        <v>32.97</v>
      </c>
      <c r="H490" s="0" t="n">
        <v>109</v>
      </c>
      <c r="I490" s="0" t="n">
        <v>25.48</v>
      </c>
      <c r="J490" s="0" t="n">
        <v>84.23999999999999</v>
      </c>
      <c r="K490" s="0" t="n">
        <v>30</v>
      </c>
      <c r="T490" s="0" t="n">
        <v>3</v>
      </c>
      <c r="U490" s="0" t="n">
        <v>2</v>
      </c>
      <c r="V490" s="0" t="inlineStr">
        <is>
          <t>복도식</t>
        </is>
      </c>
      <c r="W490" s="0" t="inlineStr">
        <is>
          <t>109B</t>
        </is>
      </c>
      <c r="X490" s="0" t="n">
        <v>5</v>
      </c>
      <c r="Y490" s="0" t="n">
        <v>5</v>
      </c>
      <c r="Z490" s="0" t="inlineStr">
        <is>
          <t>https://new.land.naver.com/complexes/108160?tab=detail&amp;rf=Y</t>
        </is>
      </c>
      <c r="AA490" s="0" t="inlineStr">
        <is>
          <t>충청북도 청주시 서원구 수곡동 19-4</t>
        </is>
      </c>
      <c r="AB490" s="0" t="inlineStr">
        <is>
          <t>충청북도</t>
        </is>
      </c>
      <c r="AC490" s="0" t="inlineStr">
        <is>
          <t>청주시</t>
        </is>
      </c>
      <c r="AD490" s="0" t="inlineStr">
        <is>
          <t>서원구</t>
        </is>
      </c>
      <c r="AE490" s="0" t="inlineStr">
        <is>
          <t>수곡동</t>
        </is>
      </c>
      <c r="AG490" s="0" t="inlineStr">
        <is>
          <t>충청북도 청주시 서원구</t>
        </is>
      </c>
      <c r="AH490" s="0" t="n">
        <v>0</v>
      </c>
      <c r="AI490" s="0" t="n">
        <v>0</v>
      </c>
      <c r="AJ490" s="0" t="n">
        <v>0</v>
      </c>
      <c r="AK490" s="0" t="n">
        <v>0</v>
      </c>
      <c r="AL490" s="0" t="n">
        <v>0</v>
      </c>
    </row>
    <row r="491">
      <c r="A491" s="0" t="inlineStr">
        <is>
          <t>[수곡동]</t>
        </is>
      </c>
      <c r="B491" s="0" t="n">
        <v>7399</v>
      </c>
      <c r="C491" s="0" t="n">
        <v>1</v>
      </c>
      <c r="D491" s="0" t="inlineStr">
        <is>
          <t>모란</t>
        </is>
      </c>
      <c r="E491" s="0" t="inlineStr">
        <is>
          <t>1979.06.</t>
        </is>
      </c>
      <c r="F491" s="0" t="n">
        <v>110</v>
      </c>
      <c r="G491" s="0" t="n">
        <v>20</v>
      </c>
      <c r="H491" s="0" t="n">
        <v>66.12</v>
      </c>
      <c r="I491" s="0" t="n">
        <v>18.57</v>
      </c>
      <c r="J491" s="0" t="n">
        <v>61.39</v>
      </c>
      <c r="K491" s="0" t="n">
        <v>20</v>
      </c>
      <c r="T491" s="0" t="n">
        <v>3</v>
      </c>
      <c r="U491" s="0" t="n">
        <v>1</v>
      </c>
      <c r="V491" s="0" t="inlineStr">
        <is>
          <t>계단식</t>
        </is>
      </c>
      <c r="W491" s="0" t="n">
        <v>66</v>
      </c>
      <c r="X491" s="0" t="n">
        <v>5</v>
      </c>
      <c r="Y491" s="0" t="n">
        <v>5</v>
      </c>
      <c r="Z491" s="0" t="inlineStr">
        <is>
          <t>https://new.land.naver.com/complexes/7399?tab=detail&amp;rf=Y</t>
        </is>
      </c>
      <c r="AA491" s="0" t="inlineStr">
        <is>
          <t>충청북도 청주시 서원구 수곡동 197-9</t>
        </is>
      </c>
      <c r="AB491" s="0" t="inlineStr">
        <is>
          <t>충청북도</t>
        </is>
      </c>
      <c r="AC491" s="0" t="inlineStr">
        <is>
          <t>청주시</t>
        </is>
      </c>
      <c r="AD491" s="0" t="inlineStr">
        <is>
          <t>서원구</t>
        </is>
      </c>
      <c r="AE491" s="0" t="inlineStr">
        <is>
          <t>수곡동</t>
        </is>
      </c>
      <c r="AG491" s="0" t="inlineStr">
        <is>
          <t>충청북도 청주시 서원구 구룡산로338번길 23-10</t>
        </is>
      </c>
      <c r="AH491" s="0" t="n">
        <v>0</v>
      </c>
      <c r="AI491" s="0" t="n">
        <v>0</v>
      </c>
      <c r="AJ491" s="0" t="n">
        <v>0</v>
      </c>
      <c r="AK491" s="0" t="n">
        <v>0</v>
      </c>
      <c r="AL491" s="0" t="n">
        <v>0</v>
      </c>
    </row>
    <row r="492">
      <c r="A492" s="0" t="inlineStr">
        <is>
          <t>[수곡동]</t>
        </is>
      </c>
      <c r="B492" s="0" t="n">
        <v>7399</v>
      </c>
      <c r="C492" s="0" t="n">
        <v>2</v>
      </c>
      <c r="D492" s="0" t="inlineStr">
        <is>
          <t>모란</t>
        </is>
      </c>
      <c r="E492" s="0" t="inlineStr">
        <is>
          <t>1979.06.</t>
        </is>
      </c>
      <c r="F492" s="0" t="n">
        <v>110</v>
      </c>
      <c r="G492" s="0" t="n">
        <v>25</v>
      </c>
      <c r="H492" s="0" t="n">
        <v>82.65000000000001</v>
      </c>
      <c r="I492" s="0" t="n">
        <v>22.68</v>
      </c>
      <c r="J492" s="0" t="n">
        <v>74.98</v>
      </c>
      <c r="K492" s="0" t="n">
        <v>90</v>
      </c>
      <c r="T492" s="0" t="n">
        <v>3</v>
      </c>
      <c r="U492" s="0" t="n">
        <v>1</v>
      </c>
      <c r="V492" s="0" t="inlineStr">
        <is>
          <t>계단식</t>
        </is>
      </c>
      <c r="W492" s="0" t="n">
        <v>82</v>
      </c>
      <c r="X492" s="0" t="n">
        <v>5</v>
      </c>
      <c r="Y492" s="0" t="n">
        <v>5</v>
      </c>
      <c r="Z492" s="0" t="inlineStr">
        <is>
          <t>https://new.land.naver.com/complexes/7399?tab=detail&amp;rf=Y</t>
        </is>
      </c>
      <c r="AA492" s="0" t="inlineStr">
        <is>
          <t>충청북도 청주시 서원구 수곡동 197-9</t>
        </is>
      </c>
      <c r="AB492" s="0" t="inlineStr">
        <is>
          <t>충청북도</t>
        </is>
      </c>
      <c r="AC492" s="0" t="inlineStr">
        <is>
          <t>청주시</t>
        </is>
      </c>
      <c r="AD492" s="0" t="inlineStr">
        <is>
          <t>서원구</t>
        </is>
      </c>
      <c r="AE492" s="0" t="inlineStr">
        <is>
          <t>수곡동</t>
        </is>
      </c>
      <c r="AG492" s="0" t="inlineStr">
        <is>
          <t>충청북도 청주시 서원구 구룡산로338번길 23-10</t>
        </is>
      </c>
      <c r="AH492" s="0" t="n">
        <v>0</v>
      </c>
      <c r="AI492" s="0" t="n">
        <v>0</v>
      </c>
      <c r="AJ492" s="0" t="n">
        <v>0</v>
      </c>
      <c r="AK492" s="0" t="n">
        <v>0</v>
      </c>
      <c r="AL492" s="0" t="n">
        <v>0</v>
      </c>
    </row>
    <row r="493">
      <c r="A493" s="0" t="inlineStr">
        <is>
          <t>[장성동]</t>
        </is>
      </c>
      <c r="B493" s="0" t="n">
        <v>139766</v>
      </c>
      <c r="C493" s="0" t="n">
        <v>1</v>
      </c>
      <c r="D493" s="0" t="inlineStr">
        <is>
          <t>세울펜트하우스</t>
        </is>
      </c>
      <c r="E493" s="0" t="inlineStr">
        <is>
          <t>2018.08.</t>
        </is>
      </c>
      <c r="F493" s="0" t="n">
        <v>32</v>
      </c>
      <c r="G493" s="0" t="n">
        <v>30.02</v>
      </c>
      <c r="H493" s="0" t="n">
        <v>99.25</v>
      </c>
      <c r="I493" s="0" t="n">
        <v>24.33</v>
      </c>
      <c r="J493" s="0" t="n">
        <v>80.44</v>
      </c>
      <c r="K493" s="0" t="n">
        <v>16</v>
      </c>
      <c r="T493" s="0" t="n">
        <v>3</v>
      </c>
      <c r="U493" s="0" t="n">
        <v>2</v>
      </c>
      <c r="V493" s="0" t="inlineStr">
        <is>
          <t>계단식</t>
        </is>
      </c>
      <c r="W493" s="0" t="inlineStr">
        <is>
          <t>99A</t>
        </is>
      </c>
      <c r="X493" s="0" t="n">
        <v>4</v>
      </c>
      <c r="Y493" s="0" t="n">
        <v>4</v>
      </c>
      <c r="Z493" s="0" t="inlineStr">
        <is>
          <t>https://new.land.naver.com/complexes/139766?tab=detail&amp;rf=Y</t>
        </is>
      </c>
      <c r="AA493" s="0" t="inlineStr">
        <is>
          <t>충청북도 청주시 서원구 장성동 143</t>
        </is>
      </c>
      <c r="AB493" s="0" t="inlineStr">
        <is>
          <t>충청북도</t>
        </is>
      </c>
      <c r="AC493" s="0" t="inlineStr">
        <is>
          <t>청주시</t>
        </is>
      </c>
      <c r="AD493" s="0" t="inlineStr">
        <is>
          <t>서원구</t>
        </is>
      </c>
      <c r="AE493" s="0" t="inlineStr">
        <is>
          <t>장성동</t>
        </is>
      </c>
      <c r="AG493" s="0" t="inlineStr">
        <is>
          <t>충청북도 청주시 서원구 궁뜰로42번길 100</t>
        </is>
      </c>
      <c r="AH493" s="0" t="n">
        <v>0</v>
      </c>
      <c r="AI493" s="0" t="n">
        <v>72</v>
      </c>
      <c r="AJ493" s="0" t="n">
        <v>19</v>
      </c>
      <c r="AK493" s="0" t="n">
        <v>40</v>
      </c>
      <c r="AL493" s="0" t="n">
        <v>1.25</v>
      </c>
    </row>
    <row r="494">
      <c r="A494" s="0" t="inlineStr">
        <is>
          <t>[장성동]</t>
        </is>
      </c>
      <c r="B494" s="0" t="n">
        <v>139766</v>
      </c>
      <c r="C494" s="0" t="n">
        <v>2</v>
      </c>
      <c r="D494" s="0" t="inlineStr">
        <is>
          <t>세울펜트하우스</t>
        </is>
      </c>
      <c r="E494" s="0" t="inlineStr">
        <is>
          <t>2018.08.</t>
        </is>
      </c>
      <c r="F494" s="0" t="n">
        <v>32</v>
      </c>
      <c r="G494" s="0" t="n">
        <v>30.09</v>
      </c>
      <c r="H494" s="0" t="n">
        <v>99.48999999999999</v>
      </c>
      <c r="I494" s="0" t="n">
        <v>24.4</v>
      </c>
      <c r="J494" s="0" t="n">
        <v>80.67</v>
      </c>
      <c r="K494" s="0" t="n">
        <v>16</v>
      </c>
      <c r="T494" s="0" t="n">
        <v>3</v>
      </c>
      <c r="U494" s="0" t="n">
        <v>2</v>
      </c>
      <c r="V494" s="0" t="inlineStr">
        <is>
          <t>계단식</t>
        </is>
      </c>
      <c r="W494" s="0" t="inlineStr">
        <is>
          <t>99B</t>
        </is>
      </c>
      <c r="X494" s="0" t="n">
        <v>4</v>
      </c>
      <c r="Y494" s="0" t="n">
        <v>4</v>
      </c>
      <c r="Z494" s="0" t="inlineStr">
        <is>
          <t>https://new.land.naver.com/complexes/139766?tab=detail&amp;rf=Y</t>
        </is>
      </c>
      <c r="AA494" s="0" t="inlineStr">
        <is>
          <t>충청북도 청주시 서원구 장성동 143</t>
        </is>
      </c>
      <c r="AB494" s="0" t="inlineStr">
        <is>
          <t>충청북도</t>
        </is>
      </c>
      <c r="AC494" s="0" t="inlineStr">
        <is>
          <t>청주시</t>
        </is>
      </c>
      <c r="AD494" s="0" t="inlineStr">
        <is>
          <t>서원구</t>
        </is>
      </c>
      <c r="AE494" s="0" t="inlineStr">
        <is>
          <t>장성동</t>
        </is>
      </c>
      <c r="AG494" s="0" t="inlineStr">
        <is>
          <t>충청북도 청주시 서원구 궁뜰로42번길 100</t>
        </is>
      </c>
      <c r="AH494" s="0" t="n">
        <v>0</v>
      </c>
      <c r="AI494" s="0" t="n">
        <v>72</v>
      </c>
      <c r="AJ494" s="0" t="n">
        <v>19</v>
      </c>
      <c r="AK494" s="0" t="n">
        <v>40</v>
      </c>
      <c r="AL494" s="0" t="n">
        <v>1.25</v>
      </c>
    </row>
    <row r="495">
      <c r="A495" s="0" t="inlineStr">
        <is>
          <t>[장성동]</t>
        </is>
      </c>
      <c r="B495" s="0" t="n">
        <v>144358</v>
      </c>
      <c r="C495" s="0" t="n">
        <v>1</v>
      </c>
      <c r="D495" s="0" t="inlineStr">
        <is>
          <t>보람</t>
        </is>
      </c>
      <c r="E495" s="0" t="inlineStr">
        <is>
          <t>1992.01.</t>
        </is>
      </c>
      <c r="F495" s="0" t="n">
        <v>88</v>
      </c>
      <c r="G495" s="0" t="n">
        <v>15.46</v>
      </c>
      <c r="H495" s="0" t="n">
        <v>51.11</v>
      </c>
      <c r="I495" s="0" t="n">
        <v>12.07</v>
      </c>
      <c r="J495" s="0" t="n">
        <v>39.91</v>
      </c>
      <c r="K495" s="0" t="n">
        <v>56</v>
      </c>
      <c r="T495" s="0" t="n">
        <v>2</v>
      </c>
      <c r="U495" s="0" t="n">
        <v>1</v>
      </c>
      <c r="V495" s="0" t="inlineStr">
        <is>
          <t>계단식</t>
        </is>
      </c>
      <c r="W495" s="0" t="n">
        <v>51</v>
      </c>
      <c r="X495" s="0" t="n">
        <v>4</v>
      </c>
      <c r="Y495" s="0" t="n">
        <v>4</v>
      </c>
      <c r="Z495" s="0" t="inlineStr">
        <is>
          <t>https://new.land.naver.com/complexes/144358?tab=detail&amp;rf=Y</t>
        </is>
      </c>
      <c r="AA495" s="0" t="inlineStr">
        <is>
          <t>충청북도 청주시 서원구 장성동 4-2</t>
        </is>
      </c>
      <c r="AB495" s="0" t="inlineStr">
        <is>
          <t>충청북도</t>
        </is>
      </c>
      <c r="AC495" s="0" t="inlineStr">
        <is>
          <t>청주시</t>
        </is>
      </c>
      <c r="AD495" s="0" t="inlineStr">
        <is>
          <t>서원구</t>
        </is>
      </c>
      <c r="AE495" s="0" t="inlineStr">
        <is>
          <t>장성동</t>
        </is>
      </c>
      <c r="AG495" s="0" t="inlineStr">
        <is>
          <t>충청북도 청주시 서원구 궁뜰로 47-1</t>
        </is>
      </c>
      <c r="AH495" s="0" t="n">
        <v>0</v>
      </c>
      <c r="AI495" s="0" t="n">
        <v>0</v>
      </c>
      <c r="AJ495" s="0" t="n">
        <v>0</v>
      </c>
      <c r="AK495" s="0" t="n">
        <v>0</v>
      </c>
      <c r="AL495" s="0" t="n">
        <v>0</v>
      </c>
    </row>
    <row r="496">
      <c r="A496" s="0" t="inlineStr">
        <is>
          <t>[장성동]</t>
        </is>
      </c>
      <c r="B496" s="0" t="n">
        <v>144358</v>
      </c>
      <c r="C496" s="0" t="n">
        <v>2</v>
      </c>
      <c r="D496" s="0" t="inlineStr">
        <is>
          <t>보람</t>
        </is>
      </c>
      <c r="E496" s="0" t="inlineStr">
        <is>
          <t>1992.01.</t>
        </is>
      </c>
      <c r="F496" s="0" t="n">
        <v>88</v>
      </c>
      <c r="G496" s="0" t="n">
        <v>18.94</v>
      </c>
      <c r="H496" s="0" t="n">
        <v>62.63</v>
      </c>
      <c r="I496" s="0" t="n">
        <v>15.02</v>
      </c>
      <c r="J496" s="0" t="n">
        <v>49.66</v>
      </c>
      <c r="K496" s="0" t="n">
        <v>32</v>
      </c>
      <c r="T496" s="0" t="n">
        <v>2</v>
      </c>
      <c r="U496" s="0" t="n">
        <v>1</v>
      </c>
      <c r="V496" s="0" t="inlineStr">
        <is>
          <t>계단식</t>
        </is>
      </c>
      <c r="W496" s="0" t="n">
        <v>62</v>
      </c>
      <c r="X496" s="0" t="n">
        <v>4</v>
      </c>
      <c r="Y496" s="0" t="n">
        <v>4</v>
      </c>
      <c r="Z496" s="0" t="inlineStr">
        <is>
          <t>https://new.land.naver.com/complexes/144358?tab=detail&amp;rf=Y</t>
        </is>
      </c>
      <c r="AA496" s="0" t="inlineStr">
        <is>
          <t>충청북도 청주시 서원구 장성동 4-2</t>
        </is>
      </c>
      <c r="AB496" s="0" t="inlineStr">
        <is>
          <t>충청북도</t>
        </is>
      </c>
      <c r="AC496" s="0" t="inlineStr">
        <is>
          <t>청주시</t>
        </is>
      </c>
      <c r="AD496" s="0" t="inlineStr">
        <is>
          <t>서원구</t>
        </is>
      </c>
      <c r="AE496" s="0" t="inlineStr">
        <is>
          <t>장성동</t>
        </is>
      </c>
      <c r="AG496" s="0" t="inlineStr">
        <is>
          <t>충청북도 청주시 서원구 궁뜰로 47-1</t>
        </is>
      </c>
      <c r="AH496" s="0" t="n">
        <v>0</v>
      </c>
      <c r="AI496" s="0" t="n">
        <v>0</v>
      </c>
      <c r="AJ496" s="0" t="n">
        <v>0</v>
      </c>
      <c r="AK496" s="0" t="n">
        <v>0</v>
      </c>
      <c r="AL496" s="0" t="n">
        <v>0</v>
      </c>
    </row>
    <row r="497">
      <c r="A497" s="0" t="inlineStr">
        <is>
          <t>[죽림동]</t>
        </is>
      </c>
      <c r="B497" s="0" t="n">
        <v>27617</v>
      </c>
      <c r="C497" s="0" t="n">
        <v>1</v>
      </c>
      <c r="D497" s="0" t="inlineStr">
        <is>
          <t>청주가경주공3단지</t>
        </is>
      </c>
      <c r="E497" s="0" t="inlineStr">
        <is>
          <t>2003.11.</t>
        </is>
      </c>
      <c r="F497" s="0" t="n">
        <v>704</v>
      </c>
      <c r="G497" s="0" t="n">
        <v>20.47</v>
      </c>
      <c r="H497" s="0" t="n">
        <v>67.68000000000001</v>
      </c>
      <c r="I497" s="0" t="n">
        <v>15.65</v>
      </c>
      <c r="J497" s="0" t="n">
        <v>51.74</v>
      </c>
      <c r="K497" s="0" t="n">
        <v>438</v>
      </c>
      <c r="T497" s="0" t="n">
        <v>2</v>
      </c>
      <c r="U497" s="0" t="n">
        <v>1</v>
      </c>
      <c r="V497" s="0" t="inlineStr">
        <is>
          <t>계단식</t>
        </is>
      </c>
      <c r="W497" s="0" t="n">
        <v>67</v>
      </c>
      <c r="X497" s="0" t="n">
        <v>15</v>
      </c>
      <c r="Y497" s="0" t="n">
        <v>13</v>
      </c>
      <c r="Z497" s="0" t="inlineStr">
        <is>
          <t>https://new.land.naver.com/complexes/27617?tab=detail&amp;rf=Y</t>
        </is>
      </c>
      <c r="AA497" s="0" t="inlineStr">
        <is>
          <t>충청북도 청주시 서원구 죽림동 295</t>
        </is>
      </c>
      <c r="AB497" s="0" t="inlineStr">
        <is>
          <t>충청북도</t>
        </is>
      </c>
      <c r="AC497" s="0" t="inlineStr">
        <is>
          <t>청주시</t>
        </is>
      </c>
      <c r="AD497" s="0" t="inlineStr">
        <is>
          <t>서원구</t>
        </is>
      </c>
      <c r="AE497" s="0" t="inlineStr">
        <is>
          <t>죽림동</t>
        </is>
      </c>
      <c r="AG497" s="0" t="inlineStr">
        <is>
          <t>충청북도 청주시 서원구 대림로 493</t>
        </is>
      </c>
      <c r="AH497" s="0" t="n">
        <v>0</v>
      </c>
      <c r="AI497" s="0" t="n">
        <v>168</v>
      </c>
      <c r="AJ497" s="0" t="n">
        <v>16</v>
      </c>
      <c r="AK497" s="0" t="n">
        <v>568</v>
      </c>
      <c r="AL497" s="0" t="n">
        <v>0.8100000000000001</v>
      </c>
    </row>
    <row r="498">
      <c r="A498" s="0" t="inlineStr">
        <is>
          <t>[죽림동]</t>
        </is>
      </c>
      <c r="B498" s="0" t="n">
        <v>27617</v>
      </c>
      <c r="C498" s="0" t="n">
        <v>2</v>
      </c>
      <c r="D498" s="0" t="inlineStr">
        <is>
          <t>청주가경주공3단지</t>
        </is>
      </c>
      <c r="E498" s="0" t="inlineStr">
        <is>
          <t>2003.11.</t>
        </is>
      </c>
      <c r="F498" s="0" t="n">
        <v>704</v>
      </c>
      <c r="G498" s="0" t="n">
        <v>23.7</v>
      </c>
      <c r="H498" s="0" t="n">
        <v>78.38</v>
      </c>
      <c r="I498" s="0" t="n">
        <v>18.12</v>
      </c>
      <c r="J498" s="0" t="n">
        <v>59.92</v>
      </c>
      <c r="K498" s="0" t="n">
        <v>266</v>
      </c>
      <c r="T498" s="0" t="n">
        <v>3</v>
      </c>
      <c r="U498" s="0" t="n">
        <v>1</v>
      </c>
      <c r="V498" s="0" t="inlineStr">
        <is>
          <t>계단식</t>
        </is>
      </c>
      <c r="W498" s="0" t="n">
        <v>78</v>
      </c>
      <c r="X498" s="0" t="n">
        <v>15</v>
      </c>
      <c r="Y498" s="0" t="n">
        <v>13</v>
      </c>
      <c r="Z498" s="0" t="inlineStr">
        <is>
          <t>https://new.land.naver.com/complexes/27617?tab=detail&amp;rf=Y</t>
        </is>
      </c>
      <c r="AA498" s="0" t="inlineStr">
        <is>
          <t>충청북도 청주시 서원구 죽림동 295</t>
        </is>
      </c>
      <c r="AB498" s="0" t="inlineStr">
        <is>
          <t>충청북도</t>
        </is>
      </c>
      <c r="AC498" s="0" t="inlineStr">
        <is>
          <t>청주시</t>
        </is>
      </c>
      <c r="AD498" s="0" t="inlineStr">
        <is>
          <t>서원구</t>
        </is>
      </c>
      <c r="AE498" s="0" t="inlineStr">
        <is>
          <t>죽림동</t>
        </is>
      </c>
      <c r="AG498" s="0" t="inlineStr">
        <is>
          <t>충청북도 청주시 서원구 대림로 493</t>
        </is>
      </c>
      <c r="AH498" s="0" t="n">
        <v>0</v>
      </c>
      <c r="AI498" s="0" t="n">
        <v>168</v>
      </c>
      <c r="AJ498" s="0" t="n">
        <v>16</v>
      </c>
      <c r="AK498" s="0" t="n">
        <v>568</v>
      </c>
      <c r="AL498" s="0" t="n">
        <v>0.8100000000000001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7" sqref="A57:XFD5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개신동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청주개신뜨란채2단지</t>
        </is>
      </c>
      <c r="B6" s="16" t="inlineStr">
        <is>
          <t>'00.12.</t>
        </is>
      </c>
      <c r="C6" s="164" t="n">
        <v>980</v>
      </c>
      <c r="D6" s="161" t="n">
        <v>69</v>
      </c>
      <c r="E6" s="163" t="n">
        <v>21</v>
      </c>
      <c r="F6" s="161" t="n">
        <v>50</v>
      </c>
      <c r="G6" s="27" t="n">
        <v>15</v>
      </c>
      <c r="H6" s="164" t="n">
        <v>38</v>
      </c>
      <c r="I6" s="165" t="n">
        <v>15000</v>
      </c>
      <c r="J6" s="165" t="inlineStr">
        <is>
          <t>17</t>
        </is>
      </c>
      <c r="K6" s="165" t="n">
        <v>14000</v>
      </c>
      <c r="L6" s="165" t="inlineStr">
        <is>
          <t>7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복</t>
        </is>
      </c>
      <c r="T6" s="8" t="n">
        <v>68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청주개신뜨란채2단지</t>
        </is>
      </c>
      <c r="B7" s="16" t="inlineStr">
        <is>
          <t>'00.12.</t>
        </is>
      </c>
      <c r="C7" s="164" t="n">
        <v>980</v>
      </c>
      <c r="D7" s="161" t="n">
        <v>82</v>
      </c>
      <c r="E7" s="163" t="n">
        <v>25</v>
      </c>
      <c r="F7" s="161" t="n">
        <v>59.4</v>
      </c>
      <c r="G7" s="27" t="n">
        <v>18</v>
      </c>
      <c r="H7" s="164" t="n">
        <v>942</v>
      </c>
      <c r="I7" s="165" t="n">
        <v>17500</v>
      </c>
      <c r="J7" s="165" t="inlineStr">
        <is>
          <t>13</t>
        </is>
      </c>
      <c r="K7" s="165" t="n">
        <v>14000</v>
      </c>
      <c r="L7" s="165" t="inlineStr">
        <is>
          <t>15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81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두진백로1단지</t>
        </is>
      </c>
      <c r="B9" s="16" t="inlineStr">
        <is>
          <t>'93.04.</t>
        </is>
      </c>
      <c r="C9" s="164" t="n">
        <v>227</v>
      </c>
      <c r="D9" s="161" t="n">
        <v>103.4</v>
      </c>
      <c r="E9" s="163" t="n">
        <v>31</v>
      </c>
      <c r="F9" s="161" t="n">
        <v>82.09999999999999</v>
      </c>
      <c r="G9" s="27" t="n">
        <v>25</v>
      </c>
      <c r="H9" s="164" t="n">
        <v>30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103A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두진백로1단지</t>
        </is>
      </c>
      <c r="B10" s="16" t="inlineStr">
        <is>
          <t>'93.04.</t>
        </is>
      </c>
      <c r="C10" s="164" t="n">
        <v>227</v>
      </c>
      <c r="D10" s="161" t="n">
        <v>105.9</v>
      </c>
      <c r="E10" s="163" t="n">
        <v>32</v>
      </c>
      <c r="F10" s="161" t="n">
        <v>84.09999999999999</v>
      </c>
      <c r="G10" s="27" t="n">
        <v>25</v>
      </c>
      <c r="H10" s="164" t="n">
        <v>15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105B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두진백로1단지</t>
        </is>
      </c>
      <c r="B11" s="16" t="inlineStr">
        <is>
          <t>'93.04.</t>
        </is>
      </c>
      <c r="C11" s="164" t="n">
        <v>227</v>
      </c>
      <c r="D11" s="161" t="n">
        <v>106.1</v>
      </c>
      <c r="E11" s="163" t="n">
        <v>32</v>
      </c>
      <c r="F11" s="161" t="n">
        <v>84.3</v>
      </c>
      <c r="G11" s="27" t="n">
        <v>25</v>
      </c>
      <c r="H11" s="164" t="n">
        <v>107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106C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두진백로1단지</t>
        </is>
      </c>
      <c r="B12" s="16" t="inlineStr">
        <is>
          <t>'93.04.</t>
        </is>
      </c>
      <c r="C12" s="164" t="n">
        <v>227</v>
      </c>
      <c r="D12" s="161" t="n">
        <v>107</v>
      </c>
      <c r="E12" s="163" t="n">
        <v>32</v>
      </c>
      <c r="F12" s="161" t="n">
        <v>84.90000000000001</v>
      </c>
      <c r="G12" s="27" t="n">
        <v>26</v>
      </c>
      <c r="H12" s="164" t="n">
        <v>30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106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두진백로1단지</t>
        </is>
      </c>
      <c r="B13" s="16" t="inlineStr">
        <is>
          <t>'93.04.</t>
        </is>
      </c>
      <c r="C13" s="164" t="n">
        <v>227</v>
      </c>
      <c r="D13" s="161" t="n">
        <v>111.5</v>
      </c>
      <c r="E13" s="163" t="n">
        <v>34</v>
      </c>
      <c r="F13" s="161" t="n">
        <v>88.59999999999999</v>
      </c>
      <c r="G13" s="27" t="n">
        <v>27</v>
      </c>
      <c r="H13" s="164" t="n">
        <v>15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111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두진백로1단지</t>
        </is>
      </c>
      <c r="B14" s="16" t="inlineStr">
        <is>
          <t>'93.04.</t>
        </is>
      </c>
      <c r="C14" s="164" t="n">
        <v>227</v>
      </c>
      <c r="D14" s="161" t="n">
        <v>150.5</v>
      </c>
      <c r="E14" s="163" t="n">
        <v>46</v>
      </c>
      <c r="F14" s="161" t="n">
        <v>119.5</v>
      </c>
      <c r="G14" s="27" t="n">
        <v>36</v>
      </c>
      <c r="H14" s="164" t="n">
        <v>15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inlineStr">
        <is>
          <t>150A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두진백로1단지</t>
        </is>
      </c>
      <c r="B15" s="16" t="inlineStr">
        <is>
          <t>'93.04.</t>
        </is>
      </c>
      <c r="C15" s="164" t="n">
        <v>227</v>
      </c>
      <c r="D15" s="161" t="n">
        <v>150.5</v>
      </c>
      <c r="E15" s="163" t="n">
        <v>46</v>
      </c>
      <c r="F15" s="161" t="n">
        <v>119.5</v>
      </c>
      <c r="G15" s="27" t="n">
        <v>36</v>
      </c>
      <c r="H15" s="164" t="n">
        <v>15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inlineStr">
        <is>
          <t>150B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두산한솔1차</t>
        </is>
      </c>
      <c r="B17" s="16" t="inlineStr">
        <is>
          <t>'93.05.</t>
        </is>
      </c>
      <c r="C17" s="164" t="n">
        <v>206</v>
      </c>
      <c r="D17" s="161" t="n">
        <v>83</v>
      </c>
      <c r="E17" s="163" t="n">
        <v>25</v>
      </c>
      <c r="F17" s="161" t="n">
        <v>59.6</v>
      </c>
      <c r="G17" s="27" t="n">
        <v>18</v>
      </c>
      <c r="H17" s="164" t="n">
        <v>86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1</v>
      </c>
      <c r="S17" s="113" t="inlineStr">
        <is>
          <t>계</t>
        </is>
      </c>
      <c r="T17" s="8" t="n">
        <v>83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두산한솔1차</t>
        </is>
      </c>
      <c r="B18" s="16" t="inlineStr">
        <is>
          <t>'93.05.</t>
        </is>
      </c>
      <c r="C18" s="164" t="n">
        <v>206</v>
      </c>
      <c r="D18" s="161" t="n">
        <v>113.1</v>
      </c>
      <c r="E18" s="163" t="n">
        <v>34</v>
      </c>
      <c r="F18" s="161" t="n">
        <v>85</v>
      </c>
      <c r="G18" s="27" t="n">
        <v>26</v>
      </c>
      <c r="H18" s="164" t="n">
        <v>60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113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두산한솔1차</t>
        </is>
      </c>
      <c r="B19" s="16" t="inlineStr">
        <is>
          <t>'93.05.</t>
        </is>
      </c>
      <c r="C19" s="164" t="n">
        <v>206</v>
      </c>
      <c r="D19" s="161" t="n">
        <v>144.5</v>
      </c>
      <c r="E19" s="163" t="n">
        <v>44</v>
      </c>
      <c r="F19" s="161" t="n">
        <v>111.3</v>
      </c>
      <c r="G19" s="27" t="n">
        <v>34</v>
      </c>
      <c r="H19" s="164" t="n">
        <v>60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144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청주개신푸르지오</t>
        </is>
      </c>
      <c r="B21" s="16" t="inlineStr">
        <is>
          <t>'04.11.</t>
        </is>
      </c>
      <c r="C21" s="164" t="n">
        <v>920</v>
      </c>
      <c r="D21" s="161" t="n">
        <v>107.7</v>
      </c>
      <c r="E21" s="163" t="n">
        <v>33</v>
      </c>
      <c r="F21" s="161" t="n">
        <v>84.8</v>
      </c>
      <c r="G21" s="27" t="n">
        <v>26</v>
      </c>
      <c r="H21" s="164" t="n">
        <v>74</v>
      </c>
      <c r="I21" s="165" t="n">
        <v>32000</v>
      </c>
      <c r="J21" s="165" t="inlineStr">
        <is>
          <t>11</t>
        </is>
      </c>
      <c r="K21" s="165" t="n">
        <v>32000</v>
      </c>
      <c r="L21" s="165" t="inlineStr">
        <is>
          <t>15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107B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청주개신푸르지오</t>
        </is>
      </c>
      <c r="B22" s="16" t="inlineStr">
        <is>
          <t>'04.11.</t>
        </is>
      </c>
      <c r="C22" s="164" t="n">
        <v>920</v>
      </c>
      <c r="D22" s="161" t="n">
        <v>108.6</v>
      </c>
      <c r="E22" s="163" t="n">
        <v>33</v>
      </c>
      <c r="F22" s="161" t="n">
        <v>84.8</v>
      </c>
      <c r="G22" s="27" t="n">
        <v>26</v>
      </c>
      <c r="H22" s="164" t="n">
        <v>662</v>
      </c>
      <c r="I22" s="165" t="n">
        <v>29000</v>
      </c>
      <c r="J22" s="165" t="inlineStr">
        <is>
          <t>6</t>
        </is>
      </c>
      <c r="K22" s="165" t="n">
        <v>25000</v>
      </c>
      <c r="L22" s="165" t="inlineStr">
        <is>
          <t>5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108A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청주개신푸르지오</t>
        </is>
      </c>
      <c r="B23" s="16" t="inlineStr">
        <is>
          <t>'04.11.</t>
        </is>
      </c>
      <c r="C23" s="164" t="n">
        <v>920</v>
      </c>
      <c r="D23" s="161" t="n">
        <v>128.5</v>
      </c>
      <c r="E23" s="163" t="n">
        <v>39</v>
      </c>
      <c r="F23" s="161" t="n">
        <v>100.4</v>
      </c>
      <c r="G23" s="27" t="n">
        <v>30</v>
      </c>
      <c r="H23" s="164" t="n">
        <v>90</v>
      </c>
      <c r="I23" s="165" t="n">
        <v>38000</v>
      </c>
      <c r="J23" s="165" t="inlineStr">
        <is>
          <t>22</t>
        </is>
      </c>
      <c r="K23" s="165" t="n">
        <v>29500</v>
      </c>
      <c r="L23" s="165" t="inlineStr">
        <is>
          <t>22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128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청주개신푸르지오</t>
        </is>
      </c>
      <c r="B24" s="16" t="inlineStr">
        <is>
          <t>'04.11.</t>
        </is>
      </c>
      <c r="C24" s="164" t="n">
        <v>920</v>
      </c>
      <c r="D24" s="161" t="n">
        <v>151.6</v>
      </c>
      <c r="E24" s="163" t="n">
        <v>46</v>
      </c>
      <c r="F24" s="161" t="n">
        <v>120.2</v>
      </c>
      <c r="G24" s="27" t="n">
        <v>36</v>
      </c>
      <c r="H24" s="164" t="n">
        <v>94</v>
      </c>
      <c r="I24" s="165" t="n">
        <v>49000</v>
      </c>
      <c r="J24" s="165" t="inlineStr">
        <is>
          <t>8</t>
        </is>
      </c>
      <c r="K24" s="165" t="n">
        <v>38000</v>
      </c>
      <c r="L24" s="165" t="inlineStr">
        <is>
          <t>24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n">
        <v>151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현대</t>
        </is>
      </c>
      <c r="B26" s="16" t="inlineStr">
        <is>
          <t>'90.12.</t>
        </is>
      </c>
      <c r="C26" s="164" t="n">
        <v>511</v>
      </c>
      <c r="D26" s="161" t="n">
        <v>87.90000000000001</v>
      </c>
      <c r="E26" s="163" t="n">
        <v>27</v>
      </c>
      <c r="F26" s="161" t="n">
        <v>71.2</v>
      </c>
      <c r="G26" s="27" t="n">
        <v>22</v>
      </c>
      <c r="H26" s="164" t="n">
        <v>112</v>
      </c>
      <c r="I26" s="165" t="n">
        <v>15500</v>
      </c>
      <c r="J26" s="165" t="inlineStr">
        <is>
          <t>5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87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현대</t>
        </is>
      </c>
      <c r="B27" s="16" t="inlineStr">
        <is>
          <t>'90.12.</t>
        </is>
      </c>
      <c r="C27" s="164" t="n">
        <v>511</v>
      </c>
      <c r="D27" s="161" t="n">
        <v>104.9</v>
      </c>
      <c r="E27" s="163" t="n">
        <v>32</v>
      </c>
      <c r="F27" s="161" t="n">
        <v>84.90000000000001</v>
      </c>
      <c r="G27" s="27" t="n">
        <v>26</v>
      </c>
      <c r="H27" s="164" t="n">
        <v>297</v>
      </c>
      <c r="I27" s="165" t="n">
        <v>19500</v>
      </c>
      <c r="J27" s="165" t="inlineStr">
        <is>
          <t>11</t>
        </is>
      </c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104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현대</t>
        </is>
      </c>
      <c r="B28" s="16" t="inlineStr">
        <is>
          <t>'90.12.</t>
        </is>
      </c>
      <c r="C28" s="164" t="n">
        <v>511</v>
      </c>
      <c r="D28" s="161" t="n">
        <v>104</v>
      </c>
      <c r="E28" s="163" t="n">
        <v>31</v>
      </c>
      <c r="F28" s="161" t="n">
        <v>84.3</v>
      </c>
      <c r="G28" s="27" t="n">
        <v>25</v>
      </c>
      <c r="H28" s="164" t="n">
        <v>15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104B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현대</t>
        </is>
      </c>
      <c r="B29" s="16" t="inlineStr">
        <is>
          <t>'90.12.</t>
        </is>
      </c>
      <c r="C29" s="164" t="n">
        <v>511</v>
      </c>
      <c r="D29" s="161" t="n">
        <v>154.7</v>
      </c>
      <c r="E29" s="163" t="n">
        <v>47</v>
      </c>
      <c r="F29" s="161" t="n">
        <v>125.3</v>
      </c>
      <c r="G29" s="27" t="n">
        <v>38</v>
      </c>
      <c r="H29" s="164" t="n">
        <v>87</v>
      </c>
      <c r="I29" s="165" t="n">
        <v>26000</v>
      </c>
      <c r="J29" s="165" t="inlineStr">
        <is>
          <t>14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154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1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2" t="n"/>
      <c r="P30" s="162" t="n"/>
      <c r="Q30" s="163" t="n"/>
      <c r="R30" s="163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0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삼익2차</t>
        </is>
      </c>
      <c r="B31" s="16" t="inlineStr">
        <is>
          <t>'93.02.</t>
        </is>
      </c>
      <c r="C31" s="164" t="n">
        <v>390</v>
      </c>
      <c r="D31" s="161" t="n">
        <v>103.4</v>
      </c>
      <c r="E31" s="163" t="n">
        <v>31</v>
      </c>
      <c r="F31" s="161" t="n">
        <v>85</v>
      </c>
      <c r="G31" s="27" t="n">
        <v>26</v>
      </c>
      <c r="H31" s="164" t="n">
        <v>294</v>
      </c>
      <c r="I31" s="165" t="n">
        <v>17000</v>
      </c>
      <c r="J31" s="165" t="inlineStr">
        <is>
          <t>12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103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삼익2차</t>
        </is>
      </c>
      <c r="B32" s="16" t="inlineStr">
        <is>
          <t>'93.02.</t>
        </is>
      </c>
      <c r="C32" s="164" t="n">
        <v>390</v>
      </c>
      <c r="D32" s="161" t="n">
        <v>145.6</v>
      </c>
      <c r="E32" s="163" t="n">
        <v>44</v>
      </c>
      <c r="F32" s="161" t="n">
        <v>123.9</v>
      </c>
      <c r="G32" s="27" t="n">
        <v>37</v>
      </c>
      <c r="H32" s="164" t="n">
        <v>48</v>
      </c>
      <c r="I32" s="165" t="n">
        <v>25000</v>
      </c>
      <c r="J32" s="165" t="inlineStr">
        <is>
          <t>중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n">
        <v>145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삼익2차</t>
        </is>
      </c>
      <c r="B33" s="16" t="inlineStr">
        <is>
          <t>'93.02.</t>
        </is>
      </c>
      <c r="C33" s="164" t="n">
        <v>390</v>
      </c>
      <c r="D33" s="161" t="n">
        <v>170.7</v>
      </c>
      <c r="E33" s="163" t="n">
        <v>52</v>
      </c>
      <c r="F33" s="161" t="n">
        <v>146.9</v>
      </c>
      <c r="G33" s="27" t="n">
        <v>44</v>
      </c>
      <c r="H33" s="164" t="n">
        <v>48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n">
        <v>170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청주개신주공3단지</t>
        </is>
      </c>
      <c r="B35" s="16" t="inlineStr">
        <is>
          <t>'03.07.</t>
        </is>
      </c>
      <c r="C35" s="164" t="n">
        <v>634</v>
      </c>
      <c r="D35" s="161" t="n">
        <v>97.3</v>
      </c>
      <c r="E35" s="163" t="n">
        <v>29</v>
      </c>
      <c r="F35" s="161" t="n">
        <v>76</v>
      </c>
      <c r="G35" s="27" t="n">
        <v>23</v>
      </c>
      <c r="H35" s="164" t="n">
        <v>116</v>
      </c>
      <c r="I35" s="165" t="n">
        <v>25000</v>
      </c>
      <c r="J35" s="165" t="inlineStr">
        <is>
          <t>9</t>
        </is>
      </c>
      <c r="K35" s="165" t="n">
        <v>22000</v>
      </c>
      <c r="L35" s="165" t="inlineStr">
        <is>
          <t>18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97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청주개신주공3단지</t>
        </is>
      </c>
      <c r="B36" s="16" t="inlineStr">
        <is>
          <t>'03.07.</t>
        </is>
      </c>
      <c r="C36" s="164" t="n">
        <v>634</v>
      </c>
      <c r="D36" s="161" t="n">
        <v>108.6</v>
      </c>
      <c r="E36" s="163" t="n">
        <v>33</v>
      </c>
      <c r="F36" s="161" t="n">
        <v>84.8</v>
      </c>
      <c r="G36" s="27" t="n">
        <v>26</v>
      </c>
      <c r="H36" s="164" t="n">
        <v>322</v>
      </c>
      <c r="I36" s="165" t="n">
        <v>27000</v>
      </c>
      <c r="J36" s="165" t="inlineStr">
        <is>
          <t>14</t>
        </is>
      </c>
      <c r="K36" s="165" t="n">
        <v>26000</v>
      </c>
      <c r="L36" s="165" t="inlineStr">
        <is>
          <t>9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108A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청주개신주공3단지</t>
        </is>
      </c>
      <c r="B37" s="16" t="inlineStr">
        <is>
          <t>'03.07.</t>
        </is>
      </c>
      <c r="C37" s="164" t="n">
        <v>634</v>
      </c>
      <c r="D37" s="161" t="n">
        <v>108.7</v>
      </c>
      <c r="E37" s="163" t="n">
        <v>33</v>
      </c>
      <c r="F37" s="161" t="n">
        <v>84.90000000000001</v>
      </c>
      <c r="G37" s="27" t="n">
        <v>26</v>
      </c>
      <c r="H37" s="164" t="n">
        <v>116</v>
      </c>
      <c r="I37" s="165" t="n">
        <v>27500</v>
      </c>
      <c r="J37" s="165" t="inlineStr">
        <is>
          <t>5</t>
        </is>
      </c>
      <c r="K37" s="165" t="n">
        <v>27000</v>
      </c>
      <c r="L37" s="165" t="inlineStr">
        <is>
          <t>6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108B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청주개신주공3단지</t>
        </is>
      </c>
      <c r="B38" s="16" t="inlineStr">
        <is>
          <t>'03.07.</t>
        </is>
      </c>
      <c r="C38" s="164" t="n">
        <v>634</v>
      </c>
      <c r="D38" s="161" t="n">
        <v>108.5</v>
      </c>
      <c r="E38" s="163" t="n">
        <v>33</v>
      </c>
      <c r="F38" s="161" t="n">
        <v>84.8</v>
      </c>
      <c r="G38" s="27" t="n">
        <v>26</v>
      </c>
      <c r="H38" s="164" t="n">
        <v>80</v>
      </c>
      <c r="I38" s="165" t="n">
        <v>28000</v>
      </c>
      <c r="J38" s="165" t="inlineStr">
        <is>
          <t>중</t>
        </is>
      </c>
      <c r="K38" s="165" t="n">
        <v>24000</v>
      </c>
      <c r="L38" s="165" t="inlineStr">
        <is>
          <t>중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108C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송학삼익맨션</t>
        </is>
      </c>
      <c r="B40" s="16" t="inlineStr">
        <is>
          <t>'92.02.</t>
        </is>
      </c>
      <c r="C40" s="164" t="n">
        <v>330</v>
      </c>
      <c r="D40" s="161" t="n">
        <v>94.7</v>
      </c>
      <c r="E40" s="163" t="n">
        <v>29</v>
      </c>
      <c r="F40" s="161" t="n">
        <v>84.90000000000001</v>
      </c>
      <c r="G40" s="27" t="n">
        <v>26</v>
      </c>
      <c r="H40" s="164" t="n">
        <v>270</v>
      </c>
      <c r="I40" s="165" t="n">
        <v>16000</v>
      </c>
      <c r="J40" s="165" t="inlineStr">
        <is>
          <t>9</t>
        </is>
      </c>
      <c r="K40" s="165" t="n">
        <v>15000</v>
      </c>
      <c r="L40" s="165" t="inlineStr">
        <is>
          <t>15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94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송학삼익맨션</t>
        </is>
      </c>
      <c r="B41" s="16" t="inlineStr">
        <is>
          <t>'92.02.</t>
        </is>
      </c>
      <c r="C41" s="164" t="n">
        <v>330</v>
      </c>
      <c r="D41" s="161" t="n">
        <v>137.8</v>
      </c>
      <c r="E41" s="163" t="n">
        <v>42</v>
      </c>
      <c r="F41" s="161" t="n">
        <v>125</v>
      </c>
      <c r="G41" s="27" t="n">
        <v>38</v>
      </c>
      <c r="H41" s="164" t="n">
        <v>60</v>
      </c>
      <c r="I41" s="165" t="n">
        <v>18000</v>
      </c>
      <c r="J41" s="165" t="inlineStr">
        <is>
          <t>13</t>
        </is>
      </c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4</v>
      </c>
      <c r="R41" s="113" t="n">
        <v>2</v>
      </c>
      <c r="S41" s="113" t="inlineStr">
        <is>
          <t>계</t>
        </is>
      </c>
      <c r="T41" s="8" t="n">
        <v>137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1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2" t="n"/>
      <c r="P42" s="162" t="n"/>
      <c r="Q42" s="163" t="n"/>
      <c r="R42" s="163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0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개신우정</t>
        </is>
      </c>
      <c r="B43" s="16" t="inlineStr">
        <is>
          <t>'97.07.</t>
        </is>
      </c>
      <c r="C43" s="164" t="n">
        <v>236</v>
      </c>
      <c r="D43" s="161" t="n">
        <v>35.1</v>
      </c>
      <c r="E43" s="163" t="n">
        <v>11</v>
      </c>
      <c r="F43" s="161" t="n">
        <v>24</v>
      </c>
      <c r="G43" s="27" t="n">
        <v>7</v>
      </c>
      <c r="H43" s="164" t="n">
        <v>186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1</v>
      </c>
      <c r="R43" s="113" t="n">
        <v>1</v>
      </c>
      <c r="S43" s="113" t="inlineStr">
        <is>
          <t>복</t>
        </is>
      </c>
      <c r="T43" s="8" t="inlineStr">
        <is>
          <t>35A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개신우정</t>
        </is>
      </c>
      <c r="B44" s="16" t="inlineStr">
        <is>
          <t>'97.07.</t>
        </is>
      </c>
      <c r="C44" s="164" t="n">
        <v>236</v>
      </c>
      <c r="D44" s="161" t="n">
        <v>36.9</v>
      </c>
      <c r="E44" s="163" t="n">
        <v>11</v>
      </c>
      <c r="F44" s="161" t="n">
        <v>25.3</v>
      </c>
      <c r="G44" s="27" t="n">
        <v>8</v>
      </c>
      <c r="H44" s="164" t="n">
        <v>50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1</v>
      </c>
      <c r="R44" s="113" t="n">
        <v>1</v>
      </c>
      <c r="S44" s="113" t="inlineStr">
        <is>
          <t>복</t>
        </is>
      </c>
      <c r="T44" s="8" t="inlineStr">
        <is>
          <t>36B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청주개신주공1단지</t>
        </is>
      </c>
      <c r="B46" s="16" t="inlineStr">
        <is>
          <t>'01.12.</t>
        </is>
      </c>
      <c r="C46" s="164" t="n">
        <v>1398</v>
      </c>
      <c r="D46" s="161" t="n">
        <v>71.3</v>
      </c>
      <c r="E46" s="163" t="n">
        <v>22</v>
      </c>
      <c r="F46" s="161" t="n">
        <v>49.9</v>
      </c>
      <c r="G46" s="27" t="n">
        <v>15</v>
      </c>
      <c r="H46" s="164" t="n">
        <v>631</v>
      </c>
      <c r="I46" s="165" t="n">
        <v>14500</v>
      </c>
      <c r="J46" s="165" t="inlineStr">
        <is>
          <t>10</t>
        </is>
      </c>
      <c r="K46" s="165" t="n">
        <v>13000</v>
      </c>
      <c r="L46" s="165" t="inlineStr">
        <is>
          <t>18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inlineStr">
        <is>
          <t>71B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청주개신주공1단지</t>
        </is>
      </c>
      <c r="B47" s="16" t="inlineStr">
        <is>
          <t>'01.12.</t>
        </is>
      </c>
      <c r="C47" s="164" t="n">
        <v>1398</v>
      </c>
      <c r="D47" s="161" t="n">
        <v>71.2</v>
      </c>
      <c r="E47" s="163" t="n">
        <v>22</v>
      </c>
      <c r="F47" s="161" t="n">
        <v>49.8</v>
      </c>
      <c r="G47" s="27" t="n">
        <v>15</v>
      </c>
      <c r="H47" s="164" t="n">
        <v>85</v>
      </c>
      <c r="I47" s="165" t="n">
        <v>16200</v>
      </c>
      <c r="J47" s="165" t="inlineStr">
        <is>
          <t>6</t>
        </is>
      </c>
      <c r="K47" s="165" t="n">
        <v>15800</v>
      </c>
      <c r="L47" s="165" t="inlineStr">
        <is>
          <t>10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2</v>
      </c>
      <c r="R47" s="113" t="n">
        <v>1</v>
      </c>
      <c r="S47" s="113" t="inlineStr">
        <is>
          <t>계</t>
        </is>
      </c>
      <c r="T47" s="8" t="inlineStr">
        <is>
          <t>71A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청주개신주공1단지</t>
        </is>
      </c>
      <c r="B48" s="16" t="inlineStr">
        <is>
          <t>'01.12.</t>
        </is>
      </c>
      <c r="C48" s="164" t="n">
        <v>1398</v>
      </c>
      <c r="D48" s="161" t="n">
        <v>85.59999999999999</v>
      </c>
      <c r="E48" s="163" t="n">
        <v>26</v>
      </c>
      <c r="F48" s="161" t="n">
        <v>59.9</v>
      </c>
      <c r="G48" s="27" t="n">
        <v>18</v>
      </c>
      <c r="H48" s="164" t="n">
        <v>511</v>
      </c>
      <c r="I48" s="165" t="n">
        <v>17500</v>
      </c>
      <c r="J48" s="165" t="inlineStr">
        <is>
          <t>19</t>
        </is>
      </c>
      <c r="K48" s="165" t="n">
        <v>15000</v>
      </c>
      <c r="L48" s="165" t="inlineStr">
        <is>
          <t>19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85A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청주개신주공1단지</t>
        </is>
      </c>
      <c r="B49" s="16" t="inlineStr">
        <is>
          <t>'01.12.</t>
        </is>
      </c>
      <c r="C49" s="164" t="n">
        <v>1398</v>
      </c>
      <c r="D49" s="161" t="n">
        <v>85.40000000000001</v>
      </c>
      <c r="E49" s="163" t="n">
        <v>26</v>
      </c>
      <c r="F49" s="161" t="n">
        <v>59.8</v>
      </c>
      <c r="G49" s="27" t="n">
        <v>18</v>
      </c>
      <c r="H49" s="164" t="n">
        <v>72</v>
      </c>
      <c r="I49" s="165" t="n">
        <v>18000</v>
      </c>
      <c r="J49" s="165" t="inlineStr">
        <is>
          <t>고</t>
        </is>
      </c>
      <c r="K49" s="165" t="n">
        <v>18000</v>
      </c>
      <c r="L49" s="165" t="inlineStr">
        <is>
          <t>5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2</v>
      </c>
      <c r="R49" s="113" t="n">
        <v>2</v>
      </c>
      <c r="S49" s="113" t="inlineStr">
        <is>
          <t>계</t>
        </is>
      </c>
      <c r="T49" s="8" t="inlineStr">
        <is>
          <t>85C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청주개신주공1단지</t>
        </is>
      </c>
      <c r="B50" s="16" t="inlineStr">
        <is>
          <t>'01.12.</t>
        </is>
      </c>
      <c r="C50" s="164" t="n">
        <v>1398</v>
      </c>
      <c r="D50" s="161" t="n">
        <v>85.59999999999999</v>
      </c>
      <c r="E50" s="163" t="n">
        <v>26</v>
      </c>
      <c r="F50" s="161" t="n">
        <v>59.9</v>
      </c>
      <c r="G50" s="27" t="n">
        <v>18</v>
      </c>
      <c r="H50" s="164" t="n">
        <v>60</v>
      </c>
      <c r="I50" s="165" t="n">
        <v>17500</v>
      </c>
      <c r="J50" s="165" t="inlineStr">
        <is>
          <t>19</t>
        </is>
      </c>
      <c r="K50" s="165" t="n">
        <v>15000</v>
      </c>
      <c r="L50" s="165" t="inlineStr">
        <is>
          <t>19</t>
        </is>
      </c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2</v>
      </c>
      <c r="R50" s="113" t="n">
        <v>2</v>
      </c>
      <c r="S50" s="113" t="inlineStr">
        <is>
          <t>계</t>
        </is>
      </c>
      <c r="T50" s="8" t="inlineStr">
        <is>
          <t>85B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청주개신주공1단지</t>
        </is>
      </c>
      <c r="B51" s="16" t="inlineStr">
        <is>
          <t>'01.12.</t>
        </is>
      </c>
      <c r="C51" s="164" t="n">
        <v>1398</v>
      </c>
      <c r="D51" s="161" t="n">
        <v>85.59999999999999</v>
      </c>
      <c r="E51" s="163" t="n">
        <v>26</v>
      </c>
      <c r="F51" s="161" t="n">
        <v>59.9</v>
      </c>
      <c r="G51" s="27" t="n">
        <v>18</v>
      </c>
      <c r="H51" s="164" t="n">
        <v>39</v>
      </c>
      <c r="I51" s="165" t="n">
        <v>17500</v>
      </c>
      <c r="J51" s="165" t="inlineStr">
        <is>
          <t>19</t>
        </is>
      </c>
      <c r="K51" s="165" t="n">
        <v>15000</v>
      </c>
      <c r="L51" s="165" t="inlineStr">
        <is>
          <t>19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85D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1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2" t="n"/>
      <c r="P52" s="162" t="n"/>
      <c r="Q52" s="163" t="n"/>
      <c r="R52" s="163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0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삼익</t>
        </is>
      </c>
      <c r="B53" s="16" t="inlineStr">
        <is>
          <t>'91.02.</t>
        </is>
      </c>
      <c r="C53" s="164" t="n">
        <v>744</v>
      </c>
      <c r="D53" s="161" t="n">
        <v>104.5</v>
      </c>
      <c r="E53" s="163" t="n">
        <v>32</v>
      </c>
      <c r="F53" s="161" t="n">
        <v>85</v>
      </c>
      <c r="G53" s="27" t="n">
        <v>26</v>
      </c>
      <c r="H53" s="164" t="n">
        <v>685</v>
      </c>
      <c r="I53" s="165" t="n">
        <v>17000</v>
      </c>
      <c r="J53" s="165" t="inlineStr">
        <is>
          <t>5</t>
        </is>
      </c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104B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삼익</t>
        </is>
      </c>
      <c r="B54" s="16" t="inlineStr">
        <is>
          <t>'91.02.</t>
        </is>
      </c>
      <c r="C54" s="164" t="n">
        <v>744</v>
      </c>
      <c r="D54" s="161" t="n">
        <v>104.4</v>
      </c>
      <c r="E54" s="163" t="n">
        <v>32</v>
      </c>
      <c r="F54" s="161" t="n">
        <v>84.90000000000001</v>
      </c>
      <c r="G54" s="27" t="n">
        <v>26</v>
      </c>
      <c r="H54" s="164" t="n">
        <v>3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104A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삼익</t>
        </is>
      </c>
      <c r="B55" s="16" t="inlineStr">
        <is>
          <t>'91.02.</t>
        </is>
      </c>
      <c r="C55" s="164" t="n">
        <v>744</v>
      </c>
      <c r="D55" s="161" t="n">
        <v>151.7</v>
      </c>
      <c r="E55" s="163" t="n">
        <v>46</v>
      </c>
      <c r="F55" s="161" t="n">
        <v>128.2</v>
      </c>
      <c r="G55" s="27" t="n">
        <v>39</v>
      </c>
      <c r="H55" s="164" t="n">
        <v>56</v>
      </c>
      <c r="I55" s="165" t="n">
        <v>24000</v>
      </c>
      <c r="J55" s="165" t="inlineStr">
        <is>
          <t>14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4</v>
      </c>
      <c r="R55" s="113" t="n">
        <v>2</v>
      </c>
      <c r="S55" s="113" t="inlineStr">
        <is>
          <t>계</t>
        </is>
      </c>
      <c r="T55" s="8" t="n">
        <v>151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1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2" t="n"/>
      <c r="P56" s="162" t="n"/>
      <c r="Q56" s="163" t="n"/>
      <c r="R56" s="163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0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한진신세대</t>
        </is>
      </c>
      <c r="B57" s="16" t="inlineStr">
        <is>
          <t>'96.02.</t>
        </is>
      </c>
      <c r="C57" s="164" t="n">
        <v>336</v>
      </c>
      <c r="D57" s="161" t="n">
        <v>42.8</v>
      </c>
      <c r="E57" s="163" t="n">
        <v>13</v>
      </c>
      <c r="F57" s="161" t="n">
        <v>32</v>
      </c>
      <c r="G57" s="27" t="n">
        <v>10</v>
      </c>
      <c r="H57" s="164" t="n">
        <v>336</v>
      </c>
      <c r="I57" s="165" t="n">
        <v>5000</v>
      </c>
      <c r="J57" s="165" t="inlineStr">
        <is>
          <t>14</t>
        </is>
      </c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1</v>
      </c>
      <c r="R57" s="113" t="n">
        <v>1</v>
      </c>
      <c r="S57" s="113" t="inlineStr">
        <is>
          <t>복</t>
        </is>
      </c>
      <c r="T57" s="8" t="n">
        <v>42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</sheetData>
  <mergeCells count="1">
    <mergeCell ref="AJ1:AN1"/>
  </mergeCells>
  <conditionalFormatting sqref="AV4:AV6">
    <cfRule type="expression" priority="835" dxfId="17">
      <formula>AV4="X"</formula>
    </cfRule>
    <cfRule type="expression" priority="836" dxfId="16">
      <formula>AV4="후보"</formula>
    </cfRule>
  </conditionalFormatting>
  <conditionalFormatting sqref="AC1:AC2 AC4:AC6 N4:N5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N1:N2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6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6">
    <cfRule type="expression" priority="824" dxfId="3">
      <formula>AND(IF(OR($Q6=1,$Q6=2),1,0),IF($X6&lt;=20,1,0))</formula>
    </cfRule>
    <cfRule type="expression" priority="825" dxfId="2">
      <formula>AND(IF($Q6=2,1,0),IF($X6&lt;30,1,0))</formula>
    </cfRule>
    <cfRule type="expression" priority="826" dxfId="1">
      <formula>AND(IF($Q6=3,1,0),IF($X6&lt;30,1,0))</formula>
    </cfRule>
    <cfRule type="expression" priority="827" dxfId="0">
      <formula>AND(IF($Q6=3,1,IF($Q6=4,1,0)),IF($F6&lt;=85,1,0))</formula>
    </cfRule>
  </conditionalFormatting>
  <conditionalFormatting sqref="X6">
    <cfRule type="expression" priority="820" dxfId="3">
      <formula>AND(IF(OR($Q6=1,$Q6=2),1,0),IF($X6&lt;=20,1,0))</formula>
    </cfRule>
    <cfRule type="expression" priority="821" dxfId="2">
      <formula>AND(IF($Q6=2,1,0),IF($X6&lt;30,1,0))</formula>
    </cfRule>
    <cfRule type="expression" priority="822" dxfId="1">
      <formula>AND(IF($Q6=3,1,0),IF($X6&lt;30,1,0))</formula>
    </cfRule>
    <cfRule type="expression" priority="823" dxfId="0">
      <formula>AND(IF($Q6=3,1,IF($Q6=4,1,0)),IF($F6&lt;=85,1,0))</formula>
    </cfRule>
  </conditionalFormatting>
  <conditionalFormatting sqref="AI6">
    <cfRule type="expression" priority="816" dxfId="3">
      <formula>AND(IF(OR($Q6=1,$Q6=2),1,0),IF($X6&lt;=20,1,0))</formula>
    </cfRule>
    <cfRule type="expression" priority="817" dxfId="2">
      <formula>AND(IF($Q6=2,1,0),IF($X6&lt;30,1,0))</formula>
    </cfRule>
    <cfRule type="expression" priority="818" dxfId="1">
      <formula>AND(IF($Q6=3,1,0),IF($X6&lt;30,1,0))</formula>
    </cfRule>
    <cfRule type="expression" priority="819" dxfId="0">
      <formula>AND(IF($Q6=3,1,IF($Q6=4,1,0)),IF($F6&lt;=85,1,0))</formula>
    </cfRule>
  </conditionalFormatting>
  <conditionalFormatting sqref="AV7">
    <cfRule type="expression" priority="814" dxfId="17">
      <formula>AV7="X"</formula>
    </cfRule>
    <cfRule type="expression" priority="815" dxfId="16">
      <formula>AV7="후보"</formula>
    </cfRule>
  </conditionalFormatting>
  <conditionalFormatting sqref="AC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7">
    <cfRule type="expression" priority="805" dxfId="3">
      <formula>AND(IF(OR($Q7=1,$Q7=2),1,0),IF($X7&lt;=20,1,0))</formula>
    </cfRule>
    <cfRule type="expression" priority="806" dxfId="2">
      <formula>AND(IF($Q7=2,1,0),IF($X7&lt;30,1,0))</formula>
    </cfRule>
    <cfRule type="expression" priority="807" dxfId="1">
      <formula>AND(IF($Q7=3,1,0),IF($X7&lt;30,1,0))</formula>
    </cfRule>
    <cfRule type="expression" priority="808" dxfId="0">
      <formula>AND(IF($Q7=3,1,IF($Q7=4,1,0)),IF($F7&lt;=85,1,0))</formula>
    </cfRule>
  </conditionalFormatting>
  <conditionalFormatting sqref="X7">
    <cfRule type="expression" priority="801" dxfId="3">
      <formula>AND(IF(OR($Q7=1,$Q7=2),1,0),IF($X7&lt;=20,1,0))</formula>
    </cfRule>
    <cfRule type="expression" priority="802" dxfId="2">
      <formula>AND(IF($Q7=2,1,0),IF($X7&lt;30,1,0))</formula>
    </cfRule>
    <cfRule type="expression" priority="803" dxfId="1">
      <formula>AND(IF($Q7=3,1,0),IF($X7&lt;30,1,0))</formula>
    </cfRule>
    <cfRule type="expression" priority="804" dxfId="0">
      <formula>AND(IF($Q7=3,1,IF($Q7=4,1,0)),IF($F7&lt;=85,1,0))</formula>
    </cfRule>
  </conditionalFormatting>
  <conditionalFormatting sqref="AI7">
    <cfRule type="expression" priority="797" dxfId="3">
      <formula>AND(IF(OR($Q7=1,$Q7=2),1,0),IF($X7&lt;=20,1,0))</formula>
    </cfRule>
    <cfRule type="expression" priority="798" dxfId="2">
      <formula>AND(IF($Q7=2,1,0),IF($X7&lt;30,1,0))</formula>
    </cfRule>
    <cfRule type="expression" priority="799" dxfId="1">
      <formula>AND(IF($Q7=3,1,0),IF($X7&lt;30,1,0))</formula>
    </cfRule>
    <cfRule type="expression" priority="800" dxfId="0">
      <formula>AND(IF($Q7=3,1,IF($Q7=4,1,0)),IF($F7&lt;=85,1,0))</formula>
    </cfRule>
  </conditionalFormatting>
  <conditionalFormatting sqref="AV8">
    <cfRule type="expression" priority="795" dxfId="17">
      <formula>AV8="X"</formula>
    </cfRule>
    <cfRule type="expression" priority="796" dxfId="16">
      <formula>AV8="후보"</formula>
    </cfRule>
  </conditionalFormatting>
  <conditionalFormatting sqref="AC8 N8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AV9">
    <cfRule type="expression" priority="790" dxfId="17">
      <formula>AV9="X"</formula>
    </cfRule>
    <cfRule type="expression" priority="791" dxfId="16">
      <formula>AV9="후보"</formula>
    </cfRule>
  </conditionalFormatting>
  <conditionalFormatting sqref="AC9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9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9">
    <cfRule type="expression" priority="781" dxfId="3">
      <formula>AND(IF(OR($Q9=1,$Q9=2),1,0),IF($X9&lt;=20,1,0))</formula>
    </cfRule>
    <cfRule type="expression" priority="782" dxfId="2">
      <formula>AND(IF($Q9=2,1,0),IF($X9&lt;30,1,0))</formula>
    </cfRule>
    <cfRule type="expression" priority="783" dxfId="1">
      <formula>AND(IF($Q9=3,1,0),IF($X9&lt;30,1,0))</formula>
    </cfRule>
    <cfRule type="expression" priority="784" dxfId="0">
      <formula>AND(IF($Q9=3,1,IF($Q9=4,1,0)),IF($F9&lt;=85,1,0))</formula>
    </cfRule>
  </conditionalFormatting>
  <conditionalFormatting sqref="X9">
    <cfRule type="expression" priority="777" dxfId="3">
      <formula>AND(IF(OR($Q9=1,$Q9=2),1,0),IF($X9&lt;=20,1,0))</formula>
    </cfRule>
    <cfRule type="expression" priority="778" dxfId="2">
      <formula>AND(IF($Q9=2,1,0),IF($X9&lt;30,1,0))</formula>
    </cfRule>
    <cfRule type="expression" priority="779" dxfId="1">
      <formula>AND(IF($Q9=3,1,0),IF($X9&lt;30,1,0))</formula>
    </cfRule>
    <cfRule type="expression" priority="780" dxfId="0">
      <formula>AND(IF($Q9=3,1,IF($Q9=4,1,0)),IF($F9&lt;=85,1,0))</formula>
    </cfRule>
  </conditionalFormatting>
  <conditionalFormatting sqref="AI9">
    <cfRule type="expression" priority="773" dxfId="3">
      <formula>AND(IF(OR($Q9=1,$Q9=2),1,0),IF($X9&lt;=20,1,0))</formula>
    </cfRule>
    <cfRule type="expression" priority="774" dxfId="2">
      <formula>AND(IF($Q9=2,1,0),IF($X9&lt;30,1,0))</formula>
    </cfRule>
    <cfRule type="expression" priority="775" dxfId="1">
      <formula>AND(IF($Q9=3,1,0),IF($X9&lt;30,1,0))</formula>
    </cfRule>
    <cfRule type="expression" priority="776" dxfId="0">
      <formula>AND(IF($Q9=3,1,IF($Q9=4,1,0)),IF($F9&lt;=85,1,0))</formula>
    </cfRule>
  </conditionalFormatting>
  <conditionalFormatting sqref="AV10">
    <cfRule type="expression" priority="771" dxfId="17">
      <formula>AV10="X"</formula>
    </cfRule>
    <cfRule type="expression" priority="772" dxfId="16">
      <formula>AV10="후보"</formula>
    </cfRule>
  </conditionalFormatting>
  <conditionalFormatting sqref="AC10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10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10">
    <cfRule type="expression" priority="762" dxfId="3">
      <formula>AND(IF(OR($Q10=1,$Q10=2),1,0),IF($X10&lt;=20,1,0))</formula>
    </cfRule>
    <cfRule type="expression" priority="763" dxfId="2">
      <formula>AND(IF($Q10=2,1,0),IF($X10&lt;30,1,0))</formula>
    </cfRule>
    <cfRule type="expression" priority="764" dxfId="1">
      <formula>AND(IF($Q10=3,1,0),IF($X10&lt;30,1,0))</formula>
    </cfRule>
    <cfRule type="expression" priority="765" dxfId="0">
      <formula>AND(IF($Q10=3,1,IF($Q10=4,1,0)),IF($F10&lt;=85,1,0))</formula>
    </cfRule>
  </conditionalFormatting>
  <conditionalFormatting sqref="X10">
    <cfRule type="expression" priority="758" dxfId="3">
      <formula>AND(IF(OR($Q10=1,$Q10=2),1,0),IF($X10&lt;=20,1,0))</formula>
    </cfRule>
    <cfRule type="expression" priority="759" dxfId="2">
      <formula>AND(IF($Q10=2,1,0),IF($X10&lt;30,1,0))</formula>
    </cfRule>
    <cfRule type="expression" priority="760" dxfId="1">
      <formula>AND(IF($Q10=3,1,0),IF($X10&lt;30,1,0))</formula>
    </cfRule>
    <cfRule type="expression" priority="761" dxfId="0">
      <formula>AND(IF($Q10=3,1,IF($Q10=4,1,0)),IF($F10&lt;=85,1,0))</formula>
    </cfRule>
  </conditionalFormatting>
  <conditionalFormatting sqref="AI10">
    <cfRule type="expression" priority="754" dxfId="3">
      <formula>AND(IF(OR($Q10=1,$Q10=2),1,0),IF($X10&lt;=20,1,0))</formula>
    </cfRule>
    <cfRule type="expression" priority="755" dxfId="2">
      <formula>AND(IF($Q10=2,1,0),IF($X10&lt;30,1,0))</formula>
    </cfRule>
    <cfRule type="expression" priority="756" dxfId="1">
      <formula>AND(IF($Q10=3,1,0),IF($X10&lt;30,1,0))</formula>
    </cfRule>
    <cfRule type="expression" priority="757" dxfId="0">
      <formula>AND(IF($Q10=3,1,IF($Q10=4,1,0)),IF($F10&lt;=85,1,0))</formula>
    </cfRule>
  </conditionalFormatting>
  <conditionalFormatting sqref="AV11">
    <cfRule type="expression" priority="752" dxfId="17">
      <formula>AV11="X"</formula>
    </cfRule>
    <cfRule type="expression" priority="753" dxfId="16">
      <formula>AV11="후보"</formula>
    </cfRule>
  </conditionalFormatting>
  <conditionalFormatting sqref="AC11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11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11">
    <cfRule type="expression" priority="743" dxfId="3">
      <formula>AND(IF(OR($Q11=1,$Q11=2),1,0),IF($X11&lt;=20,1,0))</formula>
    </cfRule>
    <cfRule type="expression" priority="744" dxfId="2">
      <formula>AND(IF($Q11=2,1,0),IF($X11&lt;30,1,0))</formula>
    </cfRule>
    <cfRule type="expression" priority="745" dxfId="1">
      <formula>AND(IF($Q11=3,1,0),IF($X11&lt;30,1,0))</formula>
    </cfRule>
    <cfRule type="expression" priority="746" dxfId="0">
      <formula>AND(IF($Q11=3,1,IF($Q11=4,1,0)),IF($F11&lt;=85,1,0))</formula>
    </cfRule>
  </conditionalFormatting>
  <conditionalFormatting sqref="X11">
    <cfRule type="expression" priority="739" dxfId="3">
      <formula>AND(IF(OR($Q11=1,$Q11=2),1,0),IF($X11&lt;=20,1,0))</formula>
    </cfRule>
    <cfRule type="expression" priority="740" dxfId="2">
      <formula>AND(IF($Q11=2,1,0),IF($X11&lt;30,1,0))</formula>
    </cfRule>
    <cfRule type="expression" priority="741" dxfId="1">
      <formula>AND(IF($Q11=3,1,0),IF($X11&lt;30,1,0))</formula>
    </cfRule>
    <cfRule type="expression" priority="742" dxfId="0">
      <formula>AND(IF($Q11=3,1,IF($Q11=4,1,0)),IF($F11&lt;=85,1,0))</formula>
    </cfRule>
  </conditionalFormatting>
  <conditionalFormatting sqref="AI11">
    <cfRule type="expression" priority="735" dxfId="3">
      <formula>AND(IF(OR($Q11=1,$Q11=2),1,0),IF($X11&lt;=20,1,0))</formula>
    </cfRule>
    <cfRule type="expression" priority="736" dxfId="2">
      <formula>AND(IF($Q11=2,1,0),IF($X11&lt;30,1,0))</formula>
    </cfRule>
    <cfRule type="expression" priority="737" dxfId="1">
      <formula>AND(IF($Q11=3,1,0),IF($X11&lt;30,1,0))</formula>
    </cfRule>
    <cfRule type="expression" priority="738" dxfId="0">
      <formula>AND(IF($Q11=3,1,IF($Q11=4,1,0)),IF($F11&lt;=85,1,0))</formula>
    </cfRule>
  </conditionalFormatting>
  <conditionalFormatting sqref="AV12">
    <cfRule type="expression" priority="733" dxfId="17">
      <formula>AV12="X"</formula>
    </cfRule>
    <cfRule type="expression" priority="734" dxfId="16">
      <formula>AV12="후보"</formula>
    </cfRule>
  </conditionalFormatting>
  <conditionalFormatting sqref="AC12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12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12">
    <cfRule type="expression" priority="724" dxfId="3">
      <formula>AND(IF(OR($Q12=1,$Q12=2),1,0),IF($X12&lt;=20,1,0))</formula>
    </cfRule>
    <cfRule type="expression" priority="725" dxfId="2">
      <formula>AND(IF($Q12=2,1,0),IF($X12&lt;30,1,0))</formula>
    </cfRule>
    <cfRule type="expression" priority="726" dxfId="1">
      <formula>AND(IF($Q12=3,1,0),IF($X12&lt;30,1,0))</formula>
    </cfRule>
    <cfRule type="expression" priority="727" dxfId="0">
      <formula>AND(IF($Q12=3,1,IF($Q12=4,1,0)),IF($F12&lt;=85,1,0))</formula>
    </cfRule>
  </conditionalFormatting>
  <conditionalFormatting sqref="X12">
    <cfRule type="expression" priority="720" dxfId="3">
      <formula>AND(IF(OR($Q12=1,$Q12=2),1,0),IF($X12&lt;=20,1,0))</formula>
    </cfRule>
    <cfRule type="expression" priority="721" dxfId="2">
      <formula>AND(IF($Q12=2,1,0),IF($X12&lt;30,1,0))</formula>
    </cfRule>
    <cfRule type="expression" priority="722" dxfId="1">
      <formula>AND(IF($Q12=3,1,0),IF($X12&lt;30,1,0))</formula>
    </cfRule>
    <cfRule type="expression" priority="723" dxfId="0">
      <formula>AND(IF($Q12=3,1,IF($Q12=4,1,0)),IF($F12&lt;=85,1,0))</formula>
    </cfRule>
  </conditionalFormatting>
  <conditionalFormatting sqref="AI12">
    <cfRule type="expression" priority="716" dxfId="3">
      <formula>AND(IF(OR($Q12=1,$Q12=2),1,0),IF($X12&lt;=20,1,0))</formula>
    </cfRule>
    <cfRule type="expression" priority="717" dxfId="2">
      <formula>AND(IF($Q12=2,1,0),IF($X12&lt;30,1,0))</formula>
    </cfRule>
    <cfRule type="expression" priority="718" dxfId="1">
      <formula>AND(IF($Q12=3,1,0),IF($X12&lt;30,1,0))</formula>
    </cfRule>
    <cfRule type="expression" priority="719" dxfId="0">
      <formula>AND(IF($Q12=3,1,IF($Q12=4,1,0)),IF($F12&lt;=85,1,0))</formula>
    </cfRule>
  </conditionalFormatting>
  <conditionalFormatting sqref="AV13">
    <cfRule type="expression" priority="714" dxfId="17">
      <formula>AV13="X"</formula>
    </cfRule>
    <cfRule type="expression" priority="715" dxfId="16">
      <formula>AV13="후보"</formula>
    </cfRule>
  </conditionalFormatting>
  <conditionalFormatting sqref="AC13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13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13">
    <cfRule type="expression" priority="705" dxfId="3">
      <formula>AND(IF(OR($Q13=1,$Q13=2),1,0),IF($X13&lt;=20,1,0))</formula>
    </cfRule>
    <cfRule type="expression" priority="706" dxfId="2">
      <formula>AND(IF($Q13=2,1,0),IF($X13&lt;30,1,0))</formula>
    </cfRule>
    <cfRule type="expression" priority="707" dxfId="1">
      <formula>AND(IF($Q13=3,1,0),IF($X13&lt;30,1,0))</formula>
    </cfRule>
    <cfRule type="expression" priority="708" dxfId="0">
      <formula>AND(IF($Q13=3,1,IF($Q13=4,1,0)),IF($F13&lt;=85,1,0))</formula>
    </cfRule>
  </conditionalFormatting>
  <conditionalFormatting sqref="X13">
    <cfRule type="expression" priority="701" dxfId="3">
      <formula>AND(IF(OR($Q13=1,$Q13=2),1,0),IF($X13&lt;=20,1,0))</formula>
    </cfRule>
    <cfRule type="expression" priority="702" dxfId="2">
      <formula>AND(IF($Q13=2,1,0),IF($X13&lt;30,1,0))</formula>
    </cfRule>
    <cfRule type="expression" priority="703" dxfId="1">
      <formula>AND(IF($Q13=3,1,0),IF($X13&lt;30,1,0))</formula>
    </cfRule>
    <cfRule type="expression" priority="704" dxfId="0">
      <formula>AND(IF($Q13=3,1,IF($Q13=4,1,0)),IF($F13&lt;=85,1,0))</formula>
    </cfRule>
  </conditionalFormatting>
  <conditionalFormatting sqref="AI13">
    <cfRule type="expression" priority="697" dxfId="3">
      <formula>AND(IF(OR($Q13=1,$Q13=2),1,0),IF($X13&lt;=20,1,0))</formula>
    </cfRule>
    <cfRule type="expression" priority="698" dxfId="2">
      <formula>AND(IF($Q13=2,1,0),IF($X13&lt;30,1,0))</formula>
    </cfRule>
    <cfRule type="expression" priority="699" dxfId="1">
      <formula>AND(IF($Q13=3,1,0),IF($X13&lt;30,1,0))</formula>
    </cfRule>
    <cfRule type="expression" priority="700" dxfId="0">
      <formula>AND(IF($Q13=3,1,IF($Q13=4,1,0)),IF($F13&lt;=85,1,0))</formula>
    </cfRule>
  </conditionalFormatting>
  <conditionalFormatting sqref="AV14">
    <cfRule type="expression" priority="695" dxfId="17">
      <formula>AV14="X"</formula>
    </cfRule>
    <cfRule type="expression" priority="696" dxfId="16">
      <formula>AV14="후보"</formula>
    </cfRule>
  </conditionalFormatting>
  <conditionalFormatting sqref="AC14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14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14">
    <cfRule type="expression" priority="686" dxfId="3">
      <formula>AND(IF(OR($Q14=1,$Q14=2),1,0),IF($X14&lt;=20,1,0))</formula>
    </cfRule>
    <cfRule type="expression" priority="687" dxfId="2">
      <formula>AND(IF($Q14=2,1,0),IF($X14&lt;30,1,0))</formula>
    </cfRule>
    <cfRule type="expression" priority="688" dxfId="1">
      <formula>AND(IF($Q14=3,1,0),IF($X14&lt;30,1,0))</formula>
    </cfRule>
    <cfRule type="expression" priority="689" dxfId="0">
      <formula>AND(IF($Q14=3,1,IF($Q14=4,1,0)),IF($F14&lt;=85,1,0))</formula>
    </cfRule>
  </conditionalFormatting>
  <conditionalFormatting sqref="X14">
    <cfRule type="expression" priority="682" dxfId="3">
      <formula>AND(IF(OR($Q14=1,$Q14=2),1,0),IF($X14&lt;=20,1,0))</formula>
    </cfRule>
    <cfRule type="expression" priority="683" dxfId="2">
      <formula>AND(IF($Q14=2,1,0),IF($X14&lt;30,1,0))</formula>
    </cfRule>
    <cfRule type="expression" priority="684" dxfId="1">
      <formula>AND(IF($Q14=3,1,0),IF($X14&lt;30,1,0))</formula>
    </cfRule>
    <cfRule type="expression" priority="685" dxfId="0">
      <formula>AND(IF($Q14=3,1,IF($Q14=4,1,0)),IF($F14&lt;=85,1,0))</formula>
    </cfRule>
  </conditionalFormatting>
  <conditionalFormatting sqref="AI14">
    <cfRule type="expression" priority="678" dxfId="3">
      <formula>AND(IF(OR($Q14=1,$Q14=2),1,0),IF($X14&lt;=20,1,0))</formula>
    </cfRule>
    <cfRule type="expression" priority="679" dxfId="2">
      <formula>AND(IF($Q14=2,1,0),IF($X14&lt;30,1,0))</formula>
    </cfRule>
    <cfRule type="expression" priority="680" dxfId="1">
      <formula>AND(IF($Q14=3,1,0),IF($X14&lt;30,1,0))</formula>
    </cfRule>
    <cfRule type="expression" priority="681" dxfId="0">
      <formula>AND(IF($Q14=3,1,IF($Q14=4,1,0)),IF($F14&lt;=85,1,0))</formula>
    </cfRule>
  </conditionalFormatting>
  <conditionalFormatting sqref="AV15">
    <cfRule type="expression" priority="676" dxfId="17">
      <formula>AV15="X"</formula>
    </cfRule>
    <cfRule type="expression" priority="677" dxfId="16">
      <formula>AV15="후보"</formula>
    </cfRule>
  </conditionalFormatting>
  <conditionalFormatting sqref="AC15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15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15">
    <cfRule type="expression" priority="667" dxfId="3">
      <formula>AND(IF(OR($Q15=1,$Q15=2),1,0),IF($X15&lt;=20,1,0))</formula>
    </cfRule>
    <cfRule type="expression" priority="668" dxfId="2">
      <formula>AND(IF($Q15=2,1,0),IF($X15&lt;30,1,0))</formula>
    </cfRule>
    <cfRule type="expression" priority="669" dxfId="1">
      <formula>AND(IF($Q15=3,1,0),IF($X15&lt;30,1,0))</formula>
    </cfRule>
    <cfRule type="expression" priority="670" dxfId="0">
      <formula>AND(IF($Q15=3,1,IF($Q15=4,1,0)),IF($F15&lt;=85,1,0))</formula>
    </cfRule>
  </conditionalFormatting>
  <conditionalFormatting sqref="X15">
    <cfRule type="expression" priority="663" dxfId="3">
      <formula>AND(IF(OR($Q15=1,$Q15=2),1,0),IF($X15&lt;=20,1,0))</formula>
    </cfRule>
    <cfRule type="expression" priority="664" dxfId="2">
      <formula>AND(IF($Q15=2,1,0),IF($X15&lt;30,1,0))</formula>
    </cfRule>
    <cfRule type="expression" priority="665" dxfId="1">
      <formula>AND(IF($Q15=3,1,0),IF($X15&lt;30,1,0))</formula>
    </cfRule>
    <cfRule type="expression" priority="666" dxfId="0">
      <formula>AND(IF($Q15=3,1,IF($Q15=4,1,0)),IF($F15&lt;=85,1,0))</formula>
    </cfRule>
  </conditionalFormatting>
  <conditionalFormatting sqref="AI15">
    <cfRule type="expression" priority="659" dxfId="3">
      <formula>AND(IF(OR($Q15=1,$Q15=2),1,0),IF($X15&lt;=20,1,0))</formula>
    </cfRule>
    <cfRule type="expression" priority="660" dxfId="2">
      <formula>AND(IF($Q15=2,1,0),IF($X15&lt;30,1,0))</formula>
    </cfRule>
    <cfRule type="expression" priority="661" dxfId="1">
      <formula>AND(IF($Q15=3,1,0),IF($X15&lt;30,1,0))</formula>
    </cfRule>
    <cfRule type="expression" priority="662" dxfId="0">
      <formula>AND(IF($Q15=3,1,IF($Q15=4,1,0)),IF($F15&lt;=85,1,0))</formula>
    </cfRule>
  </conditionalFormatting>
  <conditionalFormatting sqref="AV16">
    <cfRule type="expression" priority="657" dxfId="17">
      <formula>AV16="X"</formula>
    </cfRule>
    <cfRule type="expression" priority="658" dxfId="16">
      <formula>AV16="후보"</formula>
    </cfRule>
  </conditionalFormatting>
  <conditionalFormatting sqref="AC16 N16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AV17">
    <cfRule type="expression" priority="652" dxfId="17">
      <formula>AV17="X"</formula>
    </cfRule>
    <cfRule type="expression" priority="653" dxfId="16">
      <formula>AV17="후보"</formula>
    </cfRule>
  </conditionalFormatting>
  <conditionalFormatting sqref="AC17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17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17">
    <cfRule type="expression" priority="643" dxfId="3">
      <formula>AND(IF(OR($Q17=1,$Q17=2),1,0),IF($X17&lt;=20,1,0))</formula>
    </cfRule>
    <cfRule type="expression" priority="644" dxfId="2">
      <formula>AND(IF($Q17=2,1,0),IF($X17&lt;30,1,0))</formula>
    </cfRule>
    <cfRule type="expression" priority="645" dxfId="1">
      <formula>AND(IF($Q17=3,1,0),IF($X17&lt;30,1,0))</formula>
    </cfRule>
    <cfRule type="expression" priority="646" dxfId="0">
      <formula>AND(IF($Q17=3,1,IF($Q17=4,1,0)),IF($F17&lt;=85,1,0))</formula>
    </cfRule>
  </conditionalFormatting>
  <conditionalFormatting sqref="X17">
    <cfRule type="expression" priority="639" dxfId="3">
      <formula>AND(IF(OR($Q17=1,$Q17=2),1,0),IF($X17&lt;=20,1,0))</formula>
    </cfRule>
    <cfRule type="expression" priority="640" dxfId="2">
      <formula>AND(IF($Q17=2,1,0),IF($X17&lt;30,1,0))</formula>
    </cfRule>
    <cfRule type="expression" priority="641" dxfId="1">
      <formula>AND(IF($Q17=3,1,0),IF($X17&lt;30,1,0))</formula>
    </cfRule>
    <cfRule type="expression" priority="642" dxfId="0">
      <formula>AND(IF($Q17=3,1,IF($Q17=4,1,0)),IF($F17&lt;=85,1,0))</formula>
    </cfRule>
  </conditionalFormatting>
  <conditionalFormatting sqref="AI17">
    <cfRule type="expression" priority="635" dxfId="3">
      <formula>AND(IF(OR($Q17=1,$Q17=2),1,0),IF($X17&lt;=20,1,0))</formula>
    </cfRule>
    <cfRule type="expression" priority="636" dxfId="2">
      <formula>AND(IF($Q17=2,1,0),IF($X17&lt;30,1,0))</formula>
    </cfRule>
    <cfRule type="expression" priority="637" dxfId="1">
      <formula>AND(IF($Q17=3,1,0),IF($X17&lt;30,1,0))</formula>
    </cfRule>
    <cfRule type="expression" priority="638" dxfId="0">
      <formula>AND(IF($Q17=3,1,IF($Q17=4,1,0)),IF($F17&lt;=85,1,0))</formula>
    </cfRule>
  </conditionalFormatting>
  <conditionalFormatting sqref="AV18">
    <cfRule type="expression" priority="633" dxfId="17">
      <formula>AV18="X"</formula>
    </cfRule>
    <cfRule type="expression" priority="634" dxfId="16">
      <formula>AV18="후보"</formula>
    </cfRule>
  </conditionalFormatting>
  <conditionalFormatting sqref="AC18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18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18">
    <cfRule type="expression" priority="624" dxfId="3">
      <formula>AND(IF(OR($Q18=1,$Q18=2),1,0),IF($X18&lt;=20,1,0))</formula>
    </cfRule>
    <cfRule type="expression" priority="625" dxfId="2">
      <formula>AND(IF($Q18=2,1,0),IF($X18&lt;30,1,0))</formula>
    </cfRule>
    <cfRule type="expression" priority="626" dxfId="1">
      <formula>AND(IF($Q18=3,1,0),IF($X18&lt;30,1,0))</formula>
    </cfRule>
    <cfRule type="expression" priority="627" dxfId="0">
      <formula>AND(IF($Q18=3,1,IF($Q18=4,1,0)),IF($F18&lt;=85,1,0))</formula>
    </cfRule>
  </conditionalFormatting>
  <conditionalFormatting sqref="X18">
    <cfRule type="expression" priority="620" dxfId="3">
      <formula>AND(IF(OR($Q18=1,$Q18=2),1,0),IF($X18&lt;=20,1,0))</formula>
    </cfRule>
    <cfRule type="expression" priority="621" dxfId="2">
      <formula>AND(IF($Q18=2,1,0),IF($X18&lt;30,1,0))</formula>
    </cfRule>
    <cfRule type="expression" priority="622" dxfId="1">
      <formula>AND(IF($Q18=3,1,0),IF($X18&lt;30,1,0))</formula>
    </cfRule>
    <cfRule type="expression" priority="623" dxfId="0">
      <formula>AND(IF($Q18=3,1,IF($Q18=4,1,0)),IF($F18&lt;=85,1,0))</formula>
    </cfRule>
  </conditionalFormatting>
  <conditionalFormatting sqref="AI18">
    <cfRule type="expression" priority="616" dxfId="3">
      <formula>AND(IF(OR($Q18=1,$Q18=2),1,0),IF($X18&lt;=20,1,0))</formula>
    </cfRule>
    <cfRule type="expression" priority="617" dxfId="2">
      <formula>AND(IF($Q18=2,1,0),IF($X18&lt;30,1,0))</formula>
    </cfRule>
    <cfRule type="expression" priority="618" dxfId="1">
      <formula>AND(IF($Q18=3,1,0),IF($X18&lt;30,1,0))</formula>
    </cfRule>
    <cfRule type="expression" priority="619" dxfId="0">
      <formula>AND(IF($Q18=3,1,IF($Q18=4,1,0)),IF($F18&lt;=85,1,0))</formula>
    </cfRule>
  </conditionalFormatting>
  <conditionalFormatting sqref="AV19">
    <cfRule type="expression" priority="614" dxfId="17">
      <formula>AV19="X"</formula>
    </cfRule>
    <cfRule type="expression" priority="615" dxfId="16">
      <formula>AV19="후보"</formula>
    </cfRule>
  </conditionalFormatting>
  <conditionalFormatting sqref="AC19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19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19">
    <cfRule type="expression" priority="605" dxfId="3">
      <formula>AND(IF(OR($Q19=1,$Q19=2),1,0),IF($X19&lt;=20,1,0))</formula>
    </cfRule>
    <cfRule type="expression" priority="606" dxfId="2">
      <formula>AND(IF($Q19=2,1,0),IF($X19&lt;30,1,0))</formula>
    </cfRule>
    <cfRule type="expression" priority="607" dxfId="1">
      <formula>AND(IF($Q19=3,1,0),IF($X19&lt;30,1,0))</formula>
    </cfRule>
    <cfRule type="expression" priority="608" dxfId="0">
      <formula>AND(IF($Q19=3,1,IF($Q19=4,1,0)),IF($F19&lt;=85,1,0))</formula>
    </cfRule>
  </conditionalFormatting>
  <conditionalFormatting sqref="X19">
    <cfRule type="expression" priority="601" dxfId="3">
      <formula>AND(IF(OR($Q19=1,$Q19=2),1,0),IF($X19&lt;=20,1,0))</formula>
    </cfRule>
    <cfRule type="expression" priority="602" dxfId="2">
      <formula>AND(IF($Q19=2,1,0),IF($X19&lt;30,1,0))</formula>
    </cfRule>
    <cfRule type="expression" priority="603" dxfId="1">
      <formula>AND(IF($Q19=3,1,0),IF($X19&lt;30,1,0))</formula>
    </cfRule>
    <cfRule type="expression" priority="604" dxfId="0">
      <formula>AND(IF($Q19=3,1,IF($Q19=4,1,0)),IF($F19&lt;=85,1,0))</formula>
    </cfRule>
  </conditionalFormatting>
  <conditionalFormatting sqref="AI19">
    <cfRule type="expression" priority="597" dxfId="3">
      <formula>AND(IF(OR($Q19=1,$Q19=2),1,0),IF($X19&lt;=20,1,0))</formula>
    </cfRule>
    <cfRule type="expression" priority="598" dxfId="2">
      <formula>AND(IF($Q19=2,1,0),IF($X19&lt;30,1,0))</formula>
    </cfRule>
    <cfRule type="expression" priority="599" dxfId="1">
      <formula>AND(IF($Q19=3,1,0),IF($X19&lt;30,1,0))</formula>
    </cfRule>
    <cfRule type="expression" priority="600" dxfId="0">
      <formula>AND(IF($Q19=3,1,IF($Q19=4,1,0)),IF($F19&lt;=85,1,0))</formula>
    </cfRule>
  </conditionalFormatting>
  <conditionalFormatting sqref="AV20">
    <cfRule type="expression" priority="595" dxfId="17">
      <formula>AV20="X"</formula>
    </cfRule>
    <cfRule type="expression" priority="596" dxfId="16">
      <formula>AV20="후보"</formula>
    </cfRule>
  </conditionalFormatting>
  <conditionalFormatting sqref="AC20 N20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AV21">
    <cfRule type="expression" priority="590" dxfId="17">
      <formula>AV21="X"</formula>
    </cfRule>
    <cfRule type="expression" priority="591" dxfId="16">
      <formula>AV21="후보"</formula>
    </cfRule>
  </conditionalFormatting>
  <conditionalFormatting sqref="AC21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21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X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I21">
    <cfRule type="expression" priority="573" dxfId="3">
      <formula>AND(IF(OR($Q21=1,$Q21=2),1,0),IF($X21&lt;=20,1,0))</formula>
    </cfRule>
    <cfRule type="expression" priority="574" dxfId="2">
      <formula>AND(IF($Q21=2,1,0),IF($X21&lt;30,1,0))</formula>
    </cfRule>
    <cfRule type="expression" priority="575" dxfId="1">
      <formula>AND(IF($Q21=3,1,0),IF($X21&lt;30,1,0))</formula>
    </cfRule>
    <cfRule type="expression" priority="576" dxfId="0">
      <formula>AND(IF($Q21=3,1,IF($Q21=4,1,0)),IF($F21&lt;=85,1,0))</formula>
    </cfRule>
  </conditionalFormatting>
  <conditionalFormatting sqref="AV22">
    <cfRule type="expression" priority="571" dxfId="17">
      <formula>AV22="X"</formula>
    </cfRule>
    <cfRule type="expression" priority="572" dxfId="16">
      <formula>AV22="후보"</formula>
    </cfRule>
  </conditionalFormatting>
  <conditionalFormatting sqref="AC22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22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X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I22">
    <cfRule type="expression" priority="554" dxfId="3">
      <formula>AND(IF(OR($Q22=1,$Q22=2),1,0),IF($X22&lt;=20,1,0))</formula>
    </cfRule>
    <cfRule type="expression" priority="555" dxfId="2">
      <formula>AND(IF($Q22=2,1,0),IF($X22&lt;30,1,0))</formula>
    </cfRule>
    <cfRule type="expression" priority="556" dxfId="1">
      <formula>AND(IF($Q22=3,1,0),IF($X22&lt;30,1,0))</formula>
    </cfRule>
    <cfRule type="expression" priority="557" dxfId="0">
      <formula>AND(IF($Q22=3,1,IF($Q22=4,1,0)),IF($F22&lt;=85,1,0))</formula>
    </cfRule>
  </conditionalFormatting>
  <conditionalFormatting sqref="AV23">
    <cfRule type="expression" priority="552" dxfId="17">
      <formula>AV23="X"</formula>
    </cfRule>
    <cfRule type="expression" priority="553" dxfId="16">
      <formula>AV23="후보"</formula>
    </cfRule>
  </conditionalFormatting>
  <conditionalFormatting sqref="AC23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23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23">
    <cfRule type="expression" priority="543" dxfId="3">
      <formula>AND(IF(OR($Q23=1,$Q23=2),1,0),IF($X23&lt;=20,1,0))</formula>
    </cfRule>
    <cfRule type="expression" priority="544" dxfId="2">
      <formula>AND(IF($Q23=2,1,0),IF($X23&lt;30,1,0))</formula>
    </cfRule>
    <cfRule type="expression" priority="545" dxfId="1">
      <formula>AND(IF($Q23=3,1,0),IF($X23&lt;30,1,0))</formula>
    </cfRule>
    <cfRule type="expression" priority="546" dxfId="0">
      <formula>AND(IF($Q23=3,1,IF($Q23=4,1,0)),IF($F23&lt;=85,1,0))</formula>
    </cfRule>
  </conditionalFormatting>
  <conditionalFormatting sqref="X23">
    <cfRule type="expression" priority="539" dxfId="3">
      <formula>AND(IF(OR($Q23=1,$Q23=2),1,0),IF($X23&lt;=20,1,0))</formula>
    </cfRule>
    <cfRule type="expression" priority="540" dxfId="2">
      <formula>AND(IF($Q23=2,1,0),IF($X23&lt;30,1,0))</formula>
    </cfRule>
    <cfRule type="expression" priority="541" dxfId="1">
      <formula>AND(IF($Q23=3,1,0),IF($X23&lt;30,1,0))</formula>
    </cfRule>
    <cfRule type="expression" priority="542" dxfId="0">
      <formula>AND(IF($Q23=3,1,IF($Q23=4,1,0)),IF($F23&lt;=85,1,0))</formula>
    </cfRule>
  </conditionalFormatting>
  <conditionalFormatting sqref="AI23">
    <cfRule type="expression" priority="535" dxfId="3">
      <formula>AND(IF(OR($Q23=1,$Q23=2),1,0),IF($X23&lt;=20,1,0))</formula>
    </cfRule>
    <cfRule type="expression" priority="536" dxfId="2">
      <formula>AND(IF($Q23=2,1,0),IF($X23&lt;30,1,0))</formula>
    </cfRule>
    <cfRule type="expression" priority="537" dxfId="1">
      <formula>AND(IF($Q23=3,1,0),IF($X23&lt;30,1,0))</formula>
    </cfRule>
    <cfRule type="expression" priority="538" dxfId="0">
      <formula>AND(IF($Q23=3,1,IF($Q23=4,1,0)),IF($F23&lt;=85,1,0))</formula>
    </cfRule>
  </conditionalFormatting>
  <conditionalFormatting sqref="AV24">
    <cfRule type="expression" priority="533" dxfId="17">
      <formula>AV24="X"</formula>
    </cfRule>
    <cfRule type="expression" priority="534" dxfId="16">
      <formula>AV24="후보"</formula>
    </cfRule>
  </conditionalFormatting>
  <conditionalFormatting sqref="AC24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24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24">
    <cfRule type="expression" priority="524" dxfId="3">
      <formula>AND(IF(OR($Q24=1,$Q24=2),1,0),IF($X24&lt;=20,1,0))</formula>
    </cfRule>
    <cfRule type="expression" priority="525" dxfId="2">
      <formula>AND(IF($Q24=2,1,0),IF($X24&lt;30,1,0))</formula>
    </cfRule>
    <cfRule type="expression" priority="526" dxfId="1">
      <formula>AND(IF($Q24=3,1,0),IF($X24&lt;30,1,0))</formula>
    </cfRule>
    <cfRule type="expression" priority="527" dxfId="0">
      <formula>AND(IF($Q24=3,1,IF($Q24=4,1,0)),IF($F24&lt;=85,1,0))</formula>
    </cfRule>
  </conditionalFormatting>
  <conditionalFormatting sqref="X24">
    <cfRule type="expression" priority="520" dxfId="3">
      <formula>AND(IF(OR($Q24=1,$Q24=2),1,0),IF($X24&lt;=20,1,0))</formula>
    </cfRule>
    <cfRule type="expression" priority="521" dxfId="2">
      <formula>AND(IF($Q24=2,1,0),IF($X24&lt;30,1,0))</formula>
    </cfRule>
    <cfRule type="expression" priority="522" dxfId="1">
      <formula>AND(IF($Q24=3,1,0),IF($X24&lt;30,1,0))</formula>
    </cfRule>
    <cfRule type="expression" priority="523" dxfId="0">
      <formula>AND(IF($Q24=3,1,IF($Q24=4,1,0)),IF($F24&lt;=85,1,0))</formula>
    </cfRule>
  </conditionalFormatting>
  <conditionalFormatting sqref="AI24">
    <cfRule type="expression" priority="516" dxfId="3">
      <formula>AND(IF(OR($Q24=1,$Q24=2),1,0),IF($X24&lt;=20,1,0))</formula>
    </cfRule>
    <cfRule type="expression" priority="517" dxfId="2">
      <formula>AND(IF($Q24=2,1,0),IF($X24&lt;30,1,0))</formula>
    </cfRule>
    <cfRule type="expression" priority="518" dxfId="1">
      <formula>AND(IF($Q24=3,1,0),IF($X24&lt;30,1,0))</formula>
    </cfRule>
    <cfRule type="expression" priority="519" dxfId="0">
      <formula>AND(IF($Q24=3,1,IF($Q24=4,1,0)),IF($F24&lt;=85,1,0))</formula>
    </cfRule>
  </conditionalFormatting>
  <conditionalFormatting sqref="AV25">
    <cfRule type="expression" priority="514" dxfId="17">
      <formula>AV25="X"</formula>
    </cfRule>
    <cfRule type="expression" priority="515" dxfId="16">
      <formula>AV25="후보"</formula>
    </cfRule>
  </conditionalFormatting>
  <conditionalFormatting sqref="AC25 N25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26">
    <cfRule type="expression" priority="509" dxfId="17">
      <formula>AV26="X"</formula>
    </cfRule>
    <cfRule type="expression" priority="510" dxfId="16">
      <formula>AV26="후보"</formula>
    </cfRule>
  </conditionalFormatting>
  <conditionalFormatting sqref="AC26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26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26">
    <cfRule type="expression" priority="500" dxfId="3">
      <formula>AND(IF(OR($Q26=1,$Q26=2),1,0),IF($X26&lt;=20,1,0))</formula>
    </cfRule>
    <cfRule type="expression" priority="501" dxfId="2">
      <formula>AND(IF($Q26=2,1,0),IF($X26&lt;30,1,0))</formula>
    </cfRule>
    <cfRule type="expression" priority="502" dxfId="1">
      <formula>AND(IF($Q26=3,1,0),IF($X26&lt;30,1,0))</formula>
    </cfRule>
    <cfRule type="expression" priority="503" dxfId="0">
      <formula>AND(IF($Q26=3,1,IF($Q26=4,1,0)),IF($F26&lt;=85,1,0))</formula>
    </cfRule>
  </conditionalFormatting>
  <conditionalFormatting sqref="X26">
    <cfRule type="expression" priority="496" dxfId="3">
      <formula>AND(IF(OR($Q26=1,$Q26=2),1,0),IF($X26&lt;=20,1,0))</formula>
    </cfRule>
    <cfRule type="expression" priority="497" dxfId="2">
      <formula>AND(IF($Q26=2,1,0),IF($X26&lt;30,1,0))</formula>
    </cfRule>
    <cfRule type="expression" priority="498" dxfId="1">
      <formula>AND(IF($Q26=3,1,0),IF($X26&lt;30,1,0))</formula>
    </cfRule>
    <cfRule type="expression" priority="499" dxfId="0">
      <formula>AND(IF($Q26=3,1,IF($Q26=4,1,0)),IF($F26&lt;=85,1,0))</formula>
    </cfRule>
  </conditionalFormatting>
  <conditionalFormatting sqref="AI26">
    <cfRule type="expression" priority="492" dxfId="3">
      <formula>AND(IF(OR($Q26=1,$Q26=2),1,0),IF($X26&lt;=20,1,0))</formula>
    </cfRule>
    <cfRule type="expression" priority="493" dxfId="2">
      <formula>AND(IF($Q26=2,1,0),IF($X26&lt;30,1,0))</formula>
    </cfRule>
    <cfRule type="expression" priority="494" dxfId="1">
      <formula>AND(IF($Q26=3,1,0),IF($X26&lt;30,1,0))</formula>
    </cfRule>
    <cfRule type="expression" priority="495" dxfId="0">
      <formula>AND(IF($Q26=3,1,IF($Q26=4,1,0)),IF($F26&lt;=85,1,0))</formula>
    </cfRule>
  </conditionalFormatting>
  <conditionalFormatting sqref="AV27">
    <cfRule type="expression" priority="490" dxfId="17">
      <formula>AV27="X"</formula>
    </cfRule>
    <cfRule type="expression" priority="491" dxfId="16">
      <formula>AV27="후보"</formula>
    </cfRule>
  </conditionalFormatting>
  <conditionalFormatting sqref="AC27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27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27">
    <cfRule type="expression" priority="481" dxfId="3">
      <formula>AND(IF(OR($Q27=1,$Q27=2),1,0),IF($X27&lt;=20,1,0))</formula>
    </cfRule>
    <cfRule type="expression" priority="482" dxfId="2">
      <formula>AND(IF($Q27=2,1,0),IF($X27&lt;30,1,0))</formula>
    </cfRule>
    <cfRule type="expression" priority="483" dxfId="1">
      <formula>AND(IF($Q27=3,1,0),IF($X27&lt;30,1,0))</formula>
    </cfRule>
    <cfRule type="expression" priority="484" dxfId="0">
      <formula>AND(IF($Q27=3,1,IF($Q27=4,1,0)),IF($F27&lt;=85,1,0))</formula>
    </cfRule>
  </conditionalFormatting>
  <conditionalFormatting sqref="X27">
    <cfRule type="expression" priority="477" dxfId="3">
      <formula>AND(IF(OR($Q27=1,$Q27=2),1,0),IF($X27&lt;=20,1,0))</formula>
    </cfRule>
    <cfRule type="expression" priority="478" dxfId="2">
      <formula>AND(IF($Q27=2,1,0),IF($X27&lt;30,1,0))</formula>
    </cfRule>
    <cfRule type="expression" priority="479" dxfId="1">
      <formula>AND(IF($Q27=3,1,0),IF($X27&lt;30,1,0))</formula>
    </cfRule>
    <cfRule type="expression" priority="480" dxfId="0">
      <formula>AND(IF($Q27=3,1,IF($Q27=4,1,0)),IF($F27&lt;=85,1,0))</formula>
    </cfRule>
  </conditionalFormatting>
  <conditionalFormatting sqref="AI27">
    <cfRule type="expression" priority="473" dxfId="3">
      <formula>AND(IF(OR($Q27=1,$Q27=2),1,0),IF($X27&lt;=20,1,0))</formula>
    </cfRule>
    <cfRule type="expression" priority="474" dxfId="2">
      <formula>AND(IF($Q27=2,1,0),IF($X27&lt;30,1,0))</formula>
    </cfRule>
    <cfRule type="expression" priority="475" dxfId="1">
      <formula>AND(IF($Q27=3,1,0),IF($X27&lt;30,1,0))</formula>
    </cfRule>
    <cfRule type="expression" priority="476" dxfId="0">
      <formula>AND(IF($Q27=3,1,IF($Q27=4,1,0)),IF($F27&lt;=85,1,0))</formula>
    </cfRule>
  </conditionalFormatting>
  <conditionalFormatting sqref="AV28">
    <cfRule type="expression" priority="471" dxfId="17">
      <formula>AV28="X"</formula>
    </cfRule>
    <cfRule type="expression" priority="472" dxfId="16">
      <formula>AV28="후보"</formula>
    </cfRule>
  </conditionalFormatting>
  <conditionalFormatting sqref="AC28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28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28">
    <cfRule type="expression" priority="462" dxfId="3">
      <formula>AND(IF(OR($Q28=1,$Q28=2),1,0),IF($X28&lt;=20,1,0))</formula>
    </cfRule>
    <cfRule type="expression" priority="463" dxfId="2">
      <formula>AND(IF($Q28=2,1,0),IF($X28&lt;30,1,0))</formula>
    </cfRule>
    <cfRule type="expression" priority="464" dxfId="1">
      <formula>AND(IF($Q28=3,1,0),IF($X28&lt;30,1,0))</formula>
    </cfRule>
    <cfRule type="expression" priority="465" dxfId="0">
      <formula>AND(IF($Q28=3,1,IF($Q28=4,1,0)),IF($F28&lt;=85,1,0))</formula>
    </cfRule>
  </conditionalFormatting>
  <conditionalFormatting sqref="X28">
    <cfRule type="expression" priority="458" dxfId="3">
      <formula>AND(IF(OR($Q28=1,$Q28=2),1,0),IF($X28&lt;=20,1,0))</formula>
    </cfRule>
    <cfRule type="expression" priority="459" dxfId="2">
      <formula>AND(IF($Q28=2,1,0),IF($X28&lt;30,1,0))</formula>
    </cfRule>
    <cfRule type="expression" priority="460" dxfId="1">
      <formula>AND(IF($Q28=3,1,0),IF($X28&lt;30,1,0))</formula>
    </cfRule>
    <cfRule type="expression" priority="461" dxfId="0">
      <formula>AND(IF($Q28=3,1,IF($Q28=4,1,0)),IF($F28&lt;=85,1,0))</formula>
    </cfRule>
  </conditionalFormatting>
  <conditionalFormatting sqref="AI28">
    <cfRule type="expression" priority="454" dxfId="3">
      <formula>AND(IF(OR($Q28=1,$Q28=2),1,0),IF($X28&lt;=20,1,0))</formula>
    </cfRule>
    <cfRule type="expression" priority="455" dxfId="2">
      <formula>AND(IF($Q28=2,1,0),IF($X28&lt;30,1,0))</formula>
    </cfRule>
    <cfRule type="expression" priority="456" dxfId="1">
      <formula>AND(IF($Q28=3,1,0),IF($X28&lt;30,1,0))</formula>
    </cfRule>
    <cfRule type="expression" priority="457" dxfId="0">
      <formula>AND(IF($Q28=3,1,IF($Q28=4,1,0)),IF($F28&lt;=85,1,0))</formula>
    </cfRule>
  </conditionalFormatting>
  <conditionalFormatting sqref="AV29">
    <cfRule type="expression" priority="452" dxfId="17">
      <formula>AV29="X"</formula>
    </cfRule>
    <cfRule type="expression" priority="453" dxfId="16">
      <formula>AV29="후보"</formula>
    </cfRule>
  </conditionalFormatting>
  <conditionalFormatting sqref="AC29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29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29">
    <cfRule type="expression" priority="443" dxfId="3">
      <formula>AND(IF(OR($Q29=1,$Q29=2),1,0),IF($X29&lt;=20,1,0))</formula>
    </cfRule>
    <cfRule type="expression" priority="444" dxfId="2">
      <formula>AND(IF($Q29=2,1,0),IF($X29&lt;30,1,0))</formula>
    </cfRule>
    <cfRule type="expression" priority="445" dxfId="1">
      <formula>AND(IF($Q29=3,1,0),IF($X29&lt;30,1,0))</formula>
    </cfRule>
    <cfRule type="expression" priority="446" dxfId="0">
      <formula>AND(IF($Q29=3,1,IF($Q29=4,1,0)),IF($F29&lt;=85,1,0))</formula>
    </cfRule>
  </conditionalFormatting>
  <conditionalFormatting sqref="X29">
    <cfRule type="expression" priority="439" dxfId="3">
      <formula>AND(IF(OR($Q29=1,$Q29=2),1,0),IF($X29&lt;=20,1,0))</formula>
    </cfRule>
    <cfRule type="expression" priority="440" dxfId="2">
      <formula>AND(IF($Q29=2,1,0),IF($X29&lt;30,1,0))</formula>
    </cfRule>
    <cfRule type="expression" priority="441" dxfId="1">
      <formula>AND(IF($Q29=3,1,0),IF($X29&lt;30,1,0))</formula>
    </cfRule>
    <cfRule type="expression" priority="442" dxfId="0">
      <formula>AND(IF($Q29=3,1,IF($Q29=4,1,0)),IF($F29&lt;=85,1,0))</formula>
    </cfRule>
  </conditionalFormatting>
  <conditionalFormatting sqref="AI29">
    <cfRule type="expression" priority="435" dxfId="3">
      <formula>AND(IF(OR($Q29=1,$Q29=2),1,0),IF($X29&lt;=20,1,0))</formula>
    </cfRule>
    <cfRule type="expression" priority="436" dxfId="2">
      <formula>AND(IF($Q29=2,1,0),IF($X29&lt;30,1,0))</formula>
    </cfRule>
    <cfRule type="expression" priority="437" dxfId="1">
      <formula>AND(IF($Q29=3,1,0),IF($X29&lt;30,1,0))</formula>
    </cfRule>
    <cfRule type="expression" priority="438" dxfId="0">
      <formula>AND(IF($Q29=3,1,IF($Q29=4,1,0)),IF($F29&lt;=85,1,0))</formula>
    </cfRule>
  </conditionalFormatting>
  <conditionalFormatting sqref="AV30">
    <cfRule type="expression" priority="433" dxfId="17">
      <formula>AV30="X"</formula>
    </cfRule>
    <cfRule type="expression" priority="434" dxfId="16">
      <formula>AV30="후보"</formula>
    </cfRule>
  </conditionalFormatting>
  <conditionalFormatting sqref="AC30 N30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AV31">
    <cfRule type="expression" priority="428" dxfId="17">
      <formula>AV31="X"</formula>
    </cfRule>
    <cfRule type="expression" priority="429" dxfId="16">
      <formula>AV31="후보"</formula>
    </cfRule>
  </conditionalFormatting>
  <conditionalFormatting sqref="AC31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31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31">
    <cfRule type="expression" priority="419" dxfId="3">
      <formula>AND(IF(OR($Q31=1,$Q31=2),1,0),IF($X31&lt;=20,1,0))</formula>
    </cfRule>
    <cfRule type="expression" priority="420" dxfId="2">
      <formula>AND(IF($Q31=2,1,0),IF($X31&lt;30,1,0))</formula>
    </cfRule>
    <cfRule type="expression" priority="421" dxfId="1">
      <formula>AND(IF($Q31=3,1,0),IF($X31&lt;30,1,0))</formula>
    </cfRule>
    <cfRule type="expression" priority="422" dxfId="0">
      <formula>AND(IF($Q31=3,1,IF($Q31=4,1,0)),IF($F31&lt;=85,1,0))</formula>
    </cfRule>
  </conditionalFormatting>
  <conditionalFormatting sqref="X31">
    <cfRule type="expression" priority="415" dxfId="3">
      <formula>AND(IF(OR($Q31=1,$Q31=2),1,0),IF($X31&lt;=20,1,0))</formula>
    </cfRule>
    <cfRule type="expression" priority="416" dxfId="2">
      <formula>AND(IF($Q31=2,1,0),IF($X31&lt;30,1,0))</formula>
    </cfRule>
    <cfRule type="expression" priority="417" dxfId="1">
      <formula>AND(IF($Q31=3,1,0),IF($X31&lt;30,1,0))</formula>
    </cfRule>
    <cfRule type="expression" priority="418" dxfId="0">
      <formula>AND(IF($Q31=3,1,IF($Q31=4,1,0)),IF($F31&lt;=85,1,0))</formula>
    </cfRule>
  </conditionalFormatting>
  <conditionalFormatting sqref="AI31">
    <cfRule type="expression" priority="411" dxfId="3">
      <formula>AND(IF(OR($Q31=1,$Q31=2),1,0),IF($X31&lt;=20,1,0))</formula>
    </cfRule>
    <cfRule type="expression" priority="412" dxfId="2">
      <formula>AND(IF($Q31=2,1,0),IF($X31&lt;30,1,0))</formula>
    </cfRule>
    <cfRule type="expression" priority="413" dxfId="1">
      <formula>AND(IF($Q31=3,1,0),IF($X31&lt;30,1,0))</formula>
    </cfRule>
    <cfRule type="expression" priority="414" dxfId="0">
      <formula>AND(IF($Q31=3,1,IF($Q31=4,1,0)),IF($F31&lt;=85,1,0))</formula>
    </cfRule>
  </conditionalFormatting>
  <conditionalFormatting sqref="AV32">
    <cfRule type="expression" priority="409" dxfId="17">
      <formula>AV32="X"</formula>
    </cfRule>
    <cfRule type="expression" priority="410" dxfId="16">
      <formula>AV32="후보"</formula>
    </cfRule>
  </conditionalFormatting>
  <conditionalFormatting sqref="AC32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32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32">
    <cfRule type="expression" priority="400" dxfId="3">
      <formula>AND(IF(OR($Q32=1,$Q32=2),1,0),IF($X32&lt;=20,1,0))</formula>
    </cfRule>
    <cfRule type="expression" priority="401" dxfId="2">
      <formula>AND(IF($Q32=2,1,0),IF($X32&lt;30,1,0))</formula>
    </cfRule>
    <cfRule type="expression" priority="402" dxfId="1">
      <formula>AND(IF($Q32=3,1,0),IF($X32&lt;30,1,0))</formula>
    </cfRule>
    <cfRule type="expression" priority="403" dxfId="0">
      <formula>AND(IF($Q32=3,1,IF($Q32=4,1,0)),IF($F32&lt;=85,1,0))</formula>
    </cfRule>
  </conditionalFormatting>
  <conditionalFormatting sqref="X32">
    <cfRule type="expression" priority="396" dxfId="3">
      <formula>AND(IF(OR($Q32=1,$Q32=2),1,0),IF($X32&lt;=20,1,0))</formula>
    </cfRule>
    <cfRule type="expression" priority="397" dxfId="2">
      <formula>AND(IF($Q32=2,1,0),IF($X32&lt;30,1,0))</formula>
    </cfRule>
    <cfRule type="expression" priority="398" dxfId="1">
      <formula>AND(IF($Q32=3,1,0),IF($X32&lt;30,1,0))</formula>
    </cfRule>
    <cfRule type="expression" priority="399" dxfId="0">
      <formula>AND(IF($Q32=3,1,IF($Q32=4,1,0)),IF($F32&lt;=85,1,0))</formula>
    </cfRule>
  </conditionalFormatting>
  <conditionalFormatting sqref="AI32">
    <cfRule type="expression" priority="392" dxfId="3">
      <formula>AND(IF(OR($Q32=1,$Q32=2),1,0),IF($X32&lt;=20,1,0))</formula>
    </cfRule>
    <cfRule type="expression" priority="393" dxfId="2">
      <formula>AND(IF($Q32=2,1,0),IF($X32&lt;30,1,0))</formula>
    </cfRule>
    <cfRule type="expression" priority="394" dxfId="1">
      <formula>AND(IF($Q32=3,1,0),IF($X32&lt;30,1,0))</formula>
    </cfRule>
    <cfRule type="expression" priority="395" dxfId="0">
      <formula>AND(IF($Q32=3,1,IF($Q32=4,1,0)),IF($F32&lt;=85,1,0))</formula>
    </cfRule>
  </conditionalFormatting>
  <conditionalFormatting sqref="AV33">
    <cfRule type="expression" priority="390" dxfId="17">
      <formula>AV33="X"</formula>
    </cfRule>
    <cfRule type="expression" priority="391" dxfId="16">
      <formula>AV33="후보"</formula>
    </cfRule>
  </conditionalFormatting>
  <conditionalFormatting sqref="AC33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33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33">
    <cfRule type="expression" priority="381" dxfId="3">
      <formula>AND(IF(OR($Q33=1,$Q33=2),1,0),IF($X33&lt;=20,1,0))</formula>
    </cfRule>
    <cfRule type="expression" priority="382" dxfId="2">
      <formula>AND(IF($Q33=2,1,0),IF($X33&lt;30,1,0))</formula>
    </cfRule>
    <cfRule type="expression" priority="383" dxfId="1">
      <formula>AND(IF($Q33=3,1,0),IF($X33&lt;30,1,0))</formula>
    </cfRule>
    <cfRule type="expression" priority="384" dxfId="0">
      <formula>AND(IF($Q33=3,1,IF($Q33=4,1,0)),IF($F33&lt;=85,1,0))</formula>
    </cfRule>
  </conditionalFormatting>
  <conditionalFormatting sqref="X33">
    <cfRule type="expression" priority="377" dxfId="3">
      <formula>AND(IF(OR($Q33=1,$Q33=2),1,0),IF($X33&lt;=20,1,0))</formula>
    </cfRule>
    <cfRule type="expression" priority="378" dxfId="2">
      <formula>AND(IF($Q33=2,1,0),IF($X33&lt;30,1,0))</formula>
    </cfRule>
    <cfRule type="expression" priority="379" dxfId="1">
      <formula>AND(IF($Q33=3,1,0),IF($X33&lt;30,1,0))</formula>
    </cfRule>
    <cfRule type="expression" priority="380" dxfId="0">
      <formula>AND(IF($Q33=3,1,IF($Q33=4,1,0)),IF($F33&lt;=85,1,0))</formula>
    </cfRule>
  </conditionalFormatting>
  <conditionalFormatting sqref="AI33">
    <cfRule type="expression" priority="373" dxfId="3">
      <formula>AND(IF(OR($Q33=1,$Q33=2),1,0),IF($X33&lt;=20,1,0))</formula>
    </cfRule>
    <cfRule type="expression" priority="374" dxfId="2">
      <formula>AND(IF($Q33=2,1,0),IF($X33&lt;30,1,0))</formula>
    </cfRule>
    <cfRule type="expression" priority="375" dxfId="1">
      <formula>AND(IF($Q33=3,1,0),IF($X33&lt;30,1,0))</formula>
    </cfRule>
    <cfRule type="expression" priority="376" dxfId="0">
      <formula>AND(IF($Q33=3,1,IF($Q33=4,1,0)),IF($F33&lt;=85,1,0))</formula>
    </cfRule>
  </conditionalFormatting>
  <conditionalFormatting sqref="AV34">
    <cfRule type="expression" priority="371" dxfId="17">
      <formula>AV34="X"</formula>
    </cfRule>
    <cfRule type="expression" priority="372" dxfId="16">
      <formula>AV34="후보"</formula>
    </cfRule>
  </conditionalFormatting>
  <conditionalFormatting sqref="AC34 N34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AV35">
    <cfRule type="expression" priority="366" dxfId="17">
      <formula>AV35="X"</formula>
    </cfRule>
    <cfRule type="expression" priority="367" dxfId="16">
      <formula>AV35="후보"</formula>
    </cfRule>
  </conditionalFormatting>
  <conditionalFormatting sqref="AC35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35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35">
    <cfRule type="expression" priority="357" dxfId="3">
      <formula>AND(IF(OR($Q35=1,$Q35=2),1,0),IF($X35&lt;=20,1,0))</formula>
    </cfRule>
    <cfRule type="expression" priority="358" dxfId="2">
      <formula>AND(IF($Q35=2,1,0),IF($X35&lt;30,1,0))</formula>
    </cfRule>
    <cfRule type="expression" priority="359" dxfId="1">
      <formula>AND(IF($Q35=3,1,0),IF($X35&lt;30,1,0))</formula>
    </cfRule>
    <cfRule type="expression" priority="360" dxfId="0">
      <formula>AND(IF($Q35=3,1,IF($Q35=4,1,0)),IF($F35&lt;=85,1,0))</formula>
    </cfRule>
  </conditionalFormatting>
  <conditionalFormatting sqref="X35">
    <cfRule type="expression" priority="353" dxfId="3">
      <formula>AND(IF(OR($Q35=1,$Q35=2),1,0),IF($X35&lt;=20,1,0))</formula>
    </cfRule>
    <cfRule type="expression" priority="354" dxfId="2">
      <formula>AND(IF($Q35=2,1,0),IF($X35&lt;30,1,0))</formula>
    </cfRule>
    <cfRule type="expression" priority="355" dxfId="1">
      <formula>AND(IF($Q35=3,1,0),IF($X35&lt;30,1,0))</formula>
    </cfRule>
    <cfRule type="expression" priority="356" dxfId="0">
      <formula>AND(IF($Q35=3,1,IF($Q35=4,1,0)),IF($F35&lt;=85,1,0))</formula>
    </cfRule>
  </conditionalFormatting>
  <conditionalFormatting sqref="AI35">
    <cfRule type="expression" priority="349" dxfId="3">
      <formula>AND(IF(OR($Q35=1,$Q35=2),1,0),IF($X35&lt;=20,1,0))</formula>
    </cfRule>
    <cfRule type="expression" priority="350" dxfId="2">
      <formula>AND(IF($Q35=2,1,0),IF($X35&lt;30,1,0))</formula>
    </cfRule>
    <cfRule type="expression" priority="351" dxfId="1">
      <formula>AND(IF($Q35=3,1,0),IF($X35&lt;30,1,0))</formula>
    </cfRule>
    <cfRule type="expression" priority="352" dxfId="0">
      <formula>AND(IF($Q35=3,1,IF($Q35=4,1,0)),IF($F35&lt;=85,1,0))</formula>
    </cfRule>
  </conditionalFormatting>
  <conditionalFormatting sqref="AV36">
    <cfRule type="expression" priority="347" dxfId="17">
      <formula>AV36="X"</formula>
    </cfRule>
    <cfRule type="expression" priority="348" dxfId="16">
      <formula>AV36="후보"</formula>
    </cfRule>
  </conditionalFormatting>
  <conditionalFormatting sqref="AC36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36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36">
    <cfRule type="expression" priority="338" dxfId="3">
      <formula>AND(IF(OR($Q36=1,$Q36=2),1,0),IF($X36&lt;=20,1,0))</formula>
    </cfRule>
    <cfRule type="expression" priority="339" dxfId="2">
      <formula>AND(IF($Q36=2,1,0),IF($X36&lt;30,1,0))</formula>
    </cfRule>
    <cfRule type="expression" priority="340" dxfId="1">
      <formula>AND(IF($Q36=3,1,0),IF($X36&lt;30,1,0))</formula>
    </cfRule>
    <cfRule type="expression" priority="341" dxfId="0">
      <formula>AND(IF($Q36=3,1,IF($Q36=4,1,0)),IF($F36&lt;=85,1,0))</formula>
    </cfRule>
  </conditionalFormatting>
  <conditionalFormatting sqref="X36">
    <cfRule type="expression" priority="334" dxfId="3">
      <formula>AND(IF(OR($Q36=1,$Q36=2),1,0),IF($X36&lt;=20,1,0))</formula>
    </cfRule>
    <cfRule type="expression" priority="335" dxfId="2">
      <formula>AND(IF($Q36=2,1,0),IF($X36&lt;30,1,0))</formula>
    </cfRule>
    <cfRule type="expression" priority="336" dxfId="1">
      <formula>AND(IF($Q36=3,1,0),IF($X36&lt;30,1,0))</formula>
    </cfRule>
    <cfRule type="expression" priority="337" dxfId="0">
      <formula>AND(IF($Q36=3,1,IF($Q36=4,1,0)),IF($F36&lt;=85,1,0))</formula>
    </cfRule>
  </conditionalFormatting>
  <conditionalFormatting sqref="AI36">
    <cfRule type="expression" priority="330" dxfId="3">
      <formula>AND(IF(OR($Q36=1,$Q36=2),1,0),IF($X36&lt;=20,1,0))</formula>
    </cfRule>
    <cfRule type="expression" priority="331" dxfId="2">
      <formula>AND(IF($Q36=2,1,0),IF($X36&lt;30,1,0))</formula>
    </cfRule>
    <cfRule type="expression" priority="332" dxfId="1">
      <formula>AND(IF($Q36=3,1,0),IF($X36&lt;30,1,0))</formula>
    </cfRule>
    <cfRule type="expression" priority="333" dxfId="0">
      <formula>AND(IF($Q36=3,1,IF($Q36=4,1,0)),IF($F36&lt;=85,1,0))</formula>
    </cfRule>
  </conditionalFormatting>
  <conditionalFormatting sqref="AV37">
    <cfRule type="expression" priority="328" dxfId="17">
      <formula>AV37="X"</formula>
    </cfRule>
    <cfRule type="expression" priority="329" dxfId="16">
      <formula>AV37="후보"</formula>
    </cfRule>
  </conditionalFormatting>
  <conditionalFormatting sqref="AC37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37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37">
    <cfRule type="expression" priority="319" dxfId="3">
      <formula>AND(IF(OR($Q37=1,$Q37=2),1,0),IF($X37&lt;=20,1,0))</formula>
    </cfRule>
    <cfRule type="expression" priority="320" dxfId="2">
      <formula>AND(IF($Q37=2,1,0),IF($X37&lt;30,1,0))</formula>
    </cfRule>
    <cfRule type="expression" priority="321" dxfId="1">
      <formula>AND(IF($Q37=3,1,0),IF($X37&lt;30,1,0))</formula>
    </cfRule>
    <cfRule type="expression" priority="322" dxfId="0">
      <formula>AND(IF($Q37=3,1,IF($Q37=4,1,0)),IF($F37&lt;=85,1,0))</formula>
    </cfRule>
  </conditionalFormatting>
  <conditionalFormatting sqref="X37">
    <cfRule type="expression" priority="315" dxfId="3">
      <formula>AND(IF(OR($Q37=1,$Q37=2),1,0),IF($X37&lt;=20,1,0))</formula>
    </cfRule>
    <cfRule type="expression" priority="316" dxfId="2">
      <formula>AND(IF($Q37=2,1,0),IF($X37&lt;30,1,0))</formula>
    </cfRule>
    <cfRule type="expression" priority="317" dxfId="1">
      <formula>AND(IF($Q37=3,1,0),IF($X37&lt;30,1,0))</formula>
    </cfRule>
    <cfRule type="expression" priority="318" dxfId="0">
      <formula>AND(IF($Q37=3,1,IF($Q37=4,1,0)),IF($F37&lt;=85,1,0))</formula>
    </cfRule>
  </conditionalFormatting>
  <conditionalFormatting sqref="AI37">
    <cfRule type="expression" priority="311" dxfId="3">
      <formula>AND(IF(OR($Q37=1,$Q37=2),1,0),IF($X37&lt;=20,1,0))</formula>
    </cfRule>
    <cfRule type="expression" priority="312" dxfId="2">
      <formula>AND(IF($Q37=2,1,0),IF($X37&lt;30,1,0))</formula>
    </cfRule>
    <cfRule type="expression" priority="313" dxfId="1">
      <formula>AND(IF($Q37=3,1,0),IF($X37&lt;30,1,0))</formula>
    </cfRule>
    <cfRule type="expression" priority="314" dxfId="0">
      <formula>AND(IF($Q37=3,1,IF($Q37=4,1,0)),IF($F37&lt;=85,1,0))</formula>
    </cfRule>
  </conditionalFormatting>
  <conditionalFormatting sqref="AV38">
    <cfRule type="expression" priority="309" dxfId="17">
      <formula>AV38="X"</formula>
    </cfRule>
    <cfRule type="expression" priority="310" dxfId="16">
      <formula>AV38="후보"</formula>
    </cfRule>
  </conditionalFormatting>
  <conditionalFormatting sqref="AC3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38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38">
    <cfRule type="expression" priority="300" dxfId="3">
      <formula>AND(IF(OR($Q38=1,$Q38=2),1,0),IF($X38&lt;=20,1,0))</formula>
    </cfRule>
    <cfRule type="expression" priority="301" dxfId="2">
      <formula>AND(IF($Q38=2,1,0),IF($X38&lt;30,1,0))</formula>
    </cfRule>
    <cfRule type="expression" priority="302" dxfId="1">
      <formula>AND(IF($Q38=3,1,0),IF($X38&lt;30,1,0))</formula>
    </cfRule>
    <cfRule type="expression" priority="303" dxfId="0">
      <formula>AND(IF($Q38=3,1,IF($Q38=4,1,0)),IF($F38&lt;=85,1,0))</formula>
    </cfRule>
  </conditionalFormatting>
  <conditionalFormatting sqref="X38">
    <cfRule type="expression" priority="296" dxfId="3">
      <formula>AND(IF(OR($Q38=1,$Q38=2),1,0),IF($X38&lt;=20,1,0))</formula>
    </cfRule>
    <cfRule type="expression" priority="297" dxfId="2">
      <formula>AND(IF($Q38=2,1,0),IF($X38&lt;30,1,0))</formula>
    </cfRule>
    <cfRule type="expression" priority="298" dxfId="1">
      <formula>AND(IF($Q38=3,1,0),IF($X38&lt;30,1,0))</formula>
    </cfRule>
    <cfRule type="expression" priority="299" dxfId="0">
      <formula>AND(IF($Q38=3,1,IF($Q38=4,1,0)),IF($F38&lt;=85,1,0))</formula>
    </cfRule>
  </conditionalFormatting>
  <conditionalFormatting sqref="AI38">
    <cfRule type="expression" priority="292" dxfId="3">
      <formula>AND(IF(OR($Q38=1,$Q38=2),1,0),IF($X38&lt;=20,1,0))</formula>
    </cfRule>
    <cfRule type="expression" priority="293" dxfId="2">
      <formula>AND(IF($Q38=2,1,0),IF($X38&lt;30,1,0))</formula>
    </cfRule>
    <cfRule type="expression" priority="294" dxfId="1">
      <formula>AND(IF($Q38=3,1,0),IF($X38&lt;30,1,0))</formula>
    </cfRule>
    <cfRule type="expression" priority="295" dxfId="0">
      <formula>AND(IF($Q38=3,1,IF($Q38=4,1,0)),IF($F38&lt;=85,1,0))</formula>
    </cfRule>
  </conditionalFormatting>
  <conditionalFormatting sqref="AV39">
    <cfRule type="expression" priority="290" dxfId="17">
      <formula>AV39="X"</formula>
    </cfRule>
    <cfRule type="expression" priority="291" dxfId="16">
      <formula>AV39="후보"</formula>
    </cfRule>
  </conditionalFormatting>
  <conditionalFormatting sqref="AC39 N39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40">
    <cfRule type="expression" priority="285" dxfId="17">
      <formula>AV40="X"</formula>
    </cfRule>
    <cfRule type="expression" priority="286" dxfId="16">
      <formula>AV40="후보"</formula>
    </cfRule>
  </conditionalFormatting>
  <conditionalFormatting sqref="AC40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40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40">
    <cfRule type="expression" priority="276" dxfId="3">
      <formula>AND(IF(OR($Q40=1,$Q40=2),1,0),IF($X40&lt;=20,1,0))</formula>
    </cfRule>
    <cfRule type="expression" priority="277" dxfId="2">
      <formula>AND(IF($Q40=2,1,0),IF($X40&lt;30,1,0))</formula>
    </cfRule>
    <cfRule type="expression" priority="278" dxfId="1">
      <formula>AND(IF($Q40=3,1,0),IF($X40&lt;30,1,0))</formula>
    </cfRule>
    <cfRule type="expression" priority="279" dxfId="0">
      <formula>AND(IF($Q40=3,1,IF($Q40=4,1,0)),IF($F40&lt;=85,1,0))</formula>
    </cfRule>
  </conditionalFormatting>
  <conditionalFormatting sqref="X40">
    <cfRule type="expression" priority="272" dxfId="3">
      <formula>AND(IF(OR($Q40=1,$Q40=2),1,0),IF($X40&lt;=20,1,0))</formula>
    </cfRule>
    <cfRule type="expression" priority="273" dxfId="2">
      <formula>AND(IF($Q40=2,1,0),IF($X40&lt;30,1,0))</formula>
    </cfRule>
    <cfRule type="expression" priority="274" dxfId="1">
      <formula>AND(IF($Q40=3,1,0),IF($X40&lt;30,1,0))</formula>
    </cfRule>
    <cfRule type="expression" priority="275" dxfId="0">
      <formula>AND(IF($Q40=3,1,IF($Q40=4,1,0)),IF($F40&lt;=85,1,0))</formula>
    </cfRule>
  </conditionalFormatting>
  <conditionalFormatting sqref="AI40">
    <cfRule type="expression" priority="268" dxfId="3">
      <formula>AND(IF(OR($Q40=1,$Q40=2),1,0),IF($X40&lt;=20,1,0))</formula>
    </cfRule>
    <cfRule type="expression" priority="269" dxfId="2">
      <formula>AND(IF($Q40=2,1,0),IF($X40&lt;30,1,0))</formula>
    </cfRule>
    <cfRule type="expression" priority="270" dxfId="1">
      <formula>AND(IF($Q40=3,1,0),IF($X40&lt;30,1,0))</formula>
    </cfRule>
    <cfRule type="expression" priority="271" dxfId="0">
      <formula>AND(IF($Q40=3,1,IF($Q40=4,1,0)),IF($F40&lt;=85,1,0))</formula>
    </cfRule>
  </conditionalFormatting>
  <conditionalFormatting sqref="AV41">
    <cfRule type="expression" priority="266" dxfId="17">
      <formula>AV41="X"</formula>
    </cfRule>
    <cfRule type="expression" priority="267" dxfId="16">
      <formula>AV41="후보"</formula>
    </cfRule>
  </conditionalFormatting>
  <conditionalFormatting sqref="AC41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41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41">
    <cfRule type="expression" priority="257" dxfId="3">
      <formula>AND(IF(OR($Q41=1,$Q41=2),1,0),IF($X41&lt;=20,1,0))</formula>
    </cfRule>
    <cfRule type="expression" priority="258" dxfId="2">
      <formula>AND(IF($Q41=2,1,0),IF($X41&lt;30,1,0))</formula>
    </cfRule>
    <cfRule type="expression" priority="259" dxfId="1">
      <formula>AND(IF($Q41=3,1,0),IF($X41&lt;30,1,0))</formula>
    </cfRule>
    <cfRule type="expression" priority="260" dxfId="0">
      <formula>AND(IF($Q41=3,1,IF($Q41=4,1,0)),IF($F41&lt;=85,1,0))</formula>
    </cfRule>
  </conditionalFormatting>
  <conditionalFormatting sqref="X41">
    <cfRule type="expression" priority="253" dxfId="3">
      <formula>AND(IF(OR($Q41=1,$Q41=2),1,0),IF($X41&lt;=20,1,0))</formula>
    </cfRule>
    <cfRule type="expression" priority="254" dxfId="2">
      <formula>AND(IF($Q41=2,1,0),IF($X41&lt;30,1,0))</formula>
    </cfRule>
    <cfRule type="expression" priority="255" dxfId="1">
      <formula>AND(IF($Q41=3,1,0),IF($X41&lt;30,1,0))</formula>
    </cfRule>
    <cfRule type="expression" priority="256" dxfId="0">
      <formula>AND(IF($Q41=3,1,IF($Q41=4,1,0)),IF($F41&lt;=85,1,0))</formula>
    </cfRule>
  </conditionalFormatting>
  <conditionalFormatting sqref="AI41">
    <cfRule type="expression" priority="249" dxfId="3">
      <formula>AND(IF(OR($Q41=1,$Q41=2),1,0),IF($X41&lt;=20,1,0))</formula>
    </cfRule>
    <cfRule type="expression" priority="250" dxfId="2">
      <formula>AND(IF($Q41=2,1,0),IF($X41&lt;30,1,0))</formula>
    </cfRule>
    <cfRule type="expression" priority="251" dxfId="1">
      <formula>AND(IF($Q41=3,1,0),IF($X41&lt;30,1,0))</formula>
    </cfRule>
    <cfRule type="expression" priority="252" dxfId="0">
      <formula>AND(IF($Q41=3,1,IF($Q41=4,1,0)),IF($F41&lt;=85,1,0))</formula>
    </cfRule>
  </conditionalFormatting>
  <conditionalFormatting sqref="AV42">
    <cfRule type="expression" priority="247" dxfId="17">
      <formula>AV42="X"</formula>
    </cfRule>
    <cfRule type="expression" priority="248" dxfId="16">
      <formula>AV42="후보"</formula>
    </cfRule>
  </conditionalFormatting>
  <conditionalFormatting sqref="AC42 N42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43">
    <cfRule type="expression" priority="242" dxfId="17">
      <formula>AV43="X"</formula>
    </cfRule>
    <cfRule type="expression" priority="243" dxfId="16">
      <formula>AV43="후보"</formula>
    </cfRule>
  </conditionalFormatting>
  <conditionalFormatting sqref="AC43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43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43">
    <cfRule type="expression" priority="233" dxfId="3">
      <formula>AND(IF(OR($Q43=1,$Q43=2),1,0),IF($X43&lt;=20,1,0))</formula>
    </cfRule>
    <cfRule type="expression" priority="234" dxfId="2">
      <formula>AND(IF($Q43=2,1,0),IF($X43&lt;30,1,0))</formula>
    </cfRule>
    <cfRule type="expression" priority="235" dxfId="1">
      <formula>AND(IF($Q43=3,1,0),IF($X43&lt;30,1,0))</formula>
    </cfRule>
    <cfRule type="expression" priority="236" dxfId="0">
      <formula>AND(IF($Q43=3,1,IF($Q43=4,1,0)),IF($F43&lt;=85,1,0))</formula>
    </cfRule>
  </conditionalFormatting>
  <conditionalFormatting sqref="X43">
    <cfRule type="expression" priority="229" dxfId="3">
      <formula>AND(IF(OR($Q43=1,$Q43=2),1,0),IF($X43&lt;=20,1,0))</formula>
    </cfRule>
    <cfRule type="expression" priority="230" dxfId="2">
      <formula>AND(IF($Q43=2,1,0),IF($X43&lt;30,1,0))</formula>
    </cfRule>
    <cfRule type="expression" priority="231" dxfId="1">
      <formula>AND(IF($Q43=3,1,0),IF($X43&lt;30,1,0))</formula>
    </cfRule>
    <cfRule type="expression" priority="232" dxfId="0">
      <formula>AND(IF($Q43=3,1,IF($Q43=4,1,0)),IF($F43&lt;=85,1,0))</formula>
    </cfRule>
  </conditionalFormatting>
  <conditionalFormatting sqref="AI43">
    <cfRule type="expression" priority="225" dxfId="3">
      <formula>AND(IF(OR($Q43=1,$Q43=2),1,0),IF($X43&lt;=20,1,0))</formula>
    </cfRule>
    <cfRule type="expression" priority="226" dxfId="2">
      <formula>AND(IF($Q43=2,1,0),IF($X43&lt;30,1,0))</formula>
    </cfRule>
    <cfRule type="expression" priority="227" dxfId="1">
      <formula>AND(IF($Q43=3,1,0),IF($X43&lt;30,1,0))</formula>
    </cfRule>
    <cfRule type="expression" priority="228" dxfId="0">
      <formula>AND(IF($Q43=3,1,IF($Q43=4,1,0)),IF($F43&lt;=85,1,0))</formula>
    </cfRule>
  </conditionalFormatting>
  <conditionalFormatting sqref="AV44">
    <cfRule type="expression" priority="223" dxfId="17">
      <formula>AV44="X"</formula>
    </cfRule>
    <cfRule type="expression" priority="224" dxfId="16">
      <formula>AV44="후보"</formula>
    </cfRule>
  </conditionalFormatting>
  <conditionalFormatting sqref="AC44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44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44">
    <cfRule type="expression" priority="214" dxfId="3">
      <formula>AND(IF(OR($Q44=1,$Q44=2),1,0),IF($X44&lt;=20,1,0))</formula>
    </cfRule>
    <cfRule type="expression" priority="215" dxfId="2">
      <formula>AND(IF($Q44=2,1,0),IF($X44&lt;30,1,0))</formula>
    </cfRule>
    <cfRule type="expression" priority="216" dxfId="1">
      <formula>AND(IF($Q44=3,1,0),IF($X44&lt;30,1,0))</formula>
    </cfRule>
    <cfRule type="expression" priority="217" dxfId="0">
      <formula>AND(IF($Q44=3,1,IF($Q44=4,1,0)),IF($F44&lt;=85,1,0))</formula>
    </cfRule>
  </conditionalFormatting>
  <conditionalFormatting sqref="X44">
    <cfRule type="expression" priority="210" dxfId="3">
      <formula>AND(IF(OR($Q44=1,$Q44=2),1,0),IF($X44&lt;=20,1,0))</formula>
    </cfRule>
    <cfRule type="expression" priority="211" dxfId="2">
      <formula>AND(IF($Q44=2,1,0),IF($X44&lt;30,1,0))</formula>
    </cfRule>
    <cfRule type="expression" priority="212" dxfId="1">
      <formula>AND(IF($Q44=3,1,0),IF($X44&lt;30,1,0))</formula>
    </cfRule>
    <cfRule type="expression" priority="213" dxfId="0">
      <formula>AND(IF($Q44=3,1,IF($Q44=4,1,0)),IF($F44&lt;=85,1,0))</formula>
    </cfRule>
  </conditionalFormatting>
  <conditionalFormatting sqref="AI44">
    <cfRule type="expression" priority="206" dxfId="3">
      <formula>AND(IF(OR($Q44=1,$Q44=2),1,0),IF($X44&lt;=20,1,0))</formula>
    </cfRule>
    <cfRule type="expression" priority="207" dxfId="2">
      <formula>AND(IF($Q44=2,1,0),IF($X44&lt;30,1,0))</formula>
    </cfRule>
    <cfRule type="expression" priority="208" dxfId="1">
      <formula>AND(IF($Q44=3,1,0),IF($X44&lt;30,1,0))</formula>
    </cfRule>
    <cfRule type="expression" priority="209" dxfId="0">
      <formula>AND(IF($Q44=3,1,IF($Q44=4,1,0)),IF($F44&lt;=85,1,0))</formula>
    </cfRule>
  </conditionalFormatting>
  <conditionalFormatting sqref="AV45">
    <cfRule type="expression" priority="204" dxfId="17">
      <formula>AV45="X"</formula>
    </cfRule>
    <cfRule type="expression" priority="205" dxfId="16">
      <formula>AV45="후보"</formula>
    </cfRule>
  </conditionalFormatting>
  <conditionalFormatting sqref="AC45 N4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46">
    <cfRule type="expression" priority="199" dxfId="17">
      <formula>AV46="X"</formula>
    </cfRule>
    <cfRule type="expression" priority="200" dxfId="16">
      <formula>AV46="후보"</formula>
    </cfRule>
  </conditionalFormatting>
  <conditionalFormatting sqref="AC4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4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46">
    <cfRule type="expression" priority="190" dxfId="3">
      <formula>AND(IF(OR($Q46=1,$Q46=2),1,0),IF($X46&lt;=20,1,0))</formula>
    </cfRule>
    <cfRule type="expression" priority="191" dxfId="2">
      <formula>AND(IF($Q46=2,1,0),IF($X46&lt;30,1,0))</formula>
    </cfRule>
    <cfRule type="expression" priority="192" dxfId="1">
      <formula>AND(IF($Q46=3,1,0),IF($X46&lt;30,1,0))</formula>
    </cfRule>
    <cfRule type="expression" priority="193" dxfId="0">
      <formula>AND(IF($Q46=3,1,IF($Q46=4,1,0)),IF($F46&lt;=85,1,0))</formula>
    </cfRule>
  </conditionalFormatting>
  <conditionalFormatting sqref="X46">
    <cfRule type="expression" priority="186" dxfId="3">
      <formula>AND(IF(OR($Q46=1,$Q46=2),1,0),IF($X46&lt;=20,1,0))</formula>
    </cfRule>
    <cfRule type="expression" priority="187" dxfId="2">
      <formula>AND(IF($Q46=2,1,0),IF($X46&lt;30,1,0))</formula>
    </cfRule>
    <cfRule type="expression" priority="188" dxfId="1">
      <formula>AND(IF($Q46=3,1,0),IF($X46&lt;30,1,0))</formula>
    </cfRule>
    <cfRule type="expression" priority="189" dxfId="0">
      <formula>AND(IF($Q46=3,1,IF($Q46=4,1,0)),IF($F46&lt;=85,1,0))</formula>
    </cfRule>
  </conditionalFormatting>
  <conditionalFormatting sqref="AI46">
    <cfRule type="expression" priority="182" dxfId="3">
      <formula>AND(IF(OR($Q46=1,$Q46=2),1,0),IF($X46&lt;=20,1,0))</formula>
    </cfRule>
    <cfRule type="expression" priority="183" dxfId="2">
      <formula>AND(IF($Q46=2,1,0),IF($X46&lt;30,1,0))</formula>
    </cfRule>
    <cfRule type="expression" priority="184" dxfId="1">
      <formula>AND(IF($Q46=3,1,0),IF($X46&lt;30,1,0))</formula>
    </cfRule>
    <cfRule type="expression" priority="185" dxfId="0">
      <formula>AND(IF($Q46=3,1,IF($Q46=4,1,0)),IF($F46&lt;=85,1,0))</formula>
    </cfRule>
  </conditionalFormatting>
  <conditionalFormatting sqref="AV47">
    <cfRule type="expression" priority="180" dxfId="17">
      <formula>AV47="X"</formula>
    </cfRule>
    <cfRule type="expression" priority="181" dxfId="16">
      <formula>AV47="후보"</formula>
    </cfRule>
  </conditionalFormatting>
  <conditionalFormatting sqref="AC4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7">
    <cfRule type="expression" priority="171" dxfId="3">
      <formula>AND(IF(OR($Q47=1,$Q47=2),1,0),IF($X47&lt;=20,1,0))</formula>
    </cfRule>
    <cfRule type="expression" priority="172" dxfId="2">
      <formula>AND(IF($Q47=2,1,0),IF($X47&lt;30,1,0))</formula>
    </cfRule>
    <cfRule type="expression" priority="173" dxfId="1">
      <formula>AND(IF($Q47=3,1,0),IF($X47&lt;30,1,0))</formula>
    </cfRule>
    <cfRule type="expression" priority="174" dxfId="0">
      <formula>AND(IF($Q47=3,1,IF($Q47=4,1,0)),IF($F47&lt;=85,1,0))</formula>
    </cfRule>
  </conditionalFormatting>
  <conditionalFormatting sqref="X47">
    <cfRule type="expression" priority="167" dxfId="3">
      <formula>AND(IF(OR($Q47=1,$Q47=2),1,0),IF($X47&lt;=20,1,0))</formula>
    </cfRule>
    <cfRule type="expression" priority="168" dxfId="2">
      <formula>AND(IF($Q47=2,1,0),IF($X47&lt;30,1,0))</formula>
    </cfRule>
    <cfRule type="expression" priority="169" dxfId="1">
      <formula>AND(IF($Q47=3,1,0),IF($X47&lt;30,1,0))</formula>
    </cfRule>
    <cfRule type="expression" priority="170" dxfId="0">
      <formula>AND(IF($Q47=3,1,IF($Q47=4,1,0)),IF($F47&lt;=85,1,0))</formula>
    </cfRule>
  </conditionalFormatting>
  <conditionalFormatting sqref="AI47">
    <cfRule type="expression" priority="163" dxfId="3">
      <formula>AND(IF(OR($Q47=1,$Q47=2),1,0),IF($X47&lt;=20,1,0))</formula>
    </cfRule>
    <cfRule type="expression" priority="164" dxfId="2">
      <formula>AND(IF($Q47=2,1,0),IF($X47&lt;30,1,0))</formula>
    </cfRule>
    <cfRule type="expression" priority="165" dxfId="1">
      <formula>AND(IF($Q47=3,1,0),IF($X47&lt;30,1,0))</formula>
    </cfRule>
    <cfRule type="expression" priority="166" dxfId="0">
      <formula>AND(IF($Q47=3,1,IF($Q47=4,1,0)),IF($F47&lt;=85,1,0))</formula>
    </cfRule>
  </conditionalFormatting>
  <conditionalFormatting sqref="AV48">
    <cfRule type="expression" priority="161" dxfId="17">
      <formula>AV48="X"</formula>
    </cfRule>
    <cfRule type="expression" priority="162" dxfId="16">
      <formula>AV48="후보"</formula>
    </cfRule>
  </conditionalFormatting>
  <conditionalFormatting sqref="AC4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4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48">
    <cfRule type="expression" priority="152" dxfId="3">
      <formula>AND(IF(OR($Q48=1,$Q48=2),1,0),IF($X48&lt;=20,1,0))</formula>
    </cfRule>
    <cfRule type="expression" priority="153" dxfId="2">
      <formula>AND(IF($Q48=2,1,0),IF($X48&lt;30,1,0))</formula>
    </cfRule>
    <cfRule type="expression" priority="154" dxfId="1">
      <formula>AND(IF($Q48=3,1,0),IF($X48&lt;30,1,0))</formula>
    </cfRule>
    <cfRule type="expression" priority="155" dxfId="0">
      <formula>AND(IF($Q48=3,1,IF($Q48=4,1,0)),IF($F48&lt;=85,1,0))</formula>
    </cfRule>
  </conditionalFormatting>
  <conditionalFormatting sqref="X48">
    <cfRule type="expression" priority="148" dxfId="3">
      <formula>AND(IF(OR($Q48=1,$Q48=2),1,0),IF($X48&lt;=20,1,0))</formula>
    </cfRule>
    <cfRule type="expression" priority="149" dxfId="2">
      <formula>AND(IF($Q48=2,1,0),IF($X48&lt;30,1,0))</formula>
    </cfRule>
    <cfRule type="expression" priority="150" dxfId="1">
      <formula>AND(IF($Q48=3,1,0),IF($X48&lt;30,1,0))</formula>
    </cfRule>
    <cfRule type="expression" priority="151" dxfId="0">
      <formula>AND(IF($Q48=3,1,IF($Q48=4,1,0)),IF($F48&lt;=85,1,0))</formula>
    </cfRule>
  </conditionalFormatting>
  <conditionalFormatting sqref="AI48">
    <cfRule type="expression" priority="144" dxfId="3">
      <formula>AND(IF(OR($Q48=1,$Q48=2),1,0),IF($X48&lt;=20,1,0))</formula>
    </cfRule>
    <cfRule type="expression" priority="145" dxfId="2">
      <formula>AND(IF($Q48=2,1,0),IF($X48&lt;30,1,0))</formula>
    </cfRule>
    <cfRule type="expression" priority="146" dxfId="1">
      <formula>AND(IF($Q48=3,1,0),IF($X48&lt;30,1,0))</formula>
    </cfRule>
    <cfRule type="expression" priority="147" dxfId="0">
      <formula>AND(IF($Q48=3,1,IF($Q48=4,1,0)),IF($F48&lt;=85,1,0))</formula>
    </cfRule>
  </conditionalFormatting>
  <conditionalFormatting sqref="AV49">
    <cfRule type="expression" priority="142" dxfId="17">
      <formula>AV49="X"</formula>
    </cfRule>
    <cfRule type="expression" priority="143" dxfId="16">
      <formula>AV49="후보"</formula>
    </cfRule>
  </conditionalFormatting>
  <conditionalFormatting sqref="AC4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4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49">
    <cfRule type="expression" priority="133" dxfId="3">
      <formula>AND(IF(OR($Q49=1,$Q49=2),1,0),IF($X49&lt;=20,1,0))</formula>
    </cfRule>
    <cfRule type="expression" priority="134" dxfId="2">
      <formula>AND(IF($Q49=2,1,0),IF($X49&lt;30,1,0))</formula>
    </cfRule>
    <cfRule type="expression" priority="135" dxfId="1">
      <formula>AND(IF($Q49=3,1,0),IF($X49&lt;30,1,0))</formula>
    </cfRule>
    <cfRule type="expression" priority="136" dxfId="0">
      <formula>AND(IF($Q49=3,1,IF($Q49=4,1,0)),IF($F49&lt;=85,1,0))</formula>
    </cfRule>
  </conditionalFormatting>
  <conditionalFormatting sqref="X49">
    <cfRule type="expression" priority="129" dxfId="3">
      <formula>AND(IF(OR($Q49=1,$Q49=2),1,0),IF($X49&lt;=20,1,0))</formula>
    </cfRule>
    <cfRule type="expression" priority="130" dxfId="2">
      <formula>AND(IF($Q49=2,1,0),IF($X49&lt;30,1,0))</formula>
    </cfRule>
    <cfRule type="expression" priority="131" dxfId="1">
      <formula>AND(IF($Q49=3,1,0),IF($X49&lt;30,1,0))</formula>
    </cfRule>
    <cfRule type="expression" priority="132" dxfId="0">
      <formula>AND(IF($Q49=3,1,IF($Q49=4,1,0)),IF($F49&lt;=85,1,0))</formula>
    </cfRule>
  </conditionalFormatting>
  <conditionalFormatting sqref="AI49">
    <cfRule type="expression" priority="125" dxfId="3">
      <formula>AND(IF(OR($Q49=1,$Q49=2),1,0),IF($X49&lt;=20,1,0))</formula>
    </cfRule>
    <cfRule type="expression" priority="126" dxfId="2">
      <formula>AND(IF($Q49=2,1,0),IF($X49&lt;30,1,0))</formula>
    </cfRule>
    <cfRule type="expression" priority="127" dxfId="1">
      <formula>AND(IF($Q49=3,1,0),IF($X49&lt;30,1,0))</formula>
    </cfRule>
    <cfRule type="expression" priority="128" dxfId="0">
      <formula>AND(IF($Q49=3,1,IF($Q49=4,1,0)),IF($F49&lt;=85,1,0))</formula>
    </cfRule>
  </conditionalFormatting>
  <conditionalFormatting sqref="AV50">
    <cfRule type="expression" priority="123" dxfId="17">
      <formula>AV50="X"</formula>
    </cfRule>
    <cfRule type="expression" priority="124" dxfId="16">
      <formula>AV50="후보"</formula>
    </cfRule>
  </conditionalFormatting>
  <conditionalFormatting sqref="AC5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50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50">
    <cfRule type="expression" priority="114" dxfId="3">
      <formula>AND(IF(OR($Q50=1,$Q50=2),1,0),IF($X50&lt;=20,1,0))</formula>
    </cfRule>
    <cfRule type="expression" priority="115" dxfId="2">
      <formula>AND(IF($Q50=2,1,0),IF($X50&lt;30,1,0))</formula>
    </cfRule>
    <cfRule type="expression" priority="116" dxfId="1">
      <formula>AND(IF($Q50=3,1,0),IF($X50&lt;30,1,0))</formula>
    </cfRule>
    <cfRule type="expression" priority="117" dxfId="0">
      <formula>AND(IF($Q50=3,1,IF($Q50=4,1,0)),IF($F50&lt;=85,1,0))</formula>
    </cfRule>
  </conditionalFormatting>
  <conditionalFormatting sqref="X50">
    <cfRule type="expression" priority="110" dxfId="3">
      <formula>AND(IF(OR($Q50=1,$Q50=2),1,0),IF($X50&lt;=20,1,0))</formula>
    </cfRule>
    <cfRule type="expression" priority="111" dxfId="2">
      <formula>AND(IF($Q50=2,1,0),IF($X50&lt;30,1,0))</formula>
    </cfRule>
    <cfRule type="expression" priority="112" dxfId="1">
      <formula>AND(IF($Q50=3,1,0),IF($X50&lt;30,1,0))</formula>
    </cfRule>
    <cfRule type="expression" priority="113" dxfId="0">
      <formula>AND(IF($Q50=3,1,IF($Q50=4,1,0)),IF($F50&lt;=85,1,0))</formula>
    </cfRule>
  </conditionalFormatting>
  <conditionalFormatting sqref="AI50">
    <cfRule type="expression" priority="106" dxfId="3">
      <formula>AND(IF(OR($Q50=1,$Q50=2),1,0),IF($X50&lt;=20,1,0))</formula>
    </cfRule>
    <cfRule type="expression" priority="107" dxfId="2">
      <formula>AND(IF($Q50=2,1,0),IF($X50&lt;30,1,0))</formula>
    </cfRule>
    <cfRule type="expression" priority="108" dxfId="1">
      <formula>AND(IF($Q50=3,1,0),IF($X50&lt;30,1,0))</formula>
    </cfRule>
    <cfRule type="expression" priority="109" dxfId="0">
      <formula>AND(IF($Q50=3,1,IF($Q50=4,1,0)),IF($F50&lt;=85,1,0))</formula>
    </cfRule>
  </conditionalFormatting>
  <conditionalFormatting sqref="AV51">
    <cfRule type="expression" priority="104" dxfId="17">
      <formula>AV51="X"</formula>
    </cfRule>
    <cfRule type="expression" priority="105" dxfId="16">
      <formula>AV51="후보"</formula>
    </cfRule>
  </conditionalFormatting>
  <conditionalFormatting sqref="AC5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51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51">
    <cfRule type="expression" priority="95" dxfId="3">
      <formula>AND(IF(OR($Q51=1,$Q51=2),1,0),IF($X51&lt;=20,1,0))</formula>
    </cfRule>
    <cfRule type="expression" priority="96" dxfId="2">
      <formula>AND(IF($Q51=2,1,0),IF($X51&lt;30,1,0))</formula>
    </cfRule>
    <cfRule type="expression" priority="97" dxfId="1">
      <formula>AND(IF($Q51=3,1,0),IF($X51&lt;30,1,0))</formula>
    </cfRule>
    <cfRule type="expression" priority="98" dxfId="0">
      <formula>AND(IF($Q51=3,1,IF($Q51=4,1,0)),IF($F51&lt;=85,1,0))</formula>
    </cfRule>
  </conditionalFormatting>
  <conditionalFormatting sqref="X51">
    <cfRule type="expression" priority="91" dxfId="3">
      <formula>AND(IF(OR($Q51=1,$Q51=2),1,0),IF($X51&lt;=20,1,0))</formula>
    </cfRule>
    <cfRule type="expression" priority="92" dxfId="2">
      <formula>AND(IF($Q51=2,1,0),IF($X51&lt;30,1,0))</formula>
    </cfRule>
    <cfRule type="expression" priority="93" dxfId="1">
      <formula>AND(IF($Q51=3,1,0),IF($X51&lt;30,1,0))</formula>
    </cfRule>
    <cfRule type="expression" priority="94" dxfId="0">
      <formula>AND(IF($Q51=3,1,IF($Q51=4,1,0)),IF($F51&lt;=85,1,0))</formula>
    </cfRule>
  </conditionalFormatting>
  <conditionalFormatting sqref="AI51">
    <cfRule type="expression" priority="87" dxfId="3">
      <formula>AND(IF(OR($Q51=1,$Q51=2),1,0),IF($X51&lt;=20,1,0))</formula>
    </cfRule>
    <cfRule type="expression" priority="88" dxfId="2">
      <formula>AND(IF($Q51=2,1,0),IF($X51&lt;30,1,0))</formula>
    </cfRule>
    <cfRule type="expression" priority="89" dxfId="1">
      <formula>AND(IF($Q51=3,1,0),IF($X51&lt;30,1,0))</formula>
    </cfRule>
    <cfRule type="expression" priority="90" dxfId="0">
      <formula>AND(IF($Q51=3,1,IF($Q51=4,1,0)),IF($F51&lt;=85,1,0))</formula>
    </cfRule>
  </conditionalFormatting>
  <conditionalFormatting sqref="AV52">
    <cfRule type="expression" priority="85" dxfId="17">
      <formula>AV52="X"</formula>
    </cfRule>
    <cfRule type="expression" priority="86" dxfId="16">
      <formula>AV52="후보"</formula>
    </cfRule>
  </conditionalFormatting>
  <conditionalFormatting sqref="AC52 N52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53">
    <cfRule type="expression" priority="80" dxfId="17">
      <formula>AV53="X"</formula>
    </cfRule>
    <cfRule type="expression" priority="81" dxfId="16">
      <formula>AV53="후보"</formula>
    </cfRule>
  </conditionalFormatting>
  <conditionalFormatting sqref="AC5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5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53">
    <cfRule type="expression" priority="71" dxfId="3">
      <formula>AND(IF(OR($Q53=1,$Q53=2),1,0),IF($X53&lt;=20,1,0))</formula>
    </cfRule>
    <cfRule type="expression" priority="72" dxfId="2">
      <formula>AND(IF($Q53=2,1,0),IF($X53&lt;30,1,0))</formula>
    </cfRule>
    <cfRule type="expression" priority="73" dxfId="1">
      <formula>AND(IF($Q53=3,1,0),IF($X53&lt;30,1,0))</formula>
    </cfRule>
    <cfRule type="expression" priority="74" dxfId="0">
      <formula>AND(IF($Q53=3,1,IF($Q53=4,1,0)),IF($F53&lt;=85,1,0))</formula>
    </cfRule>
  </conditionalFormatting>
  <conditionalFormatting sqref="X53">
    <cfRule type="expression" priority="67" dxfId="3">
      <formula>AND(IF(OR($Q53=1,$Q53=2),1,0),IF($X53&lt;=20,1,0))</formula>
    </cfRule>
    <cfRule type="expression" priority="68" dxfId="2">
      <formula>AND(IF($Q53=2,1,0),IF($X53&lt;30,1,0))</formula>
    </cfRule>
    <cfRule type="expression" priority="69" dxfId="1">
      <formula>AND(IF($Q53=3,1,0),IF($X53&lt;30,1,0))</formula>
    </cfRule>
    <cfRule type="expression" priority="70" dxfId="0">
      <formula>AND(IF($Q53=3,1,IF($Q53=4,1,0)),IF($F53&lt;=85,1,0))</formula>
    </cfRule>
  </conditionalFormatting>
  <conditionalFormatting sqref="AI53">
    <cfRule type="expression" priority="63" dxfId="3">
      <formula>AND(IF(OR($Q53=1,$Q53=2),1,0),IF($X53&lt;=20,1,0))</formula>
    </cfRule>
    <cfRule type="expression" priority="64" dxfId="2">
      <formula>AND(IF($Q53=2,1,0),IF($X53&lt;30,1,0))</formula>
    </cfRule>
    <cfRule type="expression" priority="65" dxfId="1">
      <formula>AND(IF($Q53=3,1,0),IF($X53&lt;30,1,0))</formula>
    </cfRule>
    <cfRule type="expression" priority="66" dxfId="0">
      <formula>AND(IF($Q53=3,1,IF($Q53=4,1,0)),IF($F53&lt;=85,1,0))</formula>
    </cfRule>
  </conditionalFormatting>
  <conditionalFormatting sqref="AV54">
    <cfRule type="expression" priority="61" dxfId="17">
      <formula>AV54="X"</formula>
    </cfRule>
    <cfRule type="expression" priority="62" dxfId="16">
      <formula>AV54="후보"</formula>
    </cfRule>
  </conditionalFormatting>
  <conditionalFormatting sqref="AC5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5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54">
    <cfRule type="expression" priority="52" dxfId="3">
      <formula>AND(IF(OR($Q54=1,$Q54=2),1,0),IF($X54&lt;=20,1,0))</formula>
    </cfRule>
    <cfRule type="expression" priority="53" dxfId="2">
      <formula>AND(IF($Q54=2,1,0),IF($X54&lt;30,1,0))</formula>
    </cfRule>
    <cfRule type="expression" priority="54" dxfId="1">
      <formula>AND(IF($Q54=3,1,0),IF($X54&lt;30,1,0))</formula>
    </cfRule>
    <cfRule type="expression" priority="55" dxfId="0">
      <formula>AND(IF($Q54=3,1,IF($Q54=4,1,0)),IF($F54&lt;=85,1,0))</formula>
    </cfRule>
  </conditionalFormatting>
  <conditionalFormatting sqref="X54">
    <cfRule type="expression" priority="48" dxfId="3">
      <formula>AND(IF(OR($Q54=1,$Q54=2),1,0),IF($X54&lt;=20,1,0))</formula>
    </cfRule>
    <cfRule type="expression" priority="49" dxfId="2">
      <formula>AND(IF($Q54=2,1,0),IF($X54&lt;30,1,0))</formula>
    </cfRule>
    <cfRule type="expression" priority="50" dxfId="1">
      <formula>AND(IF($Q54=3,1,0),IF($X54&lt;30,1,0))</formula>
    </cfRule>
    <cfRule type="expression" priority="51" dxfId="0">
      <formula>AND(IF($Q54=3,1,IF($Q54=4,1,0)),IF($F54&lt;=85,1,0))</formula>
    </cfRule>
  </conditionalFormatting>
  <conditionalFormatting sqref="AI54">
    <cfRule type="expression" priority="44" dxfId="3">
      <formula>AND(IF(OR($Q54=1,$Q54=2),1,0),IF($X54&lt;=20,1,0))</formula>
    </cfRule>
    <cfRule type="expression" priority="45" dxfId="2">
      <formula>AND(IF($Q54=2,1,0),IF($X54&lt;30,1,0))</formula>
    </cfRule>
    <cfRule type="expression" priority="46" dxfId="1">
      <formula>AND(IF($Q54=3,1,0),IF($X54&lt;30,1,0))</formula>
    </cfRule>
    <cfRule type="expression" priority="47" dxfId="0">
      <formula>AND(IF($Q54=3,1,IF($Q54=4,1,0)),IF($F54&lt;=85,1,0))</formula>
    </cfRule>
  </conditionalFormatting>
  <conditionalFormatting sqref="AV55">
    <cfRule type="expression" priority="42" dxfId="17">
      <formula>AV55="X"</formula>
    </cfRule>
    <cfRule type="expression" priority="43" dxfId="16">
      <formula>AV55="후보"</formula>
    </cfRule>
  </conditionalFormatting>
  <conditionalFormatting sqref="AC5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55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55">
    <cfRule type="expression" priority="33" dxfId="3">
      <formula>AND(IF(OR($Q55=1,$Q55=2),1,0),IF($X55&lt;=20,1,0))</formula>
    </cfRule>
    <cfRule type="expression" priority="34" dxfId="2">
      <formula>AND(IF($Q55=2,1,0),IF($X55&lt;30,1,0))</formula>
    </cfRule>
    <cfRule type="expression" priority="35" dxfId="1">
      <formula>AND(IF($Q55=3,1,0),IF($X55&lt;30,1,0))</formula>
    </cfRule>
    <cfRule type="expression" priority="36" dxfId="0">
      <formula>AND(IF($Q55=3,1,IF($Q55=4,1,0)),IF($F55&lt;=85,1,0))</formula>
    </cfRule>
  </conditionalFormatting>
  <conditionalFormatting sqref="X55">
    <cfRule type="expression" priority="29" dxfId="3">
      <formula>AND(IF(OR($Q55=1,$Q55=2),1,0),IF($X55&lt;=20,1,0))</formula>
    </cfRule>
    <cfRule type="expression" priority="30" dxfId="2">
      <formula>AND(IF($Q55=2,1,0),IF($X55&lt;30,1,0))</formula>
    </cfRule>
    <cfRule type="expression" priority="31" dxfId="1">
      <formula>AND(IF($Q55=3,1,0),IF($X55&lt;30,1,0))</formula>
    </cfRule>
    <cfRule type="expression" priority="32" dxfId="0">
      <formula>AND(IF($Q55=3,1,IF($Q55=4,1,0)),IF($F55&lt;=85,1,0))</formula>
    </cfRule>
  </conditionalFormatting>
  <conditionalFormatting sqref="AI55">
    <cfRule type="expression" priority="25" dxfId="3">
      <formula>AND(IF(OR($Q55=1,$Q55=2),1,0),IF($X55&lt;=20,1,0))</formula>
    </cfRule>
    <cfRule type="expression" priority="26" dxfId="2">
      <formula>AND(IF($Q55=2,1,0),IF($X55&lt;30,1,0))</formula>
    </cfRule>
    <cfRule type="expression" priority="27" dxfId="1">
      <formula>AND(IF($Q55=3,1,0),IF($X55&lt;30,1,0))</formula>
    </cfRule>
    <cfRule type="expression" priority="28" dxfId="0">
      <formula>AND(IF($Q55=3,1,IF($Q55=4,1,0)),IF($F55&lt;=85,1,0))</formula>
    </cfRule>
  </conditionalFormatting>
  <conditionalFormatting sqref="AV56">
    <cfRule type="expression" priority="23" dxfId="17">
      <formula>AV56="X"</formula>
    </cfRule>
    <cfRule type="expression" priority="24" dxfId="16">
      <formula>AV56="후보"</formula>
    </cfRule>
  </conditionalFormatting>
  <conditionalFormatting sqref="AC56 N56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57">
    <cfRule type="expression" priority="18" dxfId="17">
      <formula>AV57="X"</formula>
    </cfRule>
    <cfRule type="expression" priority="19" dxfId="16">
      <formula>AV57="후보"</formula>
    </cfRule>
  </conditionalFormatting>
  <conditionalFormatting sqref="AC5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남이면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청주가마힐데스하임</t>
        </is>
      </c>
      <c r="B6" s="16" t="inlineStr">
        <is>
          <t>'16.12.</t>
        </is>
      </c>
      <c r="C6" s="164" t="n">
        <v>988</v>
      </c>
      <c r="D6" s="161" t="n">
        <v>104.5</v>
      </c>
      <c r="E6" s="163" t="n">
        <v>32</v>
      </c>
      <c r="F6" s="161" t="n">
        <v>80</v>
      </c>
      <c r="G6" s="27" t="n">
        <v>24</v>
      </c>
      <c r="H6" s="164" t="n">
        <v>150</v>
      </c>
      <c r="I6" s="165" t="n">
        <v>32000</v>
      </c>
      <c r="J6" s="165" t="inlineStr">
        <is>
          <t>고</t>
        </is>
      </c>
      <c r="K6" s="165" t="n">
        <v>22000</v>
      </c>
      <c r="L6" s="165" t="inlineStr">
        <is>
          <t>18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104A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청주가마힐데스하임</t>
        </is>
      </c>
      <c r="B7" s="16" t="inlineStr">
        <is>
          <t>'16.12.</t>
        </is>
      </c>
      <c r="C7" s="164" t="n">
        <v>988</v>
      </c>
      <c r="D7" s="161" t="n">
        <v>105.4</v>
      </c>
      <c r="E7" s="163" t="n">
        <v>32</v>
      </c>
      <c r="F7" s="161" t="n">
        <v>80.8</v>
      </c>
      <c r="G7" s="27" t="n">
        <v>24</v>
      </c>
      <c r="H7" s="164" t="n">
        <v>150</v>
      </c>
      <c r="I7" s="165" t="n">
        <v>31000</v>
      </c>
      <c r="J7" s="165" t="inlineStr">
        <is>
          <t>고</t>
        </is>
      </c>
      <c r="K7" s="165" t="n">
        <v>24000</v>
      </c>
      <c r="L7" s="165" t="inlineStr">
        <is>
          <t>6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105B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청주가마힐데스하임</t>
        </is>
      </c>
      <c r="B8" s="16" t="inlineStr">
        <is>
          <t>'16.12.</t>
        </is>
      </c>
      <c r="C8" s="164" t="n">
        <v>988</v>
      </c>
      <c r="D8" s="161" t="n">
        <v>112.7</v>
      </c>
      <c r="E8" s="163" t="n">
        <v>34</v>
      </c>
      <c r="F8" s="161" t="n">
        <v>84.90000000000001</v>
      </c>
      <c r="G8" s="27" t="n">
        <v>26</v>
      </c>
      <c r="H8" s="164" t="n">
        <v>174</v>
      </c>
      <c r="I8" s="165" t="n">
        <v>35000</v>
      </c>
      <c r="J8" s="165" t="inlineStr">
        <is>
          <t>12</t>
        </is>
      </c>
      <c r="K8" s="165" t="n">
        <v>24000</v>
      </c>
      <c r="L8" s="165" t="inlineStr">
        <is>
          <t>고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112B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청주가마힐데스하임</t>
        </is>
      </c>
      <c r="B9" s="16" t="inlineStr">
        <is>
          <t>'16.12.</t>
        </is>
      </c>
      <c r="C9" s="164" t="n">
        <v>988</v>
      </c>
      <c r="D9" s="161" t="n">
        <v>113.1</v>
      </c>
      <c r="E9" s="163" t="n">
        <v>34</v>
      </c>
      <c r="F9" s="161" t="n">
        <v>84.90000000000001</v>
      </c>
      <c r="G9" s="27" t="n">
        <v>26</v>
      </c>
      <c r="H9" s="164" t="n">
        <v>514</v>
      </c>
      <c r="I9" s="165" t="n">
        <v>32500</v>
      </c>
      <c r="J9" s="165" t="inlineStr">
        <is>
          <t>중</t>
        </is>
      </c>
      <c r="K9" s="165" t="n">
        <v>23500</v>
      </c>
      <c r="L9" s="165" t="inlineStr">
        <is>
          <t>고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113A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17">
      <formula>AV4="X"</formula>
    </cfRule>
    <cfRule type="expression" priority="78" dxfId="16">
      <formula>AV4="후보"</formula>
    </cfRule>
  </conditionalFormatting>
  <conditionalFormatting sqref="AC1:AC2 AC4:AC6 N4:N5">
    <cfRule type="cellIs" priority="74" operator="greaterThan" dxfId="13">
      <formula>0.9</formula>
    </cfRule>
    <cfRule type="cellIs" priority="75" operator="greaterThan" dxfId="12">
      <formula>0.85</formula>
    </cfRule>
  </conditionalFormatting>
  <conditionalFormatting sqref="N1:N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17">
      <formula>AV7="X"</formula>
    </cfRule>
    <cfRule type="expression" priority="57" dxfId="16">
      <formula>AV7="후보"</formula>
    </cfRule>
  </conditionalFormatting>
  <conditionalFormatting sqref="AC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17">
      <formula>AV8="X"</formula>
    </cfRule>
    <cfRule type="expression" priority="38" dxfId="16">
      <formula>AV8="후보"</formula>
    </cfRule>
  </conditionalFormatting>
  <conditionalFormatting sqref="AC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17">
      <formula>AV9="X"</formula>
    </cfRule>
    <cfRule type="expression" priority="19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모충동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삼호</t>
        </is>
      </c>
      <c r="B6" s="16" t="inlineStr">
        <is>
          <t>'91.08.</t>
        </is>
      </c>
      <c r="C6" s="164" t="n">
        <v>254</v>
      </c>
      <c r="D6" s="161" t="n">
        <v>96.59999999999999</v>
      </c>
      <c r="E6" s="163" t="n">
        <v>29</v>
      </c>
      <c r="F6" s="161" t="n">
        <v>78.5</v>
      </c>
      <c r="G6" s="27" t="n">
        <v>24</v>
      </c>
      <c r="H6" s="164" t="n">
        <v>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96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삼호</t>
        </is>
      </c>
      <c r="B7" s="16" t="inlineStr">
        <is>
          <t>'91.08.</t>
        </is>
      </c>
      <c r="C7" s="164" t="n">
        <v>254</v>
      </c>
      <c r="D7" s="161" t="n">
        <v>105.6</v>
      </c>
      <c r="E7" s="163" t="n">
        <v>32</v>
      </c>
      <c r="F7" s="161" t="n">
        <v>84.90000000000001</v>
      </c>
      <c r="G7" s="27" t="n">
        <v>26</v>
      </c>
      <c r="H7" s="164" t="n">
        <v>184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삼호</t>
        </is>
      </c>
      <c r="B8" s="16" t="inlineStr">
        <is>
          <t>'91.08.</t>
        </is>
      </c>
      <c r="C8" s="164" t="n">
        <v>254</v>
      </c>
      <c r="D8" s="161" t="n">
        <v>146.5</v>
      </c>
      <c r="E8" s="163" t="n">
        <v>44</v>
      </c>
      <c r="F8" s="161" t="n">
        <v>126.6</v>
      </c>
      <c r="G8" s="27" t="n">
        <v>38</v>
      </c>
      <c r="H8" s="164" t="n">
        <v>30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n">
        <v>146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형석</t>
        </is>
      </c>
      <c r="B10" s="16" t="inlineStr">
        <is>
          <t>'83.08.</t>
        </is>
      </c>
      <c r="C10" s="164" t="n">
        <v>204</v>
      </c>
      <c r="D10" s="161" t="n">
        <v>47.6</v>
      </c>
      <c r="E10" s="163" t="n">
        <v>14</v>
      </c>
      <c r="F10" s="161" t="n">
        <v>41.8</v>
      </c>
      <c r="G10" s="27" t="n">
        <v>13</v>
      </c>
      <c r="H10" s="164" t="n">
        <v>48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n">
        <v>47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형석</t>
        </is>
      </c>
      <c r="B11" s="16" t="inlineStr">
        <is>
          <t>'83.08.</t>
        </is>
      </c>
      <c r="C11" s="164" t="n">
        <v>204</v>
      </c>
      <c r="D11" s="161" t="n">
        <v>55.4</v>
      </c>
      <c r="E11" s="163" t="n">
        <v>17</v>
      </c>
      <c r="F11" s="161" t="n">
        <v>49.6</v>
      </c>
      <c r="G11" s="27" t="n">
        <v>15</v>
      </c>
      <c r="H11" s="164" t="n">
        <v>60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2</v>
      </c>
      <c r="R11" s="113" t="n">
        <v>1</v>
      </c>
      <c r="S11" s="113" t="inlineStr">
        <is>
          <t>계</t>
        </is>
      </c>
      <c r="T11" s="8" t="n">
        <v>55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형석</t>
        </is>
      </c>
      <c r="B12" s="16" t="inlineStr">
        <is>
          <t>'83.08.</t>
        </is>
      </c>
      <c r="C12" s="164" t="n">
        <v>204</v>
      </c>
      <c r="D12" s="161" t="n">
        <v>77</v>
      </c>
      <c r="E12" s="163" t="n">
        <v>23</v>
      </c>
      <c r="F12" s="161" t="n">
        <v>67.7</v>
      </c>
      <c r="G12" s="27" t="n">
        <v>20</v>
      </c>
      <c r="H12" s="164" t="n">
        <v>48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복</t>
        </is>
      </c>
      <c r="T12" s="8" t="n">
        <v>77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형석</t>
        </is>
      </c>
      <c r="B13" s="16" t="inlineStr">
        <is>
          <t>'83.08.</t>
        </is>
      </c>
      <c r="C13" s="164" t="n">
        <v>204</v>
      </c>
      <c r="D13" s="161" t="n">
        <v>79.40000000000001</v>
      </c>
      <c r="E13" s="163" t="n">
        <v>24</v>
      </c>
      <c r="F13" s="161" t="n">
        <v>69.8</v>
      </c>
      <c r="G13" s="27" t="n">
        <v>21</v>
      </c>
      <c r="H13" s="164" t="n">
        <v>48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79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주공</t>
        </is>
      </c>
      <c r="B15" s="16" t="inlineStr">
        <is>
          <t>'85.11.</t>
        </is>
      </c>
      <c r="C15" s="164" t="n">
        <v>330</v>
      </c>
      <c r="D15" s="161" t="n">
        <v>43.9</v>
      </c>
      <c r="E15" s="163" t="n">
        <v>13</v>
      </c>
      <c r="F15" s="161" t="n">
        <v>38.5</v>
      </c>
      <c r="G15" s="27" t="n">
        <v>12</v>
      </c>
      <c r="H15" s="164" t="n">
        <v>190</v>
      </c>
      <c r="I15" s="165" t="n">
        <v>8700</v>
      </c>
      <c r="J15" s="165" t="inlineStr">
        <is>
          <t>5</t>
        </is>
      </c>
      <c r="K15" s="165" t="n">
        <v>7000</v>
      </c>
      <c r="L15" s="165" t="inlineStr">
        <is>
          <t>5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계</t>
        </is>
      </c>
      <c r="T15" s="8" t="n">
        <v>43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주공</t>
        </is>
      </c>
      <c r="B16" s="16" t="inlineStr">
        <is>
          <t>'85.11.</t>
        </is>
      </c>
      <c r="C16" s="164" t="n">
        <v>330</v>
      </c>
      <c r="D16" s="161" t="n">
        <v>52.7</v>
      </c>
      <c r="E16" s="163" t="n">
        <v>16</v>
      </c>
      <c r="F16" s="161" t="n">
        <v>47.3</v>
      </c>
      <c r="G16" s="27" t="n">
        <v>14</v>
      </c>
      <c r="H16" s="164" t="n">
        <v>140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52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삼익세라믹</t>
        </is>
      </c>
      <c r="B18" s="16" t="inlineStr">
        <is>
          <t>'89.08.</t>
        </is>
      </c>
      <c r="C18" s="164" t="n">
        <v>229</v>
      </c>
      <c r="D18" s="161" t="n">
        <v>73.5</v>
      </c>
      <c r="E18" s="163" t="n">
        <v>22</v>
      </c>
      <c r="F18" s="161" t="n">
        <v>61.6</v>
      </c>
      <c r="G18" s="27" t="n">
        <v>19</v>
      </c>
      <c r="H18" s="164" t="n">
        <v>42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n">
        <v>73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삼익세라믹</t>
        </is>
      </c>
      <c r="B19" s="16" t="inlineStr">
        <is>
          <t>'89.08.</t>
        </is>
      </c>
      <c r="C19" s="164" t="n">
        <v>229</v>
      </c>
      <c r="D19" s="161" t="n">
        <v>87.7</v>
      </c>
      <c r="E19" s="163" t="n">
        <v>27</v>
      </c>
      <c r="F19" s="161" t="n">
        <v>73.40000000000001</v>
      </c>
      <c r="G19" s="27" t="n">
        <v>22</v>
      </c>
      <c r="H19" s="164" t="n">
        <v>1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87A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삼익세라믹</t>
        </is>
      </c>
      <c r="B20" s="16" t="inlineStr">
        <is>
          <t>'89.08.</t>
        </is>
      </c>
      <c r="C20" s="164" t="n">
        <v>229</v>
      </c>
      <c r="D20" s="161" t="n">
        <v>88.7</v>
      </c>
      <c r="E20" s="163" t="n">
        <v>27</v>
      </c>
      <c r="F20" s="161" t="n">
        <v>74.40000000000001</v>
      </c>
      <c r="G20" s="27" t="n">
        <v>22</v>
      </c>
      <c r="H20" s="164" t="n">
        <v>39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inlineStr">
        <is>
          <t>88B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삼익세라믹</t>
        </is>
      </c>
      <c r="B21" s="16" t="inlineStr">
        <is>
          <t>'89.08.</t>
        </is>
      </c>
      <c r="C21" s="164" t="n">
        <v>229</v>
      </c>
      <c r="D21" s="161" t="n">
        <v>99.90000000000001</v>
      </c>
      <c r="E21" s="163" t="n">
        <v>30</v>
      </c>
      <c r="F21" s="161" t="n">
        <v>83</v>
      </c>
      <c r="G21" s="27" t="n">
        <v>25</v>
      </c>
      <c r="H21" s="164" t="n">
        <v>90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n">
        <v>99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삼익세라믹</t>
        </is>
      </c>
      <c r="B22" s="16" t="inlineStr">
        <is>
          <t>'89.08.</t>
        </is>
      </c>
      <c r="C22" s="164" t="n">
        <v>229</v>
      </c>
      <c r="D22" s="161" t="n">
        <v>101.1</v>
      </c>
      <c r="E22" s="163" t="n">
        <v>31</v>
      </c>
      <c r="F22" s="161" t="n">
        <v>84.8</v>
      </c>
      <c r="G22" s="27" t="n">
        <v>26</v>
      </c>
      <c r="H22" s="164" t="n">
        <v>57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n">
        <v>101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모충동일센타시아</t>
        </is>
      </c>
      <c r="B24" s="16" t="inlineStr">
        <is>
          <t>'16.05.</t>
        </is>
      </c>
      <c r="C24" s="164" t="n">
        <v>240</v>
      </c>
      <c r="D24" s="161" t="n">
        <v>85.40000000000001</v>
      </c>
      <c r="E24" s="163" t="n">
        <v>26</v>
      </c>
      <c r="F24" s="161" t="n">
        <v>63.7</v>
      </c>
      <c r="G24" s="27" t="n">
        <v>19</v>
      </c>
      <c r="H24" s="164" t="n">
        <v>89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85A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모충동일센타시아</t>
        </is>
      </c>
      <c r="B25" s="16" t="inlineStr">
        <is>
          <t>'16.05.</t>
        </is>
      </c>
      <c r="C25" s="164" t="n">
        <v>240</v>
      </c>
      <c r="D25" s="161" t="n">
        <v>86.2</v>
      </c>
      <c r="E25" s="163" t="n">
        <v>26</v>
      </c>
      <c r="F25" s="161" t="n">
        <v>65.09999999999999</v>
      </c>
      <c r="G25" s="27" t="n">
        <v>20</v>
      </c>
      <c r="H25" s="164" t="n">
        <v>101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86B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모충동일센타시아</t>
        </is>
      </c>
      <c r="B26" s="16" t="inlineStr">
        <is>
          <t>'16.05.</t>
        </is>
      </c>
      <c r="C26" s="164" t="n">
        <v>240</v>
      </c>
      <c r="D26" s="161" t="n">
        <v>92.2</v>
      </c>
      <c r="E26" s="163" t="n">
        <v>28</v>
      </c>
      <c r="F26" s="161" t="n">
        <v>69.8</v>
      </c>
      <c r="G26" s="27" t="n">
        <v>21</v>
      </c>
      <c r="H26" s="164" t="n">
        <v>50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92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청주모충LH트릴로채</t>
        </is>
      </c>
      <c r="B28" s="16" t="inlineStr">
        <is>
          <t>'21.11.</t>
        </is>
      </c>
      <c r="C28" s="164" t="n">
        <v>1692</v>
      </c>
      <c r="D28" s="161" t="n">
        <v>85.90000000000001</v>
      </c>
      <c r="E28" s="163" t="n">
        <v>26</v>
      </c>
      <c r="F28" s="161" t="n">
        <v>59.8</v>
      </c>
      <c r="G28" s="27" t="n">
        <v>18</v>
      </c>
      <c r="H28" s="164" t="n">
        <v>29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85B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청주모충LH트릴로채</t>
        </is>
      </c>
      <c r="B29" s="16" t="inlineStr">
        <is>
          <t>'21.11.</t>
        </is>
      </c>
      <c r="C29" s="164" t="n">
        <v>1692</v>
      </c>
      <c r="D29" s="161" t="n">
        <v>86.2</v>
      </c>
      <c r="E29" s="163" t="n">
        <v>26</v>
      </c>
      <c r="F29" s="161" t="n">
        <v>60</v>
      </c>
      <c r="G29" s="27" t="n">
        <v>18</v>
      </c>
      <c r="H29" s="164" t="n">
        <v>141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86A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청주모충LH트릴로채</t>
        </is>
      </c>
      <c r="B30" s="16" t="inlineStr">
        <is>
          <t>'21.11.</t>
        </is>
      </c>
      <c r="C30" s="164" t="n">
        <v>1692</v>
      </c>
      <c r="D30" s="161" t="n">
        <v>98.90000000000001</v>
      </c>
      <c r="E30" s="163" t="n">
        <v>30</v>
      </c>
      <c r="F30" s="161" t="n">
        <v>74.8</v>
      </c>
      <c r="G30" s="27" t="n">
        <v>23</v>
      </c>
      <c r="H30" s="164" t="n">
        <v>423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98A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청주모충LH트릴로채</t>
        </is>
      </c>
      <c r="B31" s="16" t="inlineStr">
        <is>
          <t>'21.11.</t>
        </is>
      </c>
      <c r="C31" s="164" t="n">
        <v>1692</v>
      </c>
      <c r="D31" s="161" t="n">
        <v>99</v>
      </c>
      <c r="E31" s="163" t="n">
        <v>30</v>
      </c>
      <c r="F31" s="161" t="n">
        <v>74.90000000000001</v>
      </c>
      <c r="G31" s="27" t="n">
        <v>23</v>
      </c>
      <c r="H31" s="164" t="n">
        <v>56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98B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청주모충LH트릴로채</t>
        </is>
      </c>
      <c r="B32" s="16" t="inlineStr">
        <is>
          <t>'21.11.</t>
        </is>
      </c>
      <c r="C32" s="164" t="n">
        <v>1692</v>
      </c>
      <c r="D32" s="161" t="n">
        <v>99</v>
      </c>
      <c r="E32" s="163" t="n">
        <v>30</v>
      </c>
      <c r="F32" s="161" t="n">
        <v>74.90000000000001</v>
      </c>
      <c r="G32" s="27" t="n">
        <v>23</v>
      </c>
      <c r="H32" s="164" t="n">
        <v>48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99C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청주모충LH트릴로채</t>
        </is>
      </c>
      <c r="B33" s="16" t="inlineStr">
        <is>
          <t>'21.11.</t>
        </is>
      </c>
      <c r="C33" s="164" t="n">
        <v>1692</v>
      </c>
      <c r="D33" s="161" t="n">
        <v>111.1</v>
      </c>
      <c r="E33" s="163" t="n">
        <v>34</v>
      </c>
      <c r="F33" s="161" t="n">
        <v>84.90000000000001</v>
      </c>
      <c r="G33" s="27" t="n">
        <v>26</v>
      </c>
      <c r="H33" s="164" t="n">
        <v>489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111A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청주모충LH트릴로채</t>
        </is>
      </c>
      <c r="B34" s="16" t="inlineStr">
        <is>
          <t>'21.11.</t>
        </is>
      </c>
      <c r="C34" s="164" t="n">
        <v>1692</v>
      </c>
      <c r="D34" s="161" t="n">
        <v>111.1</v>
      </c>
      <c r="E34" s="163" t="n">
        <v>34</v>
      </c>
      <c r="F34" s="161" t="n">
        <v>84.90000000000001</v>
      </c>
      <c r="G34" s="27" t="n">
        <v>26</v>
      </c>
      <c r="H34" s="164" t="n">
        <v>94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111B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두산한솔</t>
        </is>
      </c>
      <c r="B36" s="16" t="inlineStr">
        <is>
          <t>'94.10.</t>
        </is>
      </c>
      <c r="C36" s="164" t="n">
        <v>392</v>
      </c>
      <c r="D36" s="161" t="n">
        <v>78.8</v>
      </c>
      <c r="E36" s="163" t="n">
        <v>24</v>
      </c>
      <c r="F36" s="161" t="n">
        <v>60</v>
      </c>
      <c r="G36" s="27" t="n">
        <v>18</v>
      </c>
      <c r="H36" s="164" t="n">
        <v>178</v>
      </c>
      <c r="I36" s="165" t="n">
        <v>14000</v>
      </c>
      <c r="J36" s="165" t="inlineStr">
        <is>
          <t>9</t>
        </is>
      </c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n">
        <v>78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두산한솔</t>
        </is>
      </c>
      <c r="B37" s="16" t="inlineStr">
        <is>
          <t>'94.10.</t>
        </is>
      </c>
      <c r="C37" s="164" t="n">
        <v>392</v>
      </c>
      <c r="D37" s="161" t="n">
        <v>105.3</v>
      </c>
      <c r="E37" s="163" t="n">
        <v>32</v>
      </c>
      <c r="F37" s="161" t="n">
        <v>85</v>
      </c>
      <c r="G37" s="27" t="n">
        <v>26</v>
      </c>
      <c r="H37" s="164" t="n">
        <v>124</v>
      </c>
      <c r="I37" s="165" t="n">
        <v>17000</v>
      </c>
      <c r="J37" s="165" t="inlineStr">
        <is>
          <t>8</t>
        </is>
      </c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105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두산한솔</t>
        </is>
      </c>
      <c r="B38" s="16" t="inlineStr">
        <is>
          <t>'94.10.</t>
        </is>
      </c>
      <c r="C38" s="164" t="n">
        <v>392</v>
      </c>
      <c r="D38" s="161" t="n">
        <v>121.4</v>
      </c>
      <c r="E38" s="163" t="n">
        <v>37</v>
      </c>
      <c r="F38" s="161" t="n">
        <v>100</v>
      </c>
      <c r="G38" s="27" t="n">
        <v>30</v>
      </c>
      <c r="H38" s="164" t="n">
        <v>90</v>
      </c>
      <c r="I38" s="165" t="n">
        <v>17000</v>
      </c>
      <c r="J38" s="165" t="inlineStr">
        <is>
          <t>15</t>
        </is>
      </c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121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금호타운</t>
        </is>
      </c>
      <c r="B40" s="16" t="inlineStr">
        <is>
          <t>'95.02.</t>
        </is>
      </c>
      <c r="C40" s="164" t="n">
        <v>418</v>
      </c>
      <c r="D40" s="161" t="n">
        <v>91.3</v>
      </c>
      <c r="E40" s="163" t="n">
        <v>28</v>
      </c>
      <c r="F40" s="161" t="n">
        <v>73.09999999999999</v>
      </c>
      <c r="G40" s="27" t="n">
        <v>22</v>
      </c>
      <c r="H40" s="164" t="n">
        <v>90</v>
      </c>
      <c r="I40" s="165" t="n">
        <v>14000</v>
      </c>
      <c r="J40" s="165" t="inlineStr">
        <is>
          <t>9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91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금호타운</t>
        </is>
      </c>
      <c r="B41" s="16" t="inlineStr">
        <is>
          <t>'95.02.</t>
        </is>
      </c>
      <c r="C41" s="164" t="n">
        <v>418</v>
      </c>
      <c r="D41" s="161" t="n">
        <v>102.8</v>
      </c>
      <c r="E41" s="163" t="n">
        <v>31</v>
      </c>
      <c r="F41" s="161" t="n">
        <v>83.5</v>
      </c>
      <c r="G41" s="27" t="n">
        <v>25</v>
      </c>
      <c r="H41" s="164" t="n">
        <v>328</v>
      </c>
      <c r="I41" s="165" t="n">
        <v>17000</v>
      </c>
      <c r="J41" s="165" t="inlineStr">
        <is>
          <t>중</t>
        </is>
      </c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102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1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2" t="n"/>
      <c r="P42" s="162" t="n"/>
      <c r="Q42" s="163" t="n"/>
      <c r="R42" s="163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0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주공2단지</t>
        </is>
      </c>
      <c r="B43" s="16" t="inlineStr">
        <is>
          <t>'89.08.</t>
        </is>
      </c>
      <c r="C43" s="164" t="n">
        <v>640</v>
      </c>
      <c r="D43" s="161" t="n">
        <v>49.5</v>
      </c>
      <c r="E43" s="163" t="n">
        <v>15</v>
      </c>
      <c r="F43" s="161" t="n">
        <v>39.3</v>
      </c>
      <c r="G43" s="27" t="n">
        <v>12</v>
      </c>
      <c r="H43" s="164" t="n">
        <v>130</v>
      </c>
      <c r="I43" s="165" t="n">
        <v>12300</v>
      </c>
      <c r="J43" s="165" t="inlineStr">
        <is>
          <t>5</t>
        </is>
      </c>
      <c r="K43" s="165" t="n">
        <v>9500</v>
      </c>
      <c r="L43" s="165" t="inlineStr">
        <is>
          <t>5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2</v>
      </c>
      <c r="R43" s="113" t="n">
        <v>1</v>
      </c>
      <c r="S43" s="113" t="inlineStr">
        <is>
          <t>계</t>
        </is>
      </c>
      <c r="T43" s="8" t="inlineStr">
        <is>
          <t>49A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주공2단지</t>
        </is>
      </c>
      <c r="B44" s="16" t="inlineStr">
        <is>
          <t>'89.08.</t>
        </is>
      </c>
      <c r="C44" s="164" t="n">
        <v>640</v>
      </c>
      <c r="D44" s="161" t="n">
        <v>49.9</v>
      </c>
      <c r="E44" s="163" t="n">
        <v>15</v>
      </c>
      <c r="F44" s="161" t="n">
        <v>39.7</v>
      </c>
      <c r="G44" s="27" t="n">
        <v>12</v>
      </c>
      <c r="H44" s="164" t="n">
        <v>100</v>
      </c>
      <c r="I44" s="165" t="n">
        <v>13500</v>
      </c>
      <c r="J44" s="165" t="inlineStr">
        <is>
          <t>고</t>
        </is>
      </c>
      <c r="K44" s="165" t="n">
        <v>9500</v>
      </c>
      <c r="L44" s="165" t="inlineStr">
        <is>
          <t>5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2</v>
      </c>
      <c r="R44" s="113" t="n">
        <v>1</v>
      </c>
      <c r="S44" s="113" t="inlineStr">
        <is>
          <t>계</t>
        </is>
      </c>
      <c r="T44" s="8" t="inlineStr">
        <is>
          <t>49B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주공2단지</t>
        </is>
      </c>
      <c r="B45" s="16" t="inlineStr">
        <is>
          <t>'89.08.</t>
        </is>
      </c>
      <c r="C45" s="164" t="n">
        <v>640</v>
      </c>
      <c r="D45" s="161" t="n">
        <v>62.6</v>
      </c>
      <c r="E45" s="163" t="n">
        <v>19</v>
      </c>
      <c r="F45" s="161" t="n">
        <v>51</v>
      </c>
      <c r="G45" s="27" t="n">
        <v>15</v>
      </c>
      <c r="H45" s="164" t="n">
        <v>227</v>
      </c>
      <c r="I45" s="165" t="n">
        <v>15500</v>
      </c>
      <c r="J45" s="165" t="inlineStr">
        <is>
          <t>5</t>
        </is>
      </c>
      <c r="K45" s="165" t="n">
        <v>7000</v>
      </c>
      <c r="L45" s="165" t="inlineStr">
        <is>
          <t>5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2</v>
      </c>
      <c r="R45" s="113" t="n">
        <v>1</v>
      </c>
      <c r="S45" s="113" t="inlineStr">
        <is>
          <t>계</t>
        </is>
      </c>
      <c r="T45" s="8" t="n">
        <v>62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주공2단지</t>
        </is>
      </c>
      <c r="B46" s="16" t="inlineStr">
        <is>
          <t>'89.08.</t>
        </is>
      </c>
      <c r="C46" s="164" t="n">
        <v>640</v>
      </c>
      <c r="D46" s="161" t="n">
        <v>72.5</v>
      </c>
      <c r="E46" s="163" t="n">
        <v>22</v>
      </c>
      <c r="F46" s="161" t="n">
        <v>59.1</v>
      </c>
      <c r="G46" s="27" t="n">
        <v>18</v>
      </c>
      <c r="H46" s="164" t="n">
        <v>183</v>
      </c>
      <c r="I46" s="165" t="n">
        <v>16000</v>
      </c>
      <c r="J46" s="165" t="inlineStr">
        <is>
          <t>중</t>
        </is>
      </c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1</v>
      </c>
      <c r="S46" s="113" t="inlineStr">
        <is>
          <t>계</t>
        </is>
      </c>
      <c r="T46" s="8" t="n">
        <v>72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</sheetData>
  <mergeCells count="1">
    <mergeCell ref="AJ1:AN1"/>
  </mergeCells>
  <conditionalFormatting sqref="AV4:AV6">
    <cfRule type="expression" priority="668" dxfId="17">
      <formula>AV4="X"</formula>
    </cfRule>
    <cfRule type="expression" priority="669" dxfId="16">
      <formula>AV4="후보"</formula>
    </cfRule>
  </conditionalFormatting>
  <conditionalFormatting sqref="AC1:AC2 AC4:AC6 N4:N5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N1:N2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6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X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I6">
    <cfRule type="expression" priority="649" dxfId="3">
      <formula>AND(IF(OR($Q6=1,$Q6=2),1,0),IF($X6&lt;=20,1,0))</formula>
    </cfRule>
    <cfRule type="expression" priority="650" dxfId="2">
      <formula>AND(IF($Q6=2,1,0),IF($X6&lt;30,1,0))</formula>
    </cfRule>
    <cfRule type="expression" priority="651" dxfId="1">
      <formula>AND(IF($Q6=3,1,0),IF($X6&lt;30,1,0))</formula>
    </cfRule>
    <cfRule type="expression" priority="652" dxfId="0">
      <formula>AND(IF($Q6=3,1,IF($Q6=4,1,0)),IF($F6&lt;=85,1,0))</formula>
    </cfRule>
  </conditionalFormatting>
  <conditionalFormatting sqref="AV7">
    <cfRule type="expression" priority="647" dxfId="17">
      <formula>AV7="X"</formula>
    </cfRule>
    <cfRule type="expression" priority="648" dxfId="16">
      <formula>AV7="후보"</formula>
    </cfRule>
  </conditionalFormatting>
  <conditionalFormatting sqref="AC7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7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X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I7">
    <cfRule type="expression" priority="630" dxfId="3">
      <formula>AND(IF(OR($Q7=1,$Q7=2),1,0),IF($X7&lt;=20,1,0))</formula>
    </cfRule>
    <cfRule type="expression" priority="631" dxfId="2">
      <formula>AND(IF($Q7=2,1,0),IF($X7&lt;30,1,0))</formula>
    </cfRule>
    <cfRule type="expression" priority="632" dxfId="1">
      <formula>AND(IF($Q7=3,1,0),IF($X7&lt;30,1,0))</formula>
    </cfRule>
    <cfRule type="expression" priority="633" dxfId="0">
      <formula>AND(IF($Q7=3,1,IF($Q7=4,1,0)),IF($F7&lt;=85,1,0))</formula>
    </cfRule>
  </conditionalFormatting>
  <conditionalFormatting sqref="AV8">
    <cfRule type="expression" priority="628" dxfId="17">
      <formula>AV8="X"</formula>
    </cfRule>
    <cfRule type="expression" priority="629" dxfId="16">
      <formula>AV8="후보"</formula>
    </cfRule>
  </conditionalFormatting>
  <conditionalFormatting sqref="AC8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8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8">
    <cfRule type="expression" priority="619" dxfId="3">
      <formula>AND(IF(OR($Q8=1,$Q8=2),1,0),IF($X8&lt;=20,1,0))</formula>
    </cfRule>
    <cfRule type="expression" priority="620" dxfId="2">
      <formula>AND(IF($Q8=2,1,0),IF($X8&lt;30,1,0))</formula>
    </cfRule>
    <cfRule type="expression" priority="621" dxfId="1">
      <formula>AND(IF($Q8=3,1,0),IF($X8&lt;30,1,0))</formula>
    </cfRule>
    <cfRule type="expression" priority="622" dxfId="0">
      <formula>AND(IF($Q8=3,1,IF($Q8=4,1,0)),IF($F8&lt;=85,1,0))</formula>
    </cfRule>
  </conditionalFormatting>
  <conditionalFormatting sqref="X8">
    <cfRule type="expression" priority="615" dxfId="3">
      <formula>AND(IF(OR($Q8=1,$Q8=2),1,0),IF($X8&lt;=20,1,0))</formula>
    </cfRule>
    <cfRule type="expression" priority="616" dxfId="2">
      <formula>AND(IF($Q8=2,1,0),IF($X8&lt;30,1,0))</formula>
    </cfRule>
    <cfRule type="expression" priority="617" dxfId="1">
      <formula>AND(IF($Q8=3,1,0),IF($X8&lt;30,1,0))</formula>
    </cfRule>
    <cfRule type="expression" priority="618" dxfId="0">
      <formula>AND(IF($Q8=3,1,IF($Q8=4,1,0)),IF($F8&lt;=85,1,0))</formula>
    </cfRule>
  </conditionalFormatting>
  <conditionalFormatting sqref="AI8">
    <cfRule type="expression" priority="611" dxfId="3">
      <formula>AND(IF(OR($Q8=1,$Q8=2),1,0),IF($X8&lt;=20,1,0))</formula>
    </cfRule>
    <cfRule type="expression" priority="612" dxfId="2">
      <formula>AND(IF($Q8=2,1,0),IF($X8&lt;30,1,0))</formula>
    </cfRule>
    <cfRule type="expression" priority="613" dxfId="1">
      <formula>AND(IF($Q8=3,1,0),IF($X8&lt;30,1,0))</formula>
    </cfRule>
    <cfRule type="expression" priority="614" dxfId="0">
      <formula>AND(IF($Q8=3,1,IF($Q8=4,1,0)),IF($F8&lt;=85,1,0))</formula>
    </cfRule>
  </conditionalFormatting>
  <conditionalFormatting sqref="AV9">
    <cfRule type="expression" priority="609" dxfId="17">
      <formula>AV9="X"</formula>
    </cfRule>
    <cfRule type="expression" priority="610" dxfId="16">
      <formula>AV9="후보"</formula>
    </cfRule>
  </conditionalFormatting>
  <conditionalFormatting sqref="AC9 N9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AV10">
    <cfRule type="expression" priority="604" dxfId="17">
      <formula>AV10="X"</formula>
    </cfRule>
    <cfRule type="expression" priority="605" dxfId="16">
      <formula>AV10="후보"</formula>
    </cfRule>
  </conditionalFormatting>
  <conditionalFormatting sqref="AC10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10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10">
    <cfRule type="expression" priority="595" dxfId="3">
      <formula>AND(IF(OR($Q10=1,$Q10=2),1,0),IF($X10&lt;=20,1,0))</formula>
    </cfRule>
    <cfRule type="expression" priority="596" dxfId="2">
      <formula>AND(IF($Q10=2,1,0),IF($X10&lt;30,1,0))</formula>
    </cfRule>
    <cfRule type="expression" priority="597" dxfId="1">
      <formula>AND(IF($Q10=3,1,0),IF($X10&lt;30,1,0))</formula>
    </cfRule>
    <cfRule type="expression" priority="598" dxfId="0">
      <formula>AND(IF($Q10=3,1,IF($Q10=4,1,0)),IF($F10&lt;=85,1,0))</formula>
    </cfRule>
  </conditionalFormatting>
  <conditionalFormatting sqref="X10">
    <cfRule type="expression" priority="591" dxfId="3">
      <formula>AND(IF(OR($Q10=1,$Q10=2),1,0),IF($X10&lt;=20,1,0))</formula>
    </cfRule>
    <cfRule type="expression" priority="592" dxfId="2">
      <formula>AND(IF($Q10=2,1,0),IF($X10&lt;30,1,0))</formula>
    </cfRule>
    <cfRule type="expression" priority="593" dxfId="1">
      <formula>AND(IF($Q10=3,1,0),IF($X10&lt;30,1,0))</formula>
    </cfRule>
    <cfRule type="expression" priority="594" dxfId="0">
      <formula>AND(IF($Q10=3,1,IF($Q10=4,1,0)),IF($F10&lt;=85,1,0))</formula>
    </cfRule>
  </conditionalFormatting>
  <conditionalFormatting sqref="AI10">
    <cfRule type="expression" priority="587" dxfId="3">
      <formula>AND(IF(OR($Q10=1,$Q10=2),1,0),IF($X10&lt;=20,1,0))</formula>
    </cfRule>
    <cfRule type="expression" priority="588" dxfId="2">
      <formula>AND(IF($Q10=2,1,0),IF($X10&lt;30,1,0))</formula>
    </cfRule>
    <cfRule type="expression" priority="589" dxfId="1">
      <formula>AND(IF($Q10=3,1,0),IF($X10&lt;30,1,0))</formula>
    </cfRule>
    <cfRule type="expression" priority="590" dxfId="0">
      <formula>AND(IF($Q10=3,1,IF($Q10=4,1,0)),IF($F10&lt;=85,1,0))</formula>
    </cfRule>
  </conditionalFormatting>
  <conditionalFormatting sqref="AV11">
    <cfRule type="expression" priority="585" dxfId="17">
      <formula>AV11="X"</formula>
    </cfRule>
    <cfRule type="expression" priority="586" dxfId="16">
      <formula>AV11="후보"</formula>
    </cfRule>
  </conditionalFormatting>
  <conditionalFormatting sqref="AC11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1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1">
    <cfRule type="expression" priority="576" dxfId="3">
      <formula>AND(IF(OR($Q11=1,$Q11=2),1,0),IF($X11&lt;=20,1,0))</formula>
    </cfRule>
    <cfRule type="expression" priority="577" dxfId="2">
      <formula>AND(IF($Q11=2,1,0),IF($X11&lt;30,1,0))</formula>
    </cfRule>
    <cfRule type="expression" priority="578" dxfId="1">
      <formula>AND(IF($Q11=3,1,0),IF($X11&lt;30,1,0))</formula>
    </cfRule>
    <cfRule type="expression" priority="579" dxfId="0">
      <formula>AND(IF($Q11=3,1,IF($Q11=4,1,0)),IF($F11&lt;=85,1,0))</formula>
    </cfRule>
  </conditionalFormatting>
  <conditionalFormatting sqref="X11">
    <cfRule type="expression" priority="572" dxfId="3">
      <formula>AND(IF(OR($Q11=1,$Q11=2),1,0),IF($X11&lt;=20,1,0))</formula>
    </cfRule>
    <cfRule type="expression" priority="573" dxfId="2">
      <formula>AND(IF($Q11=2,1,0),IF($X11&lt;30,1,0))</formula>
    </cfRule>
    <cfRule type="expression" priority="574" dxfId="1">
      <formula>AND(IF($Q11=3,1,0),IF($X11&lt;30,1,0))</formula>
    </cfRule>
    <cfRule type="expression" priority="575" dxfId="0">
      <formula>AND(IF($Q11=3,1,IF($Q11=4,1,0)),IF($F11&lt;=85,1,0))</formula>
    </cfRule>
  </conditionalFormatting>
  <conditionalFormatting sqref="AI11">
    <cfRule type="expression" priority="568" dxfId="3">
      <formula>AND(IF(OR($Q11=1,$Q11=2),1,0),IF($X11&lt;=20,1,0))</formula>
    </cfRule>
    <cfRule type="expression" priority="569" dxfId="2">
      <formula>AND(IF($Q11=2,1,0),IF($X11&lt;30,1,0))</formula>
    </cfRule>
    <cfRule type="expression" priority="570" dxfId="1">
      <formula>AND(IF($Q11=3,1,0),IF($X11&lt;30,1,0))</formula>
    </cfRule>
    <cfRule type="expression" priority="571" dxfId="0">
      <formula>AND(IF($Q11=3,1,IF($Q11=4,1,0)),IF($F11&lt;=85,1,0))</formula>
    </cfRule>
  </conditionalFormatting>
  <conditionalFormatting sqref="AV12">
    <cfRule type="expression" priority="566" dxfId="17">
      <formula>AV12="X"</formula>
    </cfRule>
    <cfRule type="expression" priority="567" dxfId="16">
      <formula>AV12="후보"</formula>
    </cfRule>
  </conditionalFormatting>
  <conditionalFormatting sqref="AC12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2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X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I12">
    <cfRule type="expression" priority="549" dxfId="3">
      <formula>AND(IF(OR($Q12=1,$Q12=2),1,0),IF($X12&lt;=20,1,0))</formula>
    </cfRule>
    <cfRule type="expression" priority="550" dxfId="2">
      <formula>AND(IF($Q12=2,1,0),IF($X12&lt;30,1,0))</formula>
    </cfRule>
    <cfRule type="expression" priority="551" dxfId="1">
      <formula>AND(IF($Q12=3,1,0),IF($X12&lt;30,1,0))</formula>
    </cfRule>
    <cfRule type="expression" priority="552" dxfId="0">
      <formula>AND(IF($Q12=3,1,IF($Q12=4,1,0)),IF($F12&lt;=85,1,0))</formula>
    </cfRule>
  </conditionalFormatting>
  <conditionalFormatting sqref="AV13">
    <cfRule type="expression" priority="547" dxfId="17">
      <formula>AV13="X"</formula>
    </cfRule>
    <cfRule type="expression" priority="548" dxfId="16">
      <formula>AV13="후보"</formula>
    </cfRule>
  </conditionalFormatting>
  <conditionalFormatting sqref="AC13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3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3">
    <cfRule type="expression" priority="538" dxfId="3">
      <formula>AND(IF(OR($Q13=1,$Q13=2),1,0),IF($X13&lt;=20,1,0))</formula>
    </cfRule>
    <cfRule type="expression" priority="539" dxfId="2">
      <formula>AND(IF($Q13=2,1,0),IF($X13&lt;30,1,0))</formula>
    </cfRule>
    <cfRule type="expression" priority="540" dxfId="1">
      <formula>AND(IF($Q13=3,1,0),IF($X13&lt;30,1,0))</formula>
    </cfRule>
    <cfRule type="expression" priority="541" dxfId="0">
      <formula>AND(IF($Q13=3,1,IF($Q13=4,1,0)),IF($F13&lt;=85,1,0))</formula>
    </cfRule>
  </conditionalFormatting>
  <conditionalFormatting sqref="X13">
    <cfRule type="expression" priority="534" dxfId="3">
      <formula>AND(IF(OR($Q13=1,$Q13=2),1,0),IF($X13&lt;=20,1,0))</formula>
    </cfRule>
    <cfRule type="expression" priority="535" dxfId="2">
      <formula>AND(IF($Q13=2,1,0),IF($X13&lt;30,1,0))</formula>
    </cfRule>
    <cfRule type="expression" priority="536" dxfId="1">
      <formula>AND(IF($Q13=3,1,0),IF($X13&lt;30,1,0))</formula>
    </cfRule>
    <cfRule type="expression" priority="537" dxfId="0">
      <formula>AND(IF($Q13=3,1,IF($Q13=4,1,0)),IF($F13&lt;=85,1,0))</formula>
    </cfRule>
  </conditionalFormatting>
  <conditionalFormatting sqref="AI13">
    <cfRule type="expression" priority="530" dxfId="3">
      <formula>AND(IF(OR($Q13=1,$Q13=2),1,0),IF($X13&lt;=20,1,0))</formula>
    </cfRule>
    <cfRule type="expression" priority="531" dxfId="2">
      <formula>AND(IF($Q13=2,1,0),IF($X13&lt;30,1,0))</formula>
    </cfRule>
    <cfRule type="expression" priority="532" dxfId="1">
      <formula>AND(IF($Q13=3,1,0),IF($X13&lt;30,1,0))</formula>
    </cfRule>
    <cfRule type="expression" priority="533" dxfId="0">
      <formula>AND(IF($Q13=3,1,IF($Q13=4,1,0)),IF($F13&lt;=85,1,0))</formula>
    </cfRule>
  </conditionalFormatting>
  <conditionalFormatting sqref="AV14">
    <cfRule type="expression" priority="528" dxfId="17">
      <formula>AV14="X"</formula>
    </cfRule>
    <cfRule type="expression" priority="529" dxfId="16">
      <formula>AV14="후보"</formula>
    </cfRule>
  </conditionalFormatting>
  <conditionalFormatting sqref="AC14 N14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AV15">
    <cfRule type="expression" priority="523" dxfId="17">
      <formula>AV15="X"</formula>
    </cfRule>
    <cfRule type="expression" priority="524" dxfId="16">
      <formula>AV15="후보"</formula>
    </cfRule>
  </conditionalFormatting>
  <conditionalFormatting sqref="AC15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5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5">
    <cfRule type="expression" priority="514" dxfId="3">
      <formula>AND(IF(OR($Q15=1,$Q15=2),1,0),IF($X15&lt;=20,1,0))</formula>
    </cfRule>
    <cfRule type="expression" priority="515" dxfId="2">
      <formula>AND(IF($Q15=2,1,0),IF($X15&lt;30,1,0))</formula>
    </cfRule>
    <cfRule type="expression" priority="516" dxfId="1">
      <formula>AND(IF($Q15=3,1,0),IF($X15&lt;30,1,0))</formula>
    </cfRule>
    <cfRule type="expression" priority="517" dxfId="0">
      <formula>AND(IF($Q15=3,1,IF($Q15=4,1,0)),IF($F15&lt;=85,1,0))</formula>
    </cfRule>
  </conditionalFormatting>
  <conditionalFormatting sqref="X15">
    <cfRule type="expression" priority="510" dxfId="3">
      <formula>AND(IF(OR($Q15=1,$Q15=2),1,0),IF($X15&lt;=20,1,0))</formula>
    </cfRule>
    <cfRule type="expression" priority="511" dxfId="2">
      <formula>AND(IF($Q15=2,1,0),IF($X15&lt;30,1,0))</formula>
    </cfRule>
    <cfRule type="expression" priority="512" dxfId="1">
      <formula>AND(IF($Q15=3,1,0),IF($X15&lt;30,1,0))</formula>
    </cfRule>
    <cfRule type="expression" priority="513" dxfId="0">
      <formula>AND(IF($Q15=3,1,IF($Q15=4,1,0)),IF($F15&lt;=85,1,0))</formula>
    </cfRule>
  </conditionalFormatting>
  <conditionalFormatting sqref="AI15">
    <cfRule type="expression" priority="506" dxfId="3">
      <formula>AND(IF(OR($Q15=1,$Q15=2),1,0),IF($X15&lt;=20,1,0))</formula>
    </cfRule>
    <cfRule type="expression" priority="507" dxfId="2">
      <formula>AND(IF($Q15=2,1,0),IF($X15&lt;30,1,0))</formula>
    </cfRule>
    <cfRule type="expression" priority="508" dxfId="1">
      <formula>AND(IF($Q15=3,1,0),IF($X15&lt;30,1,0))</formula>
    </cfRule>
    <cfRule type="expression" priority="509" dxfId="0">
      <formula>AND(IF($Q15=3,1,IF($Q15=4,1,0)),IF($F15&lt;=85,1,0))</formula>
    </cfRule>
  </conditionalFormatting>
  <conditionalFormatting sqref="AV16">
    <cfRule type="expression" priority="504" dxfId="17">
      <formula>AV16="X"</formula>
    </cfRule>
    <cfRule type="expression" priority="505" dxfId="16">
      <formula>AV16="후보"</formula>
    </cfRule>
  </conditionalFormatting>
  <conditionalFormatting sqref="AC16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6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6">
    <cfRule type="expression" priority="495" dxfId="3">
      <formula>AND(IF(OR($Q16=1,$Q16=2),1,0),IF($X16&lt;=20,1,0))</formula>
    </cfRule>
    <cfRule type="expression" priority="496" dxfId="2">
      <formula>AND(IF($Q16=2,1,0),IF($X16&lt;30,1,0))</formula>
    </cfRule>
    <cfRule type="expression" priority="497" dxfId="1">
      <formula>AND(IF($Q16=3,1,0),IF($X16&lt;30,1,0))</formula>
    </cfRule>
    <cfRule type="expression" priority="498" dxfId="0">
      <formula>AND(IF($Q16=3,1,IF($Q16=4,1,0)),IF($F16&lt;=85,1,0))</formula>
    </cfRule>
  </conditionalFormatting>
  <conditionalFormatting sqref="X16">
    <cfRule type="expression" priority="491" dxfId="3">
      <formula>AND(IF(OR($Q16=1,$Q16=2),1,0),IF($X16&lt;=20,1,0))</formula>
    </cfRule>
    <cfRule type="expression" priority="492" dxfId="2">
      <formula>AND(IF($Q16=2,1,0),IF($X16&lt;30,1,0))</formula>
    </cfRule>
    <cfRule type="expression" priority="493" dxfId="1">
      <formula>AND(IF($Q16=3,1,0),IF($X16&lt;30,1,0))</formula>
    </cfRule>
    <cfRule type="expression" priority="494" dxfId="0">
      <formula>AND(IF($Q16=3,1,IF($Q16=4,1,0)),IF($F16&lt;=85,1,0))</formula>
    </cfRule>
  </conditionalFormatting>
  <conditionalFormatting sqref="AI16">
    <cfRule type="expression" priority="487" dxfId="3">
      <formula>AND(IF(OR($Q16=1,$Q16=2),1,0),IF($X16&lt;=20,1,0))</formula>
    </cfRule>
    <cfRule type="expression" priority="488" dxfId="2">
      <formula>AND(IF($Q16=2,1,0),IF($X16&lt;30,1,0))</formula>
    </cfRule>
    <cfRule type="expression" priority="489" dxfId="1">
      <formula>AND(IF($Q16=3,1,0),IF($X16&lt;30,1,0))</formula>
    </cfRule>
    <cfRule type="expression" priority="490" dxfId="0">
      <formula>AND(IF($Q16=3,1,IF($Q16=4,1,0)),IF($F16&lt;=85,1,0))</formula>
    </cfRule>
  </conditionalFormatting>
  <conditionalFormatting sqref="AV17">
    <cfRule type="expression" priority="485" dxfId="17">
      <formula>AV17="X"</formula>
    </cfRule>
    <cfRule type="expression" priority="486" dxfId="16">
      <formula>AV17="후보"</formula>
    </cfRule>
  </conditionalFormatting>
  <conditionalFormatting sqref="AC17 N17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18">
    <cfRule type="expression" priority="480" dxfId="17">
      <formula>AV18="X"</formula>
    </cfRule>
    <cfRule type="expression" priority="481" dxfId="16">
      <formula>AV18="후보"</formula>
    </cfRule>
  </conditionalFormatting>
  <conditionalFormatting sqref="AC1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8">
    <cfRule type="expression" priority="471" dxfId="3">
      <formula>AND(IF(OR($Q18=1,$Q18=2),1,0),IF($X18&lt;=20,1,0))</formula>
    </cfRule>
    <cfRule type="expression" priority="472" dxfId="2">
      <formula>AND(IF($Q18=2,1,0),IF($X18&lt;30,1,0))</formula>
    </cfRule>
    <cfRule type="expression" priority="473" dxfId="1">
      <formula>AND(IF($Q18=3,1,0),IF($X18&lt;30,1,0))</formula>
    </cfRule>
    <cfRule type="expression" priority="474" dxfId="0">
      <formula>AND(IF($Q18=3,1,IF($Q18=4,1,0)),IF($F18&lt;=85,1,0))</formula>
    </cfRule>
  </conditionalFormatting>
  <conditionalFormatting sqref="X18">
    <cfRule type="expression" priority="467" dxfId="3">
      <formula>AND(IF(OR($Q18=1,$Q18=2),1,0),IF($X18&lt;=20,1,0))</formula>
    </cfRule>
    <cfRule type="expression" priority="468" dxfId="2">
      <formula>AND(IF($Q18=2,1,0),IF($X18&lt;30,1,0))</formula>
    </cfRule>
    <cfRule type="expression" priority="469" dxfId="1">
      <formula>AND(IF($Q18=3,1,0),IF($X18&lt;30,1,0))</formula>
    </cfRule>
    <cfRule type="expression" priority="470" dxfId="0">
      <formula>AND(IF($Q18=3,1,IF($Q18=4,1,0)),IF($F18&lt;=85,1,0))</formula>
    </cfRule>
  </conditionalFormatting>
  <conditionalFormatting sqref="AI18">
    <cfRule type="expression" priority="463" dxfId="3">
      <formula>AND(IF(OR($Q18=1,$Q18=2),1,0),IF($X18&lt;=20,1,0))</formula>
    </cfRule>
    <cfRule type="expression" priority="464" dxfId="2">
      <formula>AND(IF($Q18=2,1,0),IF($X18&lt;30,1,0))</formula>
    </cfRule>
    <cfRule type="expression" priority="465" dxfId="1">
      <formula>AND(IF($Q18=3,1,0),IF($X18&lt;30,1,0))</formula>
    </cfRule>
    <cfRule type="expression" priority="466" dxfId="0">
      <formula>AND(IF($Q18=3,1,IF($Q18=4,1,0)),IF($F18&lt;=85,1,0))</formula>
    </cfRule>
  </conditionalFormatting>
  <conditionalFormatting sqref="AV19">
    <cfRule type="expression" priority="461" dxfId="17">
      <formula>AV19="X"</formula>
    </cfRule>
    <cfRule type="expression" priority="462" dxfId="16">
      <formula>AV19="후보"</formula>
    </cfRule>
  </conditionalFormatting>
  <conditionalFormatting sqref="AC1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9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9">
    <cfRule type="expression" priority="452" dxfId="3">
      <formula>AND(IF(OR($Q19=1,$Q19=2),1,0),IF($X19&lt;=20,1,0))</formula>
    </cfRule>
    <cfRule type="expression" priority="453" dxfId="2">
      <formula>AND(IF($Q19=2,1,0),IF($X19&lt;30,1,0))</formula>
    </cfRule>
    <cfRule type="expression" priority="454" dxfId="1">
      <formula>AND(IF($Q19=3,1,0),IF($X19&lt;30,1,0))</formula>
    </cfRule>
    <cfRule type="expression" priority="455" dxfId="0">
      <formula>AND(IF($Q19=3,1,IF($Q19=4,1,0)),IF($F19&lt;=85,1,0))</formula>
    </cfRule>
  </conditionalFormatting>
  <conditionalFormatting sqref="X19">
    <cfRule type="expression" priority="448" dxfId="3">
      <formula>AND(IF(OR($Q19=1,$Q19=2),1,0),IF($X19&lt;=20,1,0))</formula>
    </cfRule>
    <cfRule type="expression" priority="449" dxfId="2">
      <formula>AND(IF($Q19=2,1,0),IF($X19&lt;30,1,0))</formula>
    </cfRule>
    <cfRule type="expression" priority="450" dxfId="1">
      <formula>AND(IF($Q19=3,1,0),IF($X19&lt;30,1,0))</formula>
    </cfRule>
    <cfRule type="expression" priority="451" dxfId="0">
      <formula>AND(IF($Q19=3,1,IF($Q19=4,1,0)),IF($F19&lt;=85,1,0))</formula>
    </cfRule>
  </conditionalFormatting>
  <conditionalFormatting sqref="AI19">
    <cfRule type="expression" priority="444" dxfId="3">
      <formula>AND(IF(OR($Q19=1,$Q19=2),1,0),IF($X19&lt;=20,1,0))</formula>
    </cfRule>
    <cfRule type="expression" priority="445" dxfId="2">
      <formula>AND(IF($Q19=2,1,0),IF($X19&lt;30,1,0))</formula>
    </cfRule>
    <cfRule type="expression" priority="446" dxfId="1">
      <formula>AND(IF($Q19=3,1,0),IF($X19&lt;30,1,0))</formula>
    </cfRule>
    <cfRule type="expression" priority="447" dxfId="0">
      <formula>AND(IF($Q19=3,1,IF($Q19=4,1,0)),IF($F19&lt;=85,1,0))</formula>
    </cfRule>
  </conditionalFormatting>
  <conditionalFormatting sqref="AV20">
    <cfRule type="expression" priority="442" dxfId="17">
      <formula>AV20="X"</formula>
    </cfRule>
    <cfRule type="expression" priority="443" dxfId="16">
      <formula>AV20="후보"</formula>
    </cfRule>
  </conditionalFormatting>
  <conditionalFormatting sqref="AC20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0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0">
    <cfRule type="expression" priority="433" dxfId="3">
      <formula>AND(IF(OR($Q20=1,$Q20=2),1,0),IF($X20&lt;=20,1,0))</formula>
    </cfRule>
    <cfRule type="expression" priority="434" dxfId="2">
      <formula>AND(IF($Q20=2,1,0),IF($X20&lt;30,1,0))</formula>
    </cfRule>
    <cfRule type="expression" priority="435" dxfId="1">
      <formula>AND(IF($Q20=3,1,0),IF($X20&lt;30,1,0))</formula>
    </cfRule>
    <cfRule type="expression" priority="436" dxfId="0">
      <formula>AND(IF($Q20=3,1,IF($Q20=4,1,0)),IF($F20&lt;=85,1,0))</formula>
    </cfRule>
  </conditionalFormatting>
  <conditionalFormatting sqref="X20">
    <cfRule type="expression" priority="429" dxfId="3">
      <formula>AND(IF(OR($Q20=1,$Q20=2),1,0),IF($X20&lt;=20,1,0))</formula>
    </cfRule>
    <cfRule type="expression" priority="430" dxfId="2">
      <formula>AND(IF($Q20=2,1,0),IF($X20&lt;30,1,0))</formula>
    </cfRule>
    <cfRule type="expression" priority="431" dxfId="1">
      <formula>AND(IF($Q20=3,1,0),IF($X20&lt;30,1,0))</formula>
    </cfRule>
    <cfRule type="expression" priority="432" dxfId="0">
      <formula>AND(IF($Q20=3,1,IF($Q20=4,1,0)),IF($F20&lt;=85,1,0))</formula>
    </cfRule>
  </conditionalFormatting>
  <conditionalFormatting sqref="AI20">
    <cfRule type="expression" priority="425" dxfId="3">
      <formula>AND(IF(OR($Q20=1,$Q20=2),1,0),IF($X20&lt;=20,1,0))</formula>
    </cfRule>
    <cfRule type="expression" priority="426" dxfId="2">
      <formula>AND(IF($Q20=2,1,0),IF($X20&lt;30,1,0))</formula>
    </cfRule>
    <cfRule type="expression" priority="427" dxfId="1">
      <formula>AND(IF($Q20=3,1,0),IF($X20&lt;30,1,0))</formula>
    </cfRule>
    <cfRule type="expression" priority="428" dxfId="0">
      <formula>AND(IF($Q20=3,1,IF($Q20=4,1,0)),IF($F20&lt;=85,1,0))</formula>
    </cfRule>
  </conditionalFormatting>
  <conditionalFormatting sqref="AV21">
    <cfRule type="expression" priority="423" dxfId="17">
      <formula>AV21="X"</formula>
    </cfRule>
    <cfRule type="expression" priority="424" dxfId="16">
      <formula>AV21="후보"</formula>
    </cfRule>
  </conditionalFormatting>
  <conditionalFormatting sqref="AC2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1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1">
    <cfRule type="expression" priority="414" dxfId="3">
      <formula>AND(IF(OR($Q21=1,$Q21=2),1,0),IF($X21&lt;=20,1,0))</formula>
    </cfRule>
    <cfRule type="expression" priority="415" dxfId="2">
      <formula>AND(IF($Q21=2,1,0),IF($X21&lt;30,1,0))</formula>
    </cfRule>
    <cfRule type="expression" priority="416" dxfId="1">
      <formula>AND(IF($Q21=3,1,0),IF($X21&lt;30,1,0))</formula>
    </cfRule>
    <cfRule type="expression" priority="417" dxfId="0">
      <formula>AND(IF($Q21=3,1,IF($Q21=4,1,0)),IF($F21&lt;=85,1,0))</formula>
    </cfRule>
  </conditionalFormatting>
  <conditionalFormatting sqref="X21">
    <cfRule type="expression" priority="410" dxfId="3">
      <formula>AND(IF(OR($Q21=1,$Q21=2),1,0),IF($X21&lt;=20,1,0))</formula>
    </cfRule>
    <cfRule type="expression" priority="411" dxfId="2">
      <formula>AND(IF($Q21=2,1,0),IF($X21&lt;30,1,0))</formula>
    </cfRule>
    <cfRule type="expression" priority="412" dxfId="1">
      <formula>AND(IF($Q21=3,1,0),IF($X21&lt;30,1,0))</formula>
    </cfRule>
    <cfRule type="expression" priority="413" dxfId="0">
      <formula>AND(IF($Q21=3,1,IF($Q21=4,1,0)),IF($F21&lt;=85,1,0))</formula>
    </cfRule>
  </conditionalFormatting>
  <conditionalFormatting sqref="AI21">
    <cfRule type="expression" priority="406" dxfId="3">
      <formula>AND(IF(OR($Q21=1,$Q21=2),1,0),IF($X21&lt;=20,1,0))</formula>
    </cfRule>
    <cfRule type="expression" priority="407" dxfId="2">
      <formula>AND(IF($Q21=2,1,0),IF($X21&lt;30,1,0))</formula>
    </cfRule>
    <cfRule type="expression" priority="408" dxfId="1">
      <formula>AND(IF($Q21=3,1,0),IF($X21&lt;30,1,0))</formula>
    </cfRule>
    <cfRule type="expression" priority="409" dxfId="0">
      <formula>AND(IF($Q21=3,1,IF($Q21=4,1,0)),IF($F21&lt;=85,1,0))</formula>
    </cfRule>
  </conditionalFormatting>
  <conditionalFormatting sqref="AV22">
    <cfRule type="expression" priority="404" dxfId="17">
      <formula>AV22="X"</formula>
    </cfRule>
    <cfRule type="expression" priority="405" dxfId="16">
      <formula>AV22="후보"</formula>
    </cfRule>
  </conditionalFormatting>
  <conditionalFormatting sqref="AC2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2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X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I22">
    <cfRule type="expression" priority="387" dxfId="3">
      <formula>AND(IF(OR($Q22=1,$Q22=2),1,0),IF($X22&lt;=20,1,0))</formula>
    </cfRule>
    <cfRule type="expression" priority="388" dxfId="2">
      <formula>AND(IF($Q22=2,1,0),IF($X22&lt;30,1,0))</formula>
    </cfRule>
    <cfRule type="expression" priority="389" dxfId="1">
      <formula>AND(IF($Q22=3,1,0),IF($X22&lt;30,1,0))</formula>
    </cfRule>
    <cfRule type="expression" priority="390" dxfId="0">
      <formula>AND(IF($Q22=3,1,IF($Q22=4,1,0)),IF($F22&lt;=85,1,0))</formula>
    </cfRule>
  </conditionalFormatting>
  <conditionalFormatting sqref="AV23">
    <cfRule type="expression" priority="385" dxfId="17">
      <formula>AV23="X"</formula>
    </cfRule>
    <cfRule type="expression" priority="386" dxfId="16">
      <formula>AV23="후보"</formula>
    </cfRule>
  </conditionalFormatting>
  <conditionalFormatting sqref="AC23 N23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24">
    <cfRule type="expression" priority="380" dxfId="17">
      <formula>AV24="X"</formula>
    </cfRule>
    <cfRule type="expression" priority="381" dxfId="16">
      <formula>AV24="후보"</formula>
    </cfRule>
  </conditionalFormatting>
  <conditionalFormatting sqref="AC24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4">
    <cfRule type="expression" priority="371" dxfId="3">
      <formula>AND(IF(OR($Q24=1,$Q24=2),1,0),IF($X24&lt;=20,1,0))</formula>
    </cfRule>
    <cfRule type="expression" priority="372" dxfId="2">
      <formula>AND(IF($Q24=2,1,0),IF($X24&lt;30,1,0))</formula>
    </cfRule>
    <cfRule type="expression" priority="373" dxfId="1">
      <formula>AND(IF($Q24=3,1,0),IF($X24&lt;30,1,0))</formula>
    </cfRule>
    <cfRule type="expression" priority="374" dxfId="0">
      <formula>AND(IF($Q24=3,1,IF($Q24=4,1,0)),IF($F24&lt;=85,1,0))</formula>
    </cfRule>
  </conditionalFormatting>
  <conditionalFormatting sqref="X24">
    <cfRule type="expression" priority="367" dxfId="3">
      <formula>AND(IF(OR($Q24=1,$Q24=2),1,0),IF($X24&lt;=20,1,0))</formula>
    </cfRule>
    <cfRule type="expression" priority="368" dxfId="2">
      <formula>AND(IF($Q24=2,1,0),IF($X24&lt;30,1,0))</formula>
    </cfRule>
    <cfRule type="expression" priority="369" dxfId="1">
      <formula>AND(IF($Q24=3,1,0),IF($X24&lt;30,1,0))</formula>
    </cfRule>
    <cfRule type="expression" priority="370" dxfId="0">
      <formula>AND(IF($Q24=3,1,IF($Q24=4,1,0)),IF($F24&lt;=85,1,0))</formula>
    </cfRule>
  </conditionalFormatting>
  <conditionalFormatting sqref="AI24">
    <cfRule type="expression" priority="363" dxfId="3">
      <formula>AND(IF(OR($Q24=1,$Q24=2),1,0),IF($X24&lt;=20,1,0))</formula>
    </cfRule>
    <cfRule type="expression" priority="364" dxfId="2">
      <formula>AND(IF($Q24=2,1,0),IF($X24&lt;30,1,0))</formula>
    </cfRule>
    <cfRule type="expression" priority="365" dxfId="1">
      <formula>AND(IF($Q24=3,1,0),IF($X24&lt;30,1,0))</formula>
    </cfRule>
    <cfRule type="expression" priority="366" dxfId="0">
      <formula>AND(IF($Q24=3,1,IF($Q24=4,1,0)),IF($F24&lt;=85,1,0))</formula>
    </cfRule>
  </conditionalFormatting>
  <conditionalFormatting sqref="AV25">
    <cfRule type="expression" priority="361" dxfId="17">
      <formula>AV25="X"</formula>
    </cfRule>
    <cfRule type="expression" priority="362" dxfId="16">
      <formula>AV25="후보"</formula>
    </cfRule>
  </conditionalFormatting>
  <conditionalFormatting sqref="AC25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25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25">
    <cfRule type="expression" priority="352" dxfId="3">
      <formula>AND(IF(OR($Q25=1,$Q25=2),1,0),IF($X25&lt;=20,1,0))</formula>
    </cfRule>
    <cfRule type="expression" priority="353" dxfId="2">
      <formula>AND(IF($Q25=2,1,0),IF($X25&lt;30,1,0))</formula>
    </cfRule>
    <cfRule type="expression" priority="354" dxfId="1">
      <formula>AND(IF($Q25=3,1,0),IF($X25&lt;30,1,0))</formula>
    </cfRule>
    <cfRule type="expression" priority="355" dxfId="0">
      <formula>AND(IF($Q25=3,1,IF($Q25=4,1,0)),IF($F25&lt;=85,1,0))</formula>
    </cfRule>
  </conditionalFormatting>
  <conditionalFormatting sqref="X25">
    <cfRule type="expression" priority="348" dxfId="3">
      <formula>AND(IF(OR($Q25=1,$Q25=2),1,0),IF($X25&lt;=20,1,0))</formula>
    </cfRule>
    <cfRule type="expression" priority="349" dxfId="2">
      <formula>AND(IF($Q25=2,1,0),IF($X25&lt;30,1,0))</formula>
    </cfRule>
    <cfRule type="expression" priority="350" dxfId="1">
      <formula>AND(IF($Q25=3,1,0),IF($X25&lt;30,1,0))</formula>
    </cfRule>
    <cfRule type="expression" priority="351" dxfId="0">
      <formula>AND(IF($Q25=3,1,IF($Q25=4,1,0)),IF($F25&lt;=85,1,0))</formula>
    </cfRule>
  </conditionalFormatting>
  <conditionalFormatting sqref="AI25">
    <cfRule type="expression" priority="344" dxfId="3">
      <formula>AND(IF(OR($Q25=1,$Q25=2),1,0),IF($X25&lt;=20,1,0))</formula>
    </cfRule>
    <cfRule type="expression" priority="345" dxfId="2">
      <formula>AND(IF($Q25=2,1,0),IF($X25&lt;30,1,0))</formula>
    </cfRule>
    <cfRule type="expression" priority="346" dxfId="1">
      <formula>AND(IF($Q25=3,1,0),IF($X25&lt;30,1,0))</formula>
    </cfRule>
    <cfRule type="expression" priority="347" dxfId="0">
      <formula>AND(IF($Q25=3,1,IF($Q25=4,1,0)),IF($F25&lt;=85,1,0))</formula>
    </cfRule>
  </conditionalFormatting>
  <conditionalFormatting sqref="AV26">
    <cfRule type="expression" priority="342" dxfId="17">
      <formula>AV26="X"</formula>
    </cfRule>
    <cfRule type="expression" priority="343" dxfId="16">
      <formula>AV26="후보"</formula>
    </cfRule>
  </conditionalFormatting>
  <conditionalFormatting sqref="AC2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6">
    <cfRule type="expression" priority="333" dxfId="3">
      <formula>AND(IF(OR($Q26=1,$Q26=2),1,0),IF($X26&lt;=20,1,0))</formula>
    </cfRule>
    <cfRule type="expression" priority="334" dxfId="2">
      <formula>AND(IF($Q26=2,1,0),IF($X26&lt;30,1,0))</formula>
    </cfRule>
    <cfRule type="expression" priority="335" dxfId="1">
      <formula>AND(IF($Q26=3,1,0),IF($X26&lt;30,1,0))</formula>
    </cfRule>
    <cfRule type="expression" priority="336" dxfId="0">
      <formula>AND(IF($Q26=3,1,IF($Q26=4,1,0)),IF($F26&lt;=85,1,0))</formula>
    </cfRule>
  </conditionalFormatting>
  <conditionalFormatting sqref="X26">
    <cfRule type="expression" priority="329" dxfId="3">
      <formula>AND(IF(OR($Q26=1,$Q26=2),1,0),IF($X26&lt;=20,1,0))</formula>
    </cfRule>
    <cfRule type="expression" priority="330" dxfId="2">
      <formula>AND(IF($Q26=2,1,0),IF($X26&lt;30,1,0))</formula>
    </cfRule>
    <cfRule type="expression" priority="331" dxfId="1">
      <formula>AND(IF($Q26=3,1,0),IF($X26&lt;30,1,0))</formula>
    </cfRule>
    <cfRule type="expression" priority="332" dxfId="0">
      <formula>AND(IF($Q26=3,1,IF($Q26=4,1,0)),IF($F26&lt;=85,1,0))</formula>
    </cfRule>
  </conditionalFormatting>
  <conditionalFormatting sqref="AI26">
    <cfRule type="expression" priority="325" dxfId="3">
      <formula>AND(IF(OR($Q26=1,$Q26=2),1,0),IF($X26&lt;=20,1,0))</formula>
    </cfRule>
    <cfRule type="expression" priority="326" dxfId="2">
      <formula>AND(IF($Q26=2,1,0),IF($X26&lt;30,1,0))</formula>
    </cfRule>
    <cfRule type="expression" priority="327" dxfId="1">
      <formula>AND(IF($Q26=3,1,0),IF($X26&lt;30,1,0))</formula>
    </cfRule>
    <cfRule type="expression" priority="328" dxfId="0">
      <formula>AND(IF($Q26=3,1,IF($Q26=4,1,0)),IF($F26&lt;=85,1,0))</formula>
    </cfRule>
  </conditionalFormatting>
  <conditionalFormatting sqref="AV27">
    <cfRule type="expression" priority="323" dxfId="17">
      <formula>AV27="X"</formula>
    </cfRule>
    <cfRule type="expression" priority="324" dxfId="16">
      <formula>AV27="후보"</formula>
    </cfRule>
  </conditionalFormatting>
  <conditionalFormatting sqref="AC27 N2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28">
    <cfRule type="expression" priority="318" dxfId="17">
      <formula>AV28="X"</formula>
    </cfRule>
    <cfRule type="expression" priority="319" dxfId="16">
      <formula>AV28="후보"</formula>
    </cfRule>
  </conditionalFormatting>
  <conditionalFormatting sqref="AC2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2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28">
    <cfRule type="expression" priority="309" dxfId="3">
      <formula>AND(IF(OR($Q28=1,$Q28=2),1,0),IF($X28&lt;=20,1,0))</formula>
    </cfRule>
    <cfRule type="expression" priority="310" dxfId="2">
      <formula>AND(IF($Q28=2,1,0),IF($X28&lt;30,1,0))</formula>
    </cfRule>
    <cfRule type="expression" priority="311" dxfId="1">
      <formula>AND(IF($Q28=3,1,0),IF($X28&lt;30,1,0))</formula>
    </cfRule>
    <cfRule type="expression" priority="312" dxfId="0">
      <formula>AND(IF($Q28=3,1,IF($Q28=4,1,0)),IF($F28&lt;=85,1,0))</formula>
    </cfRule>
  </conditionalFormatting>
  <conditionalFormatting sqref="X28">
    <cfRule type="expression" priority="305" dxfId="3">
      <formula>AND(IF(OR($Q28=1,$Q28=2),1,0),IF($X28&lt;=20,1,0))</formula>
    </cfRule>
    <cfRule type="expression" priority="306" dxfId="2">
      <formula>AND(IF($Q28=2,1,0),IF($X28&lt;30,1,0))</formula>
    </cfRule>
    <cfRule type="expression" priority="307" dxfId="1">
      <formula>AND(IF($Q28=3,1,0),IF($X28&lt;30,1,0))</formula>
    </cfRule>
    <cfRule type="expression" priority="308" dxfId="0">
      <formula>AND(IF($Q28=3,1,IF($Q28=4,1,0)),IF($F28&lt;=85,1,0))</formula>
    </cfRule>
  </conditionalFormatting>
  <conditionalFormatting sqref="AI28">
    <cfRule type="expression" priority="301" dxfId="3">
      <formula>AND(IF(OR($Q28=1,$Q28=2),1,0),IF($X28&lt;=20,1,0))</formula>
    </cfRule>
    <cfRule type="expression" priority="302" dxfId="2">
      <formula>AND(IF($Q28=2,1,0),IF($X28&lt;30,1,0))</formula>
    </cfRule>
    <cfRule type="expression" priority="303" dxfId="1">
      <formula>AND(IF($Q28=3,1,0),IF($X28&lt;30,1,0))</formula>
    </cfRule>
    <cfRule type="expression" priority="304" dxfId="0">
      <formula>AND(IF($Q28=3,1,IF($Q28=4,1,0)),IF($F28&lt;=85,1,0))</formula>
    </cfRule>
  </conditionalFormatting>
  <conditionalFormatting sqref="AV29">
    <cfRule type="expression" priority="299" dxfId="17">
      <formula>AV29="X"</formula>
    </cfRule>
    <cfRule type="expression" priority="300" dxfId="16">
      <formula>AV29="후보"</formula>
    </cfRule>
  </conditionalFormatting>
  <conditionalFormatting sqref="AC2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29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29">
    <cfRule type="expression" priority="290" dxfId="3">
      <formula>AND(IF(OR($Q29=1,$Q29=2),1,0),IF($X29&lt;=20,1,0))</formula>
    </cfRule>
    <cfRule type="expression" priority="291" dxfId="2">
      <formula>AND(IF($Q29=2,1,0),IF($X29&lt;30,1,0))</formula>
    </cfRule>
    <cfRule type="expression" priority="292" dxfId="1">
      <formula>AND(IF($Q29=3,1,0),IF($X29&lt;30,1,0))</formula>
    </cfRule>
    <cfRule type="expression" priority="293" dxfId="0">
      <formula>AND(IF($Q29=3,1,IF($Q29=4,1,0)),IF($F29&lt;=85,1,0))</formula>
    </cfRule>
  </conditionalFormatting>
  <conditionalFormatting sqref="X29">
    <cfRule type="expression" priority="286" dxfId="3">
      <formula>AND(IF(OR($Q29=1,$Q29=2),1,0),IF($X29&lt;=20,1,0))</formula>
    </cfRule>
    <cfRule type="expression" priority="287" dxfId="2">
      <formula>AND(IF($Q29=2,1,0),IF($X29&lt;30,1,0))</formula>
    </cfRule>
    <cfRule type="expression" priority="288" dxfId="1">
      <formula>AND(IF($Q29=3,1,0),IF($X29&lt;30,1,0))</formula>
    </cfRule>
    <cfRule type="expression" priority="289" dxfId="0">
      <formula>AND(IF($Q29=3,1,IF($Q29=4,1,0)),IF($F29&lt;=85,1,0))</formula>
    </cfRule>
  </conditionalFormatting>
  <conditionalFormatting sqref="AI29">
    <cfRule type="expression" priority="282" dxfId="3">
      <formula>AND(IF(OR($Q29=1,$Q29=2),1,0),IF($X29&lt;=20,1,0))</formula>
    </cfRule>
    <cfRule type="expression" priority="283" dxfId="2">
      <formula>AND(IF($Q29=2,1,0),IF($X29&lt;30,1,0))</formula>
    </cfRule>
    <cfRule type="expression" priority="284" dxfId="1">
      <formula>AND(IF($Q29=3,1,0),IF($X29&lt;30,1,0))</formula>
    </cfRule>
    <cfRule type="expression" priority="285" dxfId="0">
      <formula>AND(IF($Q29=3,1,IF($Q29=4,1,0)),IF($F29&lt;=85,1,0))</formula>
    </cfRule>
  </conditionalFormatting>
  <conditionalFormatting sqref="AV30">
    <cfRule type="expression" priority="280" dxfId="17">
      <formula>AV30="X"</formula>
    </cfRule>
    <cfRule type="expression" priority="281" dxfId="16">
      <formula>AV30="후보"</formula>
    </cfRule>
  </conditionalFormatting>
  <conditionalFormatting sqref="AC3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30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30">
    <cfRule type="expression" priority="271" dxfId="3">
      <formula>AND(IF(OR($Q30=1,$Q30=2),1,0),IF($X30&lt;=20,1,0))</formula>
    </cfRule>
    <cfRule type="expression" priority="272" dxfId="2">
      <formula>AND(IF($Q30=2,1,0),IF($X30&lt;30,1,0))</formula>
    </cfRule>
    <cfRule type="expression" priority="273" dxfId="1">
      <formula>AND(IF($Q30=3,1,0),IF($X30&lt;30,1,0))</formula>
    </cfRule>
    <cfRule type="expression" priority="274" dxfId="0">
      <formula>AND(IF($Q30=3,1,IF($Q30=4,1,0)),IF($F30&lt;=85,1,0))</formula>
    </cfRule>
  </conditionalFormatting>
  <conditionalFormatting sqref="X30">
    <cfRule type="expression" priority="267" dxfId="3">
      <formula>AND(IF(OR($Q30=1,$Q30=2),1,0),IF($X30&lt;=20,1,0))</formula>
    </cfRule>
    <cfRule type="expression" priority="268" dxfId="2">
      <formula>AND(IF($Q30=2,1,0),IF($X30&lt;30,1,0))</formula>
    </cfRule>
    <cfRule type="expression" priority="269" dxfId="1">
      <formula>AND(IF($Q30=3,1,0),IF($X30&lt;30,1,0))</formula>
    </cfRule>
    <cfRule type="expression" priority="270" dxfId="0">
      <formula>AND(IF($Q30=3,1,IF($Q30=4,1,0)),IF($F30&lt;=85,1,0))</formula>
    </cfRule>
  </conditionalFormatting>
  <conditionalFormatting sqref="AI30">
    <cfRule type="expression" priority="263" dxfId="3">
      <formula>AND(IF(OR($Q30=1,$Q30=2),1,0),IF($X30&lt;=20,1,0))</formula>
    </cfRule>
    <cfRule type="expression" priority="264" dxfId="2">
      <formula>AND(IF($Q30=2,1,0),IF($X30&lt;30,1,0))</formula>
    </cfRule>
    <cfRule type="expression" priority="265" dxfId="1">
      <formula>AND(IF($Q30=3,1,0),IF($X30&lt;30,1,0))</formula>
    </cfRule>
    <cfRule type="expression" priority="266" dxfId="0">
      <formula>AND(IF($Q30=3,1,IF($Q30=4,1,0)),IF($F30&lt;=85,1,0))</formula>
    </cfRule>
  </conditionalFormatting>
  <conditionalFormatting sqref="AV31">
    <cfRule type="expression" priority="261" dxfId="17">
      <formula>AV31="X"</formula>
    </cfRule>
    <cfRule type="expression" priority="262" dxfId="16">
      <formula>AV31="후보"</formula>
    </cfRule>
  </conditionalFormatting>
  <conditionalFormatting sqref="AC3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1">
    <cfRule type="expression" priority="252" dxfId="3">
      <formula>AND(IF(OR($Q31=1,$Q31=2),1,0),IF($X31&lt;=20,1,0))</formula>
    </cfRule>
    <cfRule type="expression" priority="253" dxfId="2">
      <formula>AND(IF($Q31=2,1,0),IF($X31&lt;30,1,0))</formula>
    </cfRule>
    <cfRule type="expression" priority="254" dxfId="1">
      <formula>AND(IF($Q31=3,1,0),IF($X31&lt;30,1,0))</formula>
    </cfRule>
    <cfRule type="expression" priority="255" dxfId="0">
      <formula>AND(IF($Q31=3,1,IF($Q31=4,1,0)),IF($F31&lt;=85,1,0))</formula>
    </cfRule>
  </conditionalFormatting>
  <conditionalFormatting sqref="X31">
    <cfRule type="expression" priority="248" dxfId="3">
      <formula>AND(IF(OR($Q31=1,$Q31=2),1,0),IF($X31&lt;=20,1,0))</formula>
    </cfRule>
    <cfRule type="expression" priority="249" dxfId="2">
      <formula>AND(IF($Q31=2,1,0),IF($X31&lt;30,1,0))</formula>
    </cfRule>
    <cfRule type="expression" priority="250" dxfId="1">
      <formula>AND(IF($Q31=3,1,0),IF($X31&lt;30,1,0))</formula>
    </cfRule>
    <cfRule type="expression" priority="251" dxfId="0">
      <formula>AND(IF($Q31=3,1,IF($Q31=4,1,0)),IF($F31&lt;=85,1,0))</formula>
    </cfRule>
  </conditionalFormatting>
  <conditionalFormatting sqref="AI31">
    <cfRule type="expression" priority="244" dxfId="3">
      <formula>AND(IF(OR($Q31=1,$Q31=2),1,0),IF($X31&lt;=20,1,0))</formula>
    </cfRule>
    <cfRule type="expression" priority="245" dxfId="2">
      <formula>AND(IF($Q31=2,1,0),IF($X31&lt;30,1,0))</formula>
    </cfRule>
    <cfRule type="expression" priority="246" dxfId="1">
      <formula>AND(IF($Q31=3,1,0),IF($X31&lt;30,1,0))</formula>
    </cfRule>
    <cfRule type="expression" priority="247" dxfId="0">
      <formula>AND(IF($Q31=3,1,IF($Q31=4,1,0)),IF($F31&lt;=85,1,0))</formula>
    </cfRule>
  </conditionalFormatting>
  <conditionalFormatting sqref="AV32">
    <cfRule type="expression" priority="242" dxfId="17">
      <formula>AV32="X"</formula>
    </cfRule>
    <cfRule type="expression" priority="243" dxfId="16">
      <formula>AV32="후보"</formula>
    </cfRule>
  </conditionalFormatting>
  <conditionalFormatting sqref="AC3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2">
    <cfRule type="expression" priority="233" dxfId="3">
      <formula>AND(IF(OR($Q32=1,$Q32=2),1,0),IF($X32&lt;=20,1,0))</formula>
    </cfRule>
    <cfRule type="expression" priority="234" dxfId="2">
      <formula>AND(IF($Q32=2,1,0),IF($X32&lt;30,1,0))</formula>
    </cfRule>
    <cfRule type="expression" priority="235" dxfId="1">
      <formula>AND(IF($Q32=3,1,0),IF($X32&lt;30,1,0))</formula>
    </cfRule>
    <cfRule type="expression" priority="236" dxfId="0">
      <formula>AND(IF($Q32=3,1,IF($Q32=4,1,0)),IF($F32&lt;=85,1,0))</formula>
    </cfRule>
  </conditionalFormatting>
  <conditionalFormatting sqref="X32">
    <cfRule type="expression" priority="229" dxfId="3">
      <formula>AND(IF(OR($Q32=1,$Q32=2),1,0),IF($X32&lt;=20,1,0))</formula>
    </cfRule>
    <cfRule type="expression" priority="230" dxfId="2">
      <formula>AND(IF($Q32=2,1,0),IF($X32&lt;30,1,0))</formula>
    </cfRule>
    <cfRule type="expression" priority="231" dxfId="1">
      <formula>AND(IF($Q32=3,1,0),IF($X32&lt;30,1,0))</formula>
    </cfRule>
    <cfRule type="expression" priority="232" dxfId="0">
      <formula>AND(IF($Q32=3,1,IF($Q32=4,1,0)),IF($F32&lt;=85,1,0))</formula>
    </cfRule>
  </conditionalFormatting>
  <conditionalFormatting sqref="AI32">
    <cfRule type="expression" priority="225" dxfId="3">
      <formula>AND(IF(OR($Q32=1,$Q32=2),1,0),IF($X32&lt;=20,1,0))</formula>
    </cfRule>
    <cfRule type="expression" priority="226" dxfId="2">
      <formula>AND(IF($Q32=2,1,0),IF($X32&lt;30,1,0))</formula>
    </cfRule>
    <cfRule type="expression" priority="227" dxfId="1">
      <formula>AND(IF($Q32=3,1,0),IF($X32&lt;30,1,0))</formula>
    </cfRule>
    <cfRule type="expression" priority="228" dxfId="0">
      <formula>AND(IF($Q32=3,1,IF($Q32=4,1,0)),IF($F32&lt;=85,1,0))</formula>
    </cfRule>
  </conditionalFormatting>
  <conditionalFormatting sqref="AV33">
    <cfRule type="expression" priority="223" dxfId="17">
      <formula>AV33="X"</formula>
    </cfRule>
    <cfRule type="expression" priority="224" dxfId="16">
      <formula>AV33="후보"</formula>
    </cfRule>
  </conditionalFormatting>
  <conditionalFormatting sqref="AC3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33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33">
    <cfRule type="expression" priority="214" dxfId="3">
      <formula>AND(IF(OR($Q33=1,$Q33=2),1,0),IF($X33&lt;=20,1,0))</formula>
    </cfRule>
    <cfRule type="expression" priority="215" dxfId="2">
      <formula>AND(IF($Q33=2,1,0),IF($X33&lt;30,1,0))</formula>
    </cfRule>
    <cfRule type="expression" priority="216" dxfId="1">
      <formula>AND(IF($Q33=3,1,0),IF($X33&lt;30,1,0))</formula>
    </cfRule>
    <cfRule type="expression" priority="217" dxfId="0">
      <formula>AND(IF($Q33=3,1,IF($Q33=4,1,0)),IF($F33&lt;=85,1,0))</formula>
    </cfRule>
  </conditionalFormatting>
  <conditionalFormatting sqref="X33">
    <cfRule type="expression" priority="210" dxfId="3">
      <formula>AND(IF(OR($Q33=1,$Q33=2),1,0),IF($X33&lt;=20,1,0))</formula>
    </cfRule>
    <cfRule type="expression" priority="211" dxfId="2">
      <formula>AND(IF($Q33=2,1,0),IF($X33&lt;30,1,0))</formula>
    </cfRule>
    <cfRule type="expression" priority="212" dxfId="1">
      <formula>AND(IF($Q33=3,1,0),IF($X33&lt;30,1,0))</formula>
    </cfRule>
    <cfRule type="expression" priority="213" dxfId="0">
      <formula>AND(IF($Q33=3,1,IF($Q33=4,1,0)),IF($F33&lt;=85,1,0))</formula>
    </cfRule>
  </conditionalFormatting>
  <conditionalFormatting sqref="AI33">
    <cfRule type="expression" priority="206" dxfId="3">
      <formula>AND(IF(OR($Q33=1,$Q33=2),1,0),IF($X33&lt;=20,1,0))</formula>
    </cfRule>
    <cfRule type="expression" priority="207" dxfId="2">
      <formula>AND(IF($Q33=2,1,0),IF($X33&lt;30,1,0))</formula>
    </cfRule>
    <cfRule type="expression" priority="208" dxfId="1">
      <formula>AND(IF($Q33=3,1,0),IF($X33&lt;30,1,0))</formula>
    </cfRule>
    <cfRule type="expression" priority="209" dxfId="0">
      <formula>AND(IF($Q33=3,1,IF($Q33=4,1,0)),IF($F33&lt;=85,1,0))</formula>
    </cfRule>
  </conditionalFormatting>
  <conditionalFormatting sqref="AV34">
    <cfRule type="expression" priority="204" dxfId="17">
      <formula>AV34="X"</formula>
    </cfRule>
    <cfRule type="expression" priority="205" dxfId="16">
      <formula>AV34="후보"</formula>
    </cfRule>
  </conditionalFormatting>
  <conditionalFormatting sqref="AC3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34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34">
    <cfRule type="expression" priority="195" dxfId="3">
      <formula>AND(IF(OR($Q34=1,$Q34=2),1,0),IF($X34&lt;=20,1,0))</formula>
    </cfRule>
    <cfRule type="expression" priority="196" dxfId="2">
      <formula>AND(IF($Q34=2,1,0),IF($X34&lt;30,1,0))</formula>
    </cfRule>
    <cfRule type="expression" priority="197" dxfId="1">
      <formula>AND(IF($Q34=3,1,0),IF($X34&lt;30,1,0))</formula>
    </cfRule>
    <cfRule type="expression" priority="198" dxfId="0">
      <formula>AND(IF($Q34=3,1,IF($Q34=4,1,0)),IF($F34&lt;=85,1,0))</formula>
    </cfRule>
  </conditionalFormatting>
  <conditionalFormatting sqref="X34">
    <cfRule type="expression" priority="191" dxfId="3">
      <formula>AND(IF(OR($Q34=1,$Q34=2),1,0),IF($X34&lt;=20,1,0))</formula>
    </cfRule>
    <cfRule type="expression" priority="192" dxfId="2">
      <formula>AND(IF($Q34=2,1,0),IF($X34&lt;30,1,0))</formula>
    </cfRule>
    <cfRule type="expression" priority="193" dxfId="1">
      <formula>AND(IF($Q34=3,1,0),IF($X34&lt;30,1,0))</formula>
    </cfRule>
    <cfRule type="expression" priority="194" dxfId="0">
      <formula>AND(IF($Q34=3,1,IF($Q34=4,1,0)),IF($F34&lt;=85,1,0))</formula>
    </cfRule>
  </conditionalFormatting>
  <conditionalFormatting sqref="AI34">
    <cfRule type="expression" priority="187" dxfId="3">
      <formula>AND(IF(OR($Q34=1,$Q34=2),1,0),IF($X34&lt;=20,1,0))</formula>
    </cfRule>
    <cfRule type="expression" priority="188" dxfId="2">
      <formula>AND(IF($Q34=2,1,0),IF($X34&lt;30,1,0))</formula>
    </cfRule>
    <cfRule type="expression" priority="189" dxfId="1">
      <formula>AND(IF($Q34=3,1,0),IF($X34&lt;30,1,0))</formula>
    </cfRule>
    <cfRule type="expression" priority="190" dxfId="0">
      <formula>AND(IF($Q34=3,1,IF($Q34=4,1,0)),IF($F34&lt;=85,1,0))</formula>
    </cfRule>
  </conditionalFormatting>
  <conditionalFormatting sqref="AV35">
    <cfRule type="expression" priority="185" dxfId="17">
      <formula>AV35="X"</formula>
    </cfRule>
    <cfRule type="expression" priority="186" dxfId="16">
      <formula>AV35="후보"</formula>
    </cfRule>
  </conditionalFormatting>
  <conditionalFormatting sqref="AC35 N3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36">
    <cfRule type="expression" priority="180" dxfId="17">
      <formula>AV36="X"</formula>
    </cfRule>
    <cfRule type="expression" priority="181" dxfId="16">
      <formula>AV36="후보"</formula>
    </cfRule>
  </conditionalFormatting>
  <conditionalFormatting sqref="AC3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6">
    <cfRule type="expression" priority="171" dxfId="3">
      <formula>AND(IF(OR($Q36=1,$Q36=2),1,0),IF($X36&lt;=20,1,0))</formula>
    </cfRule>
    <cfRule type="expression" priority="172" dxfId="2">
      <formula>AND(IF($Q36=2,1,0),IF($X36&lt;30,1,0))</formula>
    </cfRule>
    <cfRule type="expression" priority="173" dxfId="1">
      <formula>AND(IF($Q36=3,1,0),IF($X36&lt;30,1,0))</formula>
    </cfRule>
    <cfRule type="expression" priority="174" dxfId="0">
      <formula>AND(IF($Q36=3,1,IF($Q36=4,1,0)),IF($F36&lt;=85,1,0))</formula>
    </cfRule>
  </conditionalFormatting>
  <conditionalFormatting sqref="X36">
    <cfRule type="expression" priority="167" dxfId="3">
      <formula>AND(IF(OR($Q36=1,$Q36=2),1,0),IF($X36&lt;=20,1,0))</formula>
    </cfRule>
    <cfRule type="expression" priority="168" dxfId="2">
      <formula>AND(IF($Q36=2,1,0),IF($X36&lt;30,1,0))</formula>
    </cfRule>
    <cfRule type="expression" priority="169" dxfId="1">
      <formula>AND(IF($Q36=3,1,0),IF($X36&lt;30,1,0))</formula>
    </cfRule>
    <cfRule type="expression" priority="170" dxfId="0">
      <formula>AND(IF($Q36=3,1,IF($Q36=4,1,0)),IF($F36&lt;=85,1,0))</formula>
    </cfRule>
  </conditionalFormatting>
  <conditionalFormatting sqref="AI36">
    <cfRule type="expression" priority="163" dxfId="3">
      <formula>AND(IF(OR($Q36=1,$Q36=2),1,0),IF($X36&lt;=20,1,0))</formula>
    </cfRule>
    <cfRule type="expression" priority="164" dxfId="2">
      <formula>AND(IF($Q36=2,1,0),IF($X36&lt;30,1,0))</formula>
    </cfRule>
    <cfRule type="expression" priority="165" dxfId="1">
      <formula>AND(IF($Q36=3,1,0),IF($X36&lt;30,1,0))</formula>
    </cfRule>
    <cfRule type="expression" priority="166" dxfId="0">
      <formula>AND(IF($Q36=3,1,IF($Q36=4,1,0)),IF($F36&lt;=85,1,0))</formula>
    </cfRule>
  </conditionalFormatting>
  <conditionalFormatting sqref="AV37">
    <cfRule type="expression" priority="161" dxfId="17">
      <formula>AV37="X"</formula>
    </cfRule>
    <cfRule type="expression" priority="162" dxfId="16">
      <formula>AV37="후보"</formula>
    </cfRule>
  </conditionalFormatting>
  <conditionalFormatting sqref="AC3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37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37">
    <cfRule type="expression" priority="152" dxfId="3">
      <formula>AND(IF(OR($Q37=1,$Q37=2),1,0),IF($X37&lt;=20,1,0))</formula>
    </cfRule>
    <cfRule type="expression" priority="153" dxfId="2">
      <formula>AND(IF($Q37=2,1,0),IF($X37&lt;30,1,0))</formula>
    </cfRule>
    <cfRule type="expression" priority="154" dxfId="1">
      <formula>AND(IF($Q37=3,1,0),IF($X37&lt;30,1,0))</formula>
    </cfRule>
    <cfRule type="expression" priority="155" dxfId="0">
      <formula>AND(IF($Q37=3,1,IF($Q37=4,1,0)),IF($F37&lt;=85,1,0))</formula>
    </cfRule>
  </conditionalFormatting>
  <conditionalFormatting sqref="X37">
    <cfRule type="expression" priority="148" dxfId="3">
      <formula>AND(IF(OR($Q37=1,$Q37=2),1,0),IF($X37&lt;=20,1,0))</formula>
    </cfRule>
    <cfRule type="expression" priority="149" dxfId="2">
      <formula>AND(IF($Q37=2,1,0),IF($X37&lt;30,1,0))</formula>
    </cfRule>
    <cfRule type="expression" priority="150" dxfId="1">
      <formula>AND(IF($Q37=3,1,0),IF($X37&lt;30,1,0))</formula>
    </cfRule>
    <cfRule type="expression" priority="151" dxfId="0">
      <formula>AND(IF($Q37=3,1,IF($Q37=4,1,0)),IF($F37&lt;=85,1,0))</formula>
    </cfRule>
  </conditionalFormatting>
  <conditionalFormatting sqref="AI37">
    <cfRule type="expression" priority="144" dxfId="3">
      <formula>AND(IF(OR($Q37=1,$Q37=2),1,0),IF($X37&lt;=20,1,0))</formula>
    </cfRule>
    <cfRule type="expression" priority="145" dxfId="2">
      <formula>AND(IF($Q37=2,1,0),IF($X37&lt;30,1,0))</formula>
    </cfRule>
    <cfRule type="expression" priority="146" dxfId="1">
      <formula>AND(IF($Q37=3,1,0),IF($X37&lt;30,1,0))</formula>
    </cfRule>
    <cfRule type="expression" priority="147" dxfId="0">
      <formula>AND(IF($Q37=3,1,IF($Q37=4,1,0)),IF($F37&lt;=85,1,0))</formula>
    </cfRule>
  </conditionalFormatting>
  <conditionalFormatting sqref="AV38">
    <cfRule type="expression" priority="142" dxfId="17">
      <formula>AV38="X"</formula>
    </cfRule>
    <cfRule type="expression" priority="143" dxfId="16">
      <formula>AV38="후보"</formula>
    </cfRule>
  </conditionalFormatting>
  <conditionalFormatting sqref="AC3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8">
    <cfRule type="expression" priority="133" dxfId="3">
      <formula>AND(IF(OR($Q38=1,$Q38=2),1,0),IF($X38&lt;=20,1,0))</formula>
    </cfRule>
    <cfRule type="expression" priority="134" dxfId="2">
      <formula>AND(IF($Q38=2,1,0),IF($X38&lt;30,1,0))</formula>
    </cfRule>
    <cfRule type="expression" priority="135" dxfId="1">
      <formula>AND(IF($Q38=3,1,0),IF($X38&lt;30,1,0))</formula>
    </cfRule>
    <cfRule type="expression" priority="136" dxfId="0">
      <formula>AND(IF($Q38=3,1,IF($Q38=4,1,0)),IF($F38&lt;=85,1,0))</formula>
    </cfRule>
  </conditionalFormatting>
  <conditionalFormatting sqref="X38">
    <cfRule type="expression" priority="129" dxfId="3">
      <formula>AND(IF(OR($Q38=1,$Q38=2),1,0),IF($X38&lt;=20,1,0))</formula>
    </cfRule>
    <cfRule type="expression" priority="130" dxfId="2">
      <formula>AND(IF($Q38=2,1,0),IF($X38&lt;30,1,0))</formula>
    </cfRule>
    <cfRule type="expression" priority="131" dxfId="1">
      <formula>AND(IF($Q38=3,1,0),IF($X38&lt;30,1,0))</formula>
    </cfRule>
    <cfRule type="expression" priority="132" dxfId="0">
      <formula>AND(IF($Q38=3,1,IF($Q38=4,1,0)),IF($F38&lt;=85,1,0))</formula>
    </cfRule>
  </conditionalFormatting>
  <conditionalFormatting sqref="AI38">
    <cfRule type="expression" priority="125" dxfId="3">
      <formula>AND(IF(OR($Q38=1,$Q38=2),1,0),IF($X38&lt;=20,1,0))</formula>
    </cfRule>
    <cfRule type="expression" priority="126" dxfId="2">
      <formula>AND(IF($Q38=2,1,0),IF($X38&lt;30,1,0))</formula>
    </cfRule>
    <cfRule type="expression" priority="127" dxfId="1">
      <formula>AND(IF($Q38=3,1,0),IF($X38&lt;30,1,0))</formula>
    </cfRule>
    <cfRule type="expression" priority="128" dxfId="0">
      <formula>AND(IF($Q38=3,1,IF($Q38=4,1,0)),IF($F38&lt;=85,1,0))</formula>
    </cfRule>
  </conditionalFormatting>
  <conditionalFormatting sqref="AV39">
    <cfRule type="expression" priority="123" dxfId="17">
      <formula>AV39="X"</formula>
    </cfRule>
    <cfRule type="expression" priority="124" dxfId="16">
      <formula>AV39="후보"</formula>
    </cfRule>
  </conditionalFormatting>
  <conditionalFormatting sqref="AC39 N3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40">
    <cfRule type="expression" priority="118" dxfId="17">
      <formula>AV40="X"</formula>
    </cfRule>
    <cfRule type="expression" priority="119" dxfId="16">
      <formula>AV40="후보"</formula>
    </cfRule>
  </conditionalFormatting>
  <conditionalFormatting sqref="AC4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0">
    <cfRule type="expression" priority="109" dxfId="3">
      <formula>AND(IF(OR($Q40=1,$Q40=2),1,0),IF($X40&lt;=20,1,0))</formula>
    </cfRule>
    <cfRule type="expression" priority="110" dxfId="2">
      <formula>AND(IF($Q40=2,1,0),IF($X40&lt;30,1,0))</formula>
    </cfRule>
    <cfRule type="expression" priority="111" dxfId="1">
      <formula>AND(IF($Q40=3,1,0),IF($X40&lt;30,1,0))</formula>
    </cfRule>
    <cfRule type="expression" priority="112" dxfId="0">
      <formula>AND(IF($Q40=3,1,IF($Q40=4,1,0)),IF($F40&lt;=85,1,0))</formula>
    </cfRule>
  </conditionalFormatting>
  <conditionalFormatting sqref="X40">
    <cfRule type="expression" priority="105" dxfId="3">
      <formula>AND(IF(OR($Q40=1,$Q40=2),1,0),IF($X40&lt;=20,1,0))</formula>
    </cfRule>
    <cfRule type="expression" priority="106" dxfId="2">
      <formula>AND(IF($Q40=2,1,0),IF($X40&lt;30,1,0))</formula>
    </cfRule>
    <cfRule type="expression" priority="107" dxfId="1">
      <formula>AND(IF($Q40=3,1,0),IF($X40&lt;30,1,0))</formula>
    </cfRule>
    <cfRule type="expression" priority="108" dxfId="0">
      <formula>AND(IF($Q40=3,1,IF($Q40=4,1,0)),IF($F40&lt;=85,1,0))</formula>
    </cfRule>
  </conditionalFormatting>
  <conditionalFormatting sqref="AI40">
    <cfRule type="expression" priority="101" dxfId="3">
      <formula>AND(IF(OR($Q40=1,$Q40=2),1,0),IF($X40&lt;=20,1,0))</formula>
    </cfRule>
    <cfRule type="expression" priority="102" dxfId="2">
      <formula>AND(IF($Q40=2,1,0),IF($X40&lt;30,1,0))</formula>
    </cfRule>
    <cfRule type="expression" priority="103" dxfId="1">
      <formula>AND(IF($Q40=3,1,0),IF($X40&lt;30,1,0))</formula>
    </cfRule>
    <cfRule type="expression" priority="104" dxfId="0">
      <formula>AND(IF($Q40=3,1,IF($Q40=4,1,0)),IF($F40&lt;=85,1,0))</formula>
    </cfRule>
  </conditionalFormatting>
  <conditionalFormatting sqref="AV41">
    <cfRule type="expression" priority="99" dxfId="17">
      <formula>AV41="X"</formula>
    </cfRule>
    <cfRule type="expression" priority="100" dxfId="16">
      <formula>AV41="후보"</formula>
    </cfRule>
  </conditionalFormatting>
  <conditionalFormatting sqref="AC4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1">
    <cfRule type="expression" priority="90" dxfId="3">
      <formula>AND(IF(OR($Q41=1,$Q41=2),1,0),IF($X41&lt;=20,1,0))</formula>
    </cfRule>
    <cfRule type="expression" priority="91" dxfId="2">
      <formula>AND(IF($Q41=2,1,0),IF($X41&lt;30,1,0))</formula>
    </cfRule>
    <cfRule type="expression" priority="92" dxfId="1">
      <formula>AND(IF($Q41=3,1,0),IF($X41&lt;30,1,0))</formula>
    </cfRule>
    <cfRule type="expression" priority="93" dxfId="0">
      <formula>AND(IF($Q41=3,1,IF($Q41=4,1,0)),IF($F41&lt;=85,1,0))</formula>
    </cfRule>
  </conditionalFormatting>
  <conditionalFormatting sqref="X41">
    <cfRule type="expression" priority="86" dxfId="3">
      <formula>AND(IF(OR($Q41=1,$Q41=2),1,0),IF($X41&lt;=20,1,0))</formula>
    </cfRule>
    <cfRule type="expression" priority="87" dxfId="2">
      <formula>AND(IF($Q41=2,1,0),IF($X41&lt;30,1,0))</formula>
    </cfRule>
    <cfRule type="expression" priority="88" dxfId="1">
      <formula>AND(IF($Q41=3,1,0),IF($X41&lt;30,1,0))</formula>
    </cfRule>
    <cfRule type="expression" priority="89" dxfId="0">
      <formula>AND(IF($Q41=3,1,IF($Q41=4,1,0)),IF($F41&lt;=85,1,0))</formula>
    </cfRule>
  </conditionalFormatting>
  <conditionalFormatting sqref="AI41">
    <cfRule type="expression" priority="82" dxfId="3">
      <formula>AND(IF(OR($Q41=1,$Q41=2),1,0),IF($X41&lt;=20,1,0))</formula>
    </cfRule>
    <cfRule type="expression" priority="83" dxfId="2">
      <formula>AND(IF($Q41=2,1,0),IF($X41&lt;30,1,0))</formula>
    </cfRule>
    <cfRule type="expression" priority="84" dxfId="1">
      <formula>AND(IF($Q41=3,1,0),IF($X41&lt;30,1,0))</formula>
    </cfRule>
    <cfRule type="expression" priority="85" dxfId="0">
      <formula>AND(IF($Q41=3,1,IF($Q41=4,1,0)),IF($F41&lt;=85,1,0))</formula>
    </cfRule>
  </conditionalFormatting>
  <conditionalFormatting sqref="AV42">
    <cfRule type="expression" priority="80" dxfId="17">
      <formula>AV42="X"</formula>
    </cfRule>
    <cfRule type="expression" priority="81" dxfId="16">
      <formula>AV42="후보"</formula>
    </cfRule>
  </conditionalFormatting>
  <conditionalFormatting sqref="AC42 N4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43">
    <cfRule type="expression" priority="75" dxfId="17">
      <formula>AV43="X"</formula>
    </cfRule>
    <cfRule type="expression" priority="76" dxfId="16">
      <formula>AV43="후보"</formula>
    </cfRule>
  </conditionalFormatting>
  <conditionalFormatting sqref="AC4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3">
    <cfRule type="expression" priority="66" dxfId="3">
      <formula>AND(IF(OR($Q43=1,$Q43=2),1,0),IF($X43&lt;=20,1,0))</formula>
    </cfRule>
    <cfRule type="expression" priority="67" dxfId="2">
      <formula>AND(IF($Q43=2,1,0),IF($X43&lt;30,1,0))</formula>
    </cfRule>
    <cfRule type="expression" priority="68" dxfId="1">
      <formula>AND(IF($Q43=3,1,0),IF($X43&lt;30,1,0))</formula>
    </cfRule>
    <cfRule type="expression" priority="69" dxfId="0">
      <formula>AND(IF($Q43=3,1,IF($Q43=4,1,0)),IF($F43&lt;=85,1,0))</formula>
    </cfRule>
  </conditionalFormatting>
  <conditionalFormatting sqref="X43">
    <cfRule type="expression" priority="62" dxfId="3">
      <formula>AND(IF(OR($Q43=1,$Q43=2),1,0),IF($X43&lt;=20,1,0))</formula>
    </cfRule>
    <cfRule type="expression" priority="63" dxfId="2">
      <formula>AND(IF($Q43=2,1,0),IF($X43&lt;30,1,0))</formula>
    </cfRule>
    <cfRule type="expression" priority="64" dxfId="1">
      <formula>AND(IF($Q43=3,1,0),IF($X43&lt;30,1,0))</formula>
    </cfRule>
    <cfRule type="expression" priority="65" dxfId="0">
      <formula>AND(IF($Q43=3,1,IF($Q43=4,1,0)),IF($F43&lt;=85,1,0))</formula>
    </cfRule>
  </conditionalFormatting>
  <conditionalFormatting sqref="AI43">
    <cfRule type="expression" priority="58" dxfId="3">
      <formula>AND(IF(OR($Q43=1,$Q43=2),1,0),IF($X43&lt;=20,1,0))</formula>
    </cfRule>
    <cfRule type="expression" priority="59" dxfId="2">
      <formula>AND(IF($Q43=2,1,0),IF($X43&lt;30,1,0))</formula>
    </cfRule>
    <cfRule type="expression" priority="60" dxfId="1">
      <formula>AND(IF($Q43=3,1,0),IF($X43&lt;30,1,0))</formula>
    </cfRule>
    <cfRule type="expression" priority="61" dxfId="0">
      <formula>AND(IF($Q43=3,1,IF($Q43=4,1,0)),IF($F43&lt;=85,1,0))</formula>
    </cfRule>
  </conditionalFormatting>
  <conditionalFormatting sqref="AV44">
    <cfRule type="expression" priority="56" dxfId="17">
      <formula>AV44="X"</formula>
    </cfRule>
    <cfRule type="expression" priority="57" dxfId="16">
      <formula>AV44="후보"</formula>
    </cfRule>
  </conditionalFormatting>
  <conditionalFormatting sqref="AC4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4">
    <cfRule type="expression" priority="47" dxfId="3">
      <formula>AND(IF(OR($Q44=1,$Q44=2),1,0),IF($X44&lt;=20,1,0))</formula>
    </cfRule>
    <cfRule type="expression" priority="48" dxfId="2">
      <formula>AND(IF($Q44=2,1,0),IF($X44&lt;30,1,0))</formula>
    </cfRule>
    <cfRule type="expression" priority="49" dxfId="1">
      <formula>AND(IF($Q44=3,1,0),IF($X44&lt;30,1,0))</formula>
    </cfRule>
    <cfRule type="expression" priority="50" dxfId="0">
      <formula>AND(IF($Q44=3,1,IF($Q44=4,1,0)),IF($F44&lt;=85,1,0))</formula>
    </cfRule>
  </conditionalFormatting>
  <conditionalFormatting sqref="X44">
    <cfRule type="expression" priority="43" dxfId="3">
      <formula>AND(IF(OR($Q44=1,$Q44=2),1,0),IF($X44&lt;=20,1,0))</formula>
    </cfRule>
    <cfRule type="expression" priority="44" dxfId="2">
      <formula>AND(IF($Q44=2,1,0),IF($X44&lt;30,1,0))</formula>
    </cfRule>
    <cfRule type="expression" priority="45" dxfId="1">
      <formula>AND(IF($Q44=3,1,0),IF($X44&lt;30,1,0))</formula>
    </cfRule>
    <cfRule type="expression" priority="46" dxfId="0">
      <formula>AND(IF($Q44=3,1,IF($Q44=4,1,0)),IF($F44&lt;=85,1,0))</formula>
    </cfRule>
  </conditionalFormatting>
  <conditionalFormatting sqref="AI44">
    <cfRule type="expression" priority="39" dxfId="3">
      <formula>AND(IF(OR($Q44=1,$Q44=2),1,0),IF($X44&lt;=20,1,0))</formula>
    </cfRule>
    <cfRule type="expression" priority="40" dxfId="2">
      <formula>AND(IF($Q44=2,1,0),IF($X44&lt;30,1,0))</formula>
    </cfRule>
    <cfRule type="expression" priority="41" dxfId="1">
      <formula>AND(IF($Q44=3,1,0),IF($X44&lt;30,1,0))</formula>
    </cfRule>
    <cfRule type="expression" priority="42" dxfId="0">
      <formula>AND(IF($Q44=3,1,IF($Q44=4,1,0)),IF($F44&lt;=85,1,0))</formula>
    </cfRule>
  </conditionalFormatting>
  <conditionalFormatting sqref="AV45">
    <cfRule type="expression" priority="37" dxfId="17">
      <formula>AV45="X"</formula>
    </cfRule>
    <cfRule type="expression" priority="38" dxfId="16">
      <formula>AV45="후보"</formula>
    </cfRule>
  </conditionalFormatting>
  <conditionalFormatting sqref="AC4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5">
    <cfRule type="expression" priority="28" dxfId="3">
      <formula>AND(IF(OR($Q45=1,$Q45=2),1,0),IF($X45&lt;=20,1,0))</formula>
    </cfRule>
    <cfRule type="expression" priority="29" dxfId="2">
      <formula>AND(IF($Q45=2,1,0),IF($X45&lt;30,1,0))</formula>
    </cfRule>
    <cfRule type="expression" priority="30" dxfId="1">
      <formula>AND(IF($Q45=3,1,0),IF($X45&lt;30,1,0))</formula>
    </cfRule>
    <cfRule type="expression" priority="31" dxfId="0">
      <formula>AND(IF($Q45=3,1,IF($Q45=4,1,0)),IF($F45&lt;=85,1,0))</formula>
    </cfRule>
  </conditionalFormatting>
  <conditionalFormatting sqref="X45">
    <cfRule type="expression" priority="24" dxfId="3">
      <formula>AND(IF(OR($Q45=1,$Q45=2),1,0),IF($X45&lt;=20,1,0))</formula>
    </cfRule>
    <cfRule type="expression" priority="25" dxfId="2">
      <formula>AND(IF($Q45=2,1,0),IF($X45&lt;30,1,0))</formula>
    </cfRule>
    <cfRule type="expression" priority="26" dxfId="1">
      <formula>AND(IF($Q45=3,1,0),IF($X45&lt;30,1,0))</formula>
    </cfRule>
    <cfRule type="expression" priority="27" dxfId="0">
      <formula>AND(IF($Q45=3,1,IF($Q45=4,1,0)),IF($F45&lt;=85,1,0))</formula>
    </cfRule>
  </conditionalFormatting>
  <conditionalFormatting sqref="AI45">
    <cfRule type="expression" priority="20" dxfId="3">
      <formula>AND(IF(OR($Q45=1,$Q45=2),1,0),IF($X45&lt;=20,1,0))</formula>
    </cfRule>
    <cfRule type="expression" priority="21" dxfId="2">
      <formula>AND(IF($Q45=2,1,0),IF($X45&lt;30,1,0))</formula>
    </cfRule>
    <cfRule type="expression" priority="22" dxfId="1">
      <formula>AND(IF($Q45=3,1,0),IF($X45&lt;30,1,0))</formula>
    </cfRule>
    <cfRule type="expression" priority="23" dxfId="0">
      <formula>AND(IF($Q45=3,1,IF($Q45=4,1,0)),IF($F45&lt;=85,1,0))</formula>
    </cfRule>
  </conditionalFormatting>
  <conditionalFormatting sqref="AV46">
    <cfRule type="expression" priority="18" dxfId="17">
      <formula>AV46="X"</formula>
    </cfRule>
    <cfRule type="expression" priority="19" dxfId="16">
      <formula>AV46="후보"</formula>
    </cfRule>
  </conditionalFormatting>
  <conditionalFormatting sqref="AC4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6">
    <cfRule type="expression" priority="9" dxfId="3">
      <formula>AND(IF(OR($Q46=1,$Q46=2),1,0),IF($X46&lt;=20,1,0))</formula>
    </cfRule>
    <cfRule type="expression" priority="10" dxfId="2">
      <formula>AND(IF($Q46=2,1,0),IF($X46&lt;30,1,0))</formula>
    </cfRule>
    <cfRule type="expression" priority="11" dxfId="1">
      <formula>AND(IF($Q46=3,1,0),IF($X46&lt;30,1,0))</formula>
    </cfRule>
    <cfRule type="expression" priority="12" dxfId="0">
      <formula>AND(IF($Q46=3,1,IF($Q46=4,1,0)),IF($F46&lt;=85,1,0))</formula>
    </cfRule>
  </conditionalFormatting>
  <conditionalFormatting sqref="X46">
    <cfRule type="expression" priority="5" dxfId="3">
      <formula>AND(IF(OR($Q46=1,$Q46=2),1,0),IF($X46&lt;=20,1,0))</formula>
    </cfRule>
    <cfRule type="expression" priority="6" dxfId="2">
      <formula>AND(IF($Q46=2,1,0),IF($X46&lt;30,1,0))</formula>
    </cfRule>
    <cfRule type="expression" priority="7" dxfId="1">
      <formula>AND(IF($Q46=3,1,0),IF($X46&lt;30,1,0))</formula>
    </cfRule>
    <cfRule type="expression" priority="8" dxfId="0">
      <formula>AND(IF($Q46=3,1,IF($Q46=4,1,0)),IF($F46&lt;=85,1,0))</formula>
    </cfRule>
  </conditionalFormatting>
  <conditionalFormatting sqref="AI46">
    <cfRule type="expression" priority="1" dxfId="3">
      <formula>AND(IF(OR($Q46=1,$Q46=2),1,0),IF($X46&lt;=20,1,0))</formula>
    </cfRule>
    <cfRule type="expression" priority="2" dxfId="2">
      <formula>AND(IF($Q46=2,1,0),IF($X46&lt;30,1,0))</formula>
    </cfRule>
    <cfRule type="expression" priority="3" dxfId="1">
      <formula>AND(IF($Q46=3,1,0),IF($X46&lt;30,1,0))</formula>
    </cfRule>
    <cfRule type="expression" priority="4" dxfId="0">
      <formula>AND(IF($Q46=3,1,IF($Q46=4,1,0)),IF($F46&lt;=85,1,0))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5" sqref="A65:XFD6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분평동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대승스카이빌</t>
        </is>
      </c>
      <c r="B6" s="16" t="inlineStr">
        <is>
          <t>'01.06.</t>
        </is>
      </c>
      <c r="C6" s="164" t="n">
        <v>306</v>
      </c>
      <c r="D6" s="161" t="n">
        <v>50.7</v>
      </c>
      <c r="E6" s="163" t="n">
        <v>15</v>
      </c>
      <c r="F6" s="161" t="n">
        <v>34.9</v>
      </c>
      <c r="G6" s="27" t="n">
        <v>11</v>
      </c>
      <c r="H6" s="164" t="n">
        <v>306</v>
      </c>
      <c r="I6" s="165" t="n">
        <v>6600</v>
      </c>
      <c r="J6" s="165" t="inlineStr">
        <is>
          <t>6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50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1" t="n"/>
      <c r="G7" s="13" t="n"/>
      <c r="H7" s="13" t="n"/>
      <c r="I7" s="13" t="n"/>
      <c r="J7" s="13" t="n"/>
      <c r="K7" s="13" t="n"/>
      <c r="L7" s="13" t="n"/>
      <c r="M7" s="13" t="n"/>
      <c r="N7" s="13" t="n"/>
      <c r="O7" s="162" t="n"/>
      <c r="P7" s="162" t="n"/>
      <c r="Q7" s="163" t="n"/>
      <c r="R7" s="163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0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주공2단지</t>
        </is>
      </c>
      <c r="B8" s="16" t="inlineStr">
        <is>
          <t>'97.06.</t>
        </is>
      </c>
      <c r="C8" s="164" t="n">
        <v>1310</v>
      </c>
      <c r="D8" s="161" t="n">
        <v>57.8</v>
      </c>
      <c r="E8" s="163" t="n">
        <v>17</v>
      </c>
      <c r="F8" s="161" t="n">
        <v>39.7</v>
      </c>
      <c r="G8" s="27" t="n">
        <v>12</v>
      </c>
      <c r="H8" s="164" t="n">
        <v>120</v>
      </c>
      <c r="I8" s="165" t="n">
        <v>9300</v>
      </c>
      <c r="J8" s="165" t="inlineStr">
        <is>
          <t>10</t>
        </is>
      </c>
      <c r="K8" s="165" t="n">
        <v>8500</v>
      </c>
      <c r="L8" s="165" t="inlineStr">
        <is>
          <t>15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2</v>
      </c>
      <c r="R8" s="113" t="n">
        <v>1</v>
      </c>
      <c r="S8" s="113" t="inlineStr">
        <is>
          <t>복</t>
        </is>
      </c>
      <c r="T8" s="8" t="n">
        <v>57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주공2단지</t>
        </is>
      </c>
      <c r="B9" s="16" t="inlineStr">
        <is>
          <t>'97.06.</t>
        </is>
      </c>
      <c r="C9" s="164" t="n">
        <v>1310</v>
      </c>
      <c r="D9" s="161" t="n">
        <v>71.09999999999999</v>
      </c>
      <c r="E9" s="163" t="n">
        <v>22</v>
      </c>
      <c r="F9" s="161" t="n">
        <v>49.8</v>
      </c>
      <c r="G9" s="27" t="n">
        <v>15</v>
      </c>
      <c r="H9" s="164" t="n">
        <v>120</v>
      </c>
      <c r="I9" s="165" t="n">
        <v>12000</v>
      </c>
      <c r="J9" s="165" t="inlineStr">
        <is>
          <t>10</t>
        </is>
      </c>
      <c r="K9" s="165" t="n">
        <v>10000</v>
      </c>
      <c r="L9" s="165" t="inlineStr">
        <is>
          <t>14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복</t>
        </is>
      </c>
      <c r="T9" s="8" t="n">
        <v>71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주공2단지</t>
        </is>
      </c>
      <c r="B10" s="16" t="inlineStr">
        <is>
          <t>'97.06.</t>
        </is>
      </c>
      <c r="C10" s="164" t="n">
        <v>1310</v>
      </c>
      <c r="D10" s="161" t="n">
        <v>76.7</v>
      </c>
      <c r="E10" s="163" t="n">
        <v>23</v>
      </c>
      <c r="F10" s="161" t="n">
        <v>59.7</v>
      </c>
      <c r="G10" s="27" t="n">
        <v>18</v>
      </c>
      <c r="H10" s="164" t="n">
        <v>390</v>
      </c>
      <c r="I10" s="165" t="n">
        <v>15000</v>
      </c>
      <c r="J10" s="165" t="inlineStr">
        <is>
          <t>13</t>
        </is>
      </c>
      <c r="K10" s="165" t="n">
        <v>14000</v>
      </c>
      <c r="L10" s="165" t="inlineStr">
        <is>
          <t>5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1</v>
      </c>
      <c r="S10" s="113" t="inlineStr">
        <is>
          <t>계</t>
        </is>
      </c>
      <c r="T10" s="8" t="n">
        <v>76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주공2단지</t>
        </is>
      </c>
      <c r="B11" s="16" t="inlineStr">
        <is>
          <t>'97.06.</t>
        </is>
      </c>
      <c r="C11" s="164" t="n">
        <v>1310</v>
      </c>
      <c r="D11" s="161" t="n">
        <v>81.3</v>
      </c>
      <c r="E11" s="163" t="n">
        <v>25</v>
      </c>
      <c r="F11" s="161" t="n">
        <v>60</v>
      </c>
      <c r="G11" s="27" t="n">
        <v>18</v>
      </c>
      <c r="H11" s="164" t="n">
        <v>680</v>
      </c>
      <c r="I11" s="165" t="n">
        <v>13000</v>
      </c>
      <c r="J11" s="165" t="inlineStr">
        <is>
          <t>14</t>
        </is>
      </c>
      <c r="K11" s="165" t="n">
        <v>12000</v>
      </c>
      <c r="L11" s="165" t="inlineStr">
        <is>
          <t>20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81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주공6단지</t>
        </is>
      </c>
      <c r="B13" s="16" t="inlineStr">
        <is>
          <t>'99.09.</t>
        </is>
      </c>
      <c r="C13" s="164" t="n">
        <v>1120</v>
      </c>
      <c r="D13" s="161" t="n">
        <v>106.8</v>
      </c>
      <c r="E13" s="163" t="n">
        <v>32</v>
      </c>
      <c r="F13" s="161" t="n">
        <v>84.3</v>
      </c>
      <c r="G13" s="27" t="n">
        <v>26</v>
      </c>
      <c r="H13" s="164" t="n">
        <v>1094</v>
      </c>
      <c r="I13" s="165" t="n">
        <v>22000</v>
      </c>
      <c r="J13" s="165" t="inlineStr">
        <is>
          <t>11</t>
        </is>
      </c>
      <c r="K13" s="165" t="n">
        <v>16000</v>
      </c>
      <c r="L13" s="165" t="inlineStr">
        <is>
          <t>6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106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주공6단지</t>
        </is>
      </c>
      <c r="B14" s="16" t="inlineStr">
        <is>
          <t>'99.09.</t>
        </is>
      </c>
      <c r="C14" s="164" t="n">
        <v>1120</v>
      </c>
      <c r="D14" s="161" t="n">
        <v>109.7</v>
      </c>
      <c r="E14" s="163" t="n">
        <v>33</v>
      </c>
      <c r="F14" s="161" t="n">
        <v>84.5</v>
      </c>
      <c r="G14" s="27" t="n">
        <v>26</v>
      </c>
      <c r="H14" s="164" t="n">
        <v>23</v>
      </c>
      <c r="I14" s="165" t="n">
        <v>25000</v>
      </c>
      <c r="J14" s="165" t="inlineStr">
        <is>
          <t>12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109B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주공6단지</t>
        </is>
      </c>
      <c r="B15" s="16" t="inlineStr">
        <is>
          <t>'99.09.</t>
        </is>
      </c>
      <c r="C15" s="164" t="n">
        <v>1120</v>
      </c>
      <c r="D15" s="161" t="n">
        <v>109.5</v>
      </c>
      <c r="E15" s="163" t="n">
        <v>33</v>
      </c>
      <c r="F15" s="161" t="n">
        <v>84.40000000000001</v>
      </c>
      <c r="G15" s="27" t="n">
        <v>26</v>
      </c>
      <c r="H15" s="164" t="n">
        <v>3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109A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청주분평뜨란채1단지</t>
        </is>
      </c>
      <c r="B17" s="16" t="inlineStr">
        <is>
          <t>'00.10.</t>
        </is>
      </c>
      <c r="C17" s="164" t="n">
        <v>982</v>
      </c>
      <c r="D17" s="161" t="n">
        <v>68.2</v>
      </c>
      <c r="E17" s="163" t="n">
        <v>21</v>
      </c>
      <c r="F17" s="161" t="n">
        <v>49.2</v>
      </c>
      <c r="G17" s="27" t="n">
        <v>15</v>
      </c>
      <c r="H17" s="164" t="n">
        <v>143</v>
      </c>
      <c r="I17" s="165" t="n">
        <v>14000</v>
      </c>
      <c r="J17" s="165" t="inlineStr">
        <is>
          <t>5</t>
        </is>
      </c>
      <c r="K17" s="165" t="n">
        <v>12500</v>
      </c>
      <c r="L17" s="165" t="inlineStr">
        <is>
          <t>7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inlineStr">
        <is>
          <t>68A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청주분평뜨란채1단지</t>
        </is>
      </c>
      <c r="B18" s="16" t="inlineStr">
        <is>
          <t>'00.10.</t>
        </is>
      </c>
      <c r="C18" s="164" t="n">
        <v>982</v>
      </c>
      <c r="D18" s="161" t="n">
        <v>68.3</v>
      </c>
      <c r="E18" s="163" t="n">
        <v>21</v>
      </c>
      <c r="F18" s="161" t="n">
        <v>49.3</v>
      </c>
      <c r="G18" s="27" t="n">
        <v>15</v>
      </c>
      <c r="H18" s="164" t="n">
        <v>83</v>
      </c>
      <c r="I18" s="165" t="n">
        <v>14300</v>
      </c>
      <c r="J18" s="165" t="inlineStr">
        <is>
          <t>17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inlineStr">
        <is>
          <t>68B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청주분평뜨란채1단지</t>
        </is>
      </c>
      <c r="B19" s="16" t="inlineStr">
        <is>
          <t>'00.10.</t>
        </is>
      </c>
      <c r="C19" s="164" t="n">
        <v>982</v>
      </c>
      <c r="D19" s="161" t="n">
        <v>68.40000000000001</v>
      </c>
      <c r="E19" s="163" t="n">
        <v>21</v>
      </c>
      <c r="F19" s="161" t="n">
        <v>49.4</v>
      </c>
      <c r="G19" s="27" t="n">
        <v>15</v>
      </c>
      <c r="H19" s="164" t="n">
        <v>22</v>
      </c>
      <c r="I19" s="165" t="n">
        <v>14500</v>
      </c>
      <c r="J19" s="165" t="inlineStr">
        <is>
          <t>12</t>
        </is>
      </c>
      <c r="K19" s="165" t="n">
        <v>12000</v>
      </c>
      <c r="L19" s="165" t="inlineStr">
        <is>
          <t>5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계</t>
        </is>
      </c>
      <c r="T19" s="8" t="inlineStr">
        <is>
          <t>68C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청주분평뜨란채1단지</t>
        </is>
      </c>
      <c r="B20" s="16" t="inlineStr">
        <is>
          <t>'00.10.</t>
        </is>
      </c>
      <c r="C20" s="164" t="n">
        <v>982</v>
      </c>
      <c r="D20" s="161" t="n">
        <v>69</v>
      </c>
      <c r="E20" s="163" t="n">
        <v>21</v>
      </c>
      <c r="F20" s="161" t="n">
        <v>49.8</v>
      </c>
      <c r="G20" s="27" t="n">
        <v>15</v>
      </c>
      <c r="H20" s="164" t="n">
        <v>28</v>
      </c>
      <c r="I20" s="165" t="n">
        <v>14000</v>
      </c>
      <c r="J20" s="165" t="inlineStr">
        <is>
          <t>5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2</v>
      </c>
      <c r="R20" s="113" t="n">
        <v>1</v>
      </c>
      <c r="S20" s="113" t="inlineStr">
        <is>
          <t>계</t>
        </is>
      </c>
      <c r="T20" s="8" t="inlineStr">
        <is>
          <t>69D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청주분평뜨란채1단지</t>
        </is>
      </c>
      <c r="B21" s="16" t="inlineStr">
        <is>
          <t>'00.10.</t>
        </is>
      </c>
      <c r="C21" s="164" t="n">
        <v>982</v>
      </c>
      <c r="D21" s="161" t="n">
        <v>82.40000000000001</v>
      </c>
      <c r="E21" s="163" t="n">
        <v>25</v>
      </c>
      <c r="F21" s="161" t="n">
        <v>59.5</v>
      </c>
      <c r="G21" s="27" t="n">
        <v>18</v>
      </c>
      <c r="H21" s="164" t="n">
        <v>356</v>
      </c>
      <c r="I21" s="165" t="n">
        <v>16000</v>
      </c>
      <c r="J21" s="165" t="inlineStr">
        <is>
          <t>7</t>
        </is>
      </c>
      <c r="K21" s="165" t="n">
        <v>15000</v>
      </c>
      <c r="L21" s="165" t="inlineStr">
        <is>
          <t>14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inlineStr">
        <is>
          <t>82B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청주분평뜨란채1단지</t>
        </is>
      </c>
      <c r="B22" s="16" t="inlineStr">
        <is>
          <t>'00.10.</t>
        </is>
      </c>
      <c r="C22" s="164" t="n">
        <v>982</v>
      </c>
      <c r="D22" s="161" t="n">
        <v>82.40000000000001</v>
      </c>
      <c r="E22" s="163" t="n">
        <v>25</v>
      </c>
      <c r="F22" s="161" t="n">
        <v>59.5</v>
      </c>
      <c r="G22" s="27" t="n">
        <v>18</v>
      </c>
      <c r="H22" s="164" t="n">
        <v>168</v>
      </c>
      <c r="I22" s="165" t="n">
        <v>16000</v>
      </c>
      <c r="J22" s="165" t="inlineStr">
        <is>
          <t>7</t>
        </is>
      </c>
      <c r="K22" s="165" t="n">
        <v>15000</v>
      </c>
      <c r="L22" s="165" t="inlineStr">
        <is>
          <t>14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inlineStr">
        <is>
          <t>82A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청주분평뜨란채1단지</t>
        </is>
      </c>
      <c r="B23" s="16" t="inlineStr">
        <is>
          <t>'00.10.</t>
        </is>
      </c>
      <c r="C23" s="164" t="n">
        <v>982</v>
      </c>
      <c r="D23" s="161" t="n">
        <v>82.40000000000001</v>
      </c>
      <c r="E23" s="163" t="n">
        <v>25</v>
      </c>
      <c r="F23" s="161" t="n">
        <v>59.5</v>
      </c>
      <c r="G23" s="27" t="n">
        <v>18</v>
      </c>
      <c r="H23" s="164" t="n">
        <v>91</v>
      </c>
      <c r="I23" s="165" t="n">
        <v>16000</v>
      </c>
      <c r="J23" s="165" t="inlineStr">
        <is>
          <t>7</t>
        </is>
      </c>
      <c r="K23" s="165" t="n">
        <v>15000</v>
      </c>
      <c r="L23" s="165" t="inlineStr">
        <is>
          <t>14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inlineStr">
        <is>
          <t>82C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청주분평뜨란채1단지</t>
        </is>
      </c>
      <c r="B24" s="16" t="inlineStr">
        <is>
          <t>'00.10.</t>
        </is>
      </c>
      <c r="C24" s="164" t="n">
        <v>982</v>
      </c>
      <c r="D24" s="161" t="n">
        <v>82.2</v>
      </c>
      <c r="E24" s="163" t="n">
        <v>25</v>
      </c>
      <c r="F24" s="161" t="n">
        <v>59.3</v>
      </c>
      <c r="G24" s="27" t="n">
        <v>18</v>
      </c>
      <c r="H24" s="164" t="n">
        <v>91</v>
      </c>
      <c r="I24" s="165" t="n">
        <v>16000</v>
      </c>
      <c r="J24" s="165" t="inlineStr">
        <is>
          <t>15</t>
        </is>
      </c>
      <c r="K24" s="165" t="n">
        <v>15500</v>
      </c>
      <c r="L24" s="165" t="inlineStr">
        <is>
          <t>14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inlineStr">
        <is>
          <t>82D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대원</t>
        </is>
      </c>
      <c r="B26" s="16" t="inlineStr">
        <is>
          <t>'00.10.</t>
        </is>
      </c>
      <c r="C26" s="164" t="n">
        <v>731</v>
      </c>
      <c r="D26" s="161" t="n">
        <v>82.8</v>
      </c>
      <c r="E26" s="163" t="n">
        <v>25</v>
      </c>
      <c r="F26" s="161" t="n">
        <v>59.9</v>
      </c>
      <c r="G26" s="27" t="n">
        <v>18</v>
      </c>
      <c r="H26" s="164" t="n">
        <v>390</v>
      </c>
      <c r="I26" s="165" t="n">
        <v>17500</v>
      </c>
      <c r="J26" s="165" t="inlineStr">
        <is>
          <t>15</t>
        </is>
      </c>
      <c r="K26" s="165" t="n">
        <v>16000</v>
      </c>
      <c r="L26" s="165" t="inlineStr">
        <is>
          <t>15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82B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대원</t>
        </is>
      </c>
      <c r="B27" s="16" t="inlineStr">
        <is>
          <t>'00.10.</t>
        </is>
      </c>
      <c r="C27" s="164" t="n">
        <v>731</v>
      </c>
      <c r="D27" s="161" t="n">
        <v>82.7</v>
      </c>
      <c r="E27" s="163" t="n">
        <v>25</v>
      </c>
      <c r="F27" s="161" t="n">
        <v>59.7</v>
      </c>
      <c r="G27" s="27" t="n">
        <v>18</v>
      </c>
      <c r="H27" s="164" t="n">
        <v>341</v>
      </c>
      <c r="I27" s="165" t="n">
        <v>19500</v>
      </c>
      <c r="J27" s="165" t="inlineStr">
        <is>
          <t>11</t>
        </is>
      </c>
      <c r="K27" s="165" t="n">
        <v>19000</v>
      </c>
      <c r="L27" s="165" t="inlineStr">
        <is>
          <t>8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1</v>
      </c>
      <c r="S27" s="113" t="inlineStr">
        <is>
          <t>계</t>
        </is>
      </c>
      <c r="T27" s="8" t="inlineStr">
        <is>
          <t>82A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현대대우</t>
        </is>
      </c>
      <c r="B29" s="16" t="inlineStr">
        <is>
          <t>'99.07.</t>
        </is>
      </c>
      <c r="C29" s="164" t="n">
        <v>1179</v>
      </c>
      <c r="D29" s="161" t="n">
        <v>104.1</v>
      </c>
      <c r="E29" s="163" t="n">
        <v>32</v>
      </c>
      <c r="F29" s="161" t="n">
        <v>85</v>
      </c>
      <c r="G29" s="27" t="n">
        <v>26</v>
      </c>
      <c r="H29" s="164" t="n">
        <v>485</v>
      </c>
      <c r="I29" s="165" t="n">
        <v>27000</v>
      </c>
      <c r="J29" s="165" t="inlineStr">
        <is>
          <t>12</t>
        </is>
      </c>
      <c r="K29" s="165" t="n">
        <v>23000</v>
      </c>
      <c r="L29" s="165" t="inlineStr">
        <is>
          <t>19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104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현대대우</t>
        </is>
      </c>
      <c r="B30" s="16" t="inlineStr">
        <is>
          <t>'99.07.</t>
        </is>
      </c>
      <c r="C30" s="164" t="n">
        <v>1179</v>
      </c>
      <c r="D30" s="161" t="n">
        <v>122.1</v>
      </c>
      <c r="E30" s="163" t="n">
        <v>37</v>
      </c>
      <c r="F30" s="161" t="n">
        <v>99.3</v>
      </c>
      <c r="G30" s="27" t="n">
        <v>30</v>
      </c>
      <c r="H30" s="164" t="n">
        <v>334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122A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현대대우</t>
        </is>
      </c>
      <c r="B31" s="16" t="inlineStr">
        <is>
          <t>'99.07.</t>
        </is>
      </c>
      <c r="C31" s="164" t="n">
        <v>1179</v>
      </c>
      <c r="D31" s="161" t="n">
        <v>123</v>
      </c>
      <c r="E31" s="163" t="n">
        <v>37</v>
      </c>
      <c r="F31" s="161" t="n">
        <v>99.90000000000001</v>
      </c>
      <c r="G31" s="27" t="n">
        <v>30</v>
      </c>
      <c r="H31" s="164" t="n">
        <v>100</v>
      </c>
      <c r="I31" s="165" t="n">
        <v>31500</v>
      </c>
      <c r="J31" s="165" t="inlineStr">
        <is>
          <t>14</t>
        </is>
      </c>
      <c r="K31" s="165" t="n">
        <v>26000</v>
      </c>
      <c r="L31" s="165" t="inlineStr">
        <is>
          <t>12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122B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현대대우</t>
        </is>
      </c>
      <c r="B32" s="16" t="inlineStr">
        <is>
          <t>'99.07.</t>
        </is>
      </c>
      <c r="C32" s="164" t="n">
        <v>1179</v>
      </c>
      <c r="D32" s="161" t="n">
        <v>159.9</v>
      </c>
      <c r="E32" s="163" t="n">
        <v>48</v>
      </c>
      <c r="F32" s="161" t="n">
        <v>134.6</v>
      </c>
      <c r="G32" s="27" t="n">
        <v>41</v>
      </c>
      <c r="H32" s="164" t="n">
        <v>179</v>
      </c>
      <c r="I32" s="165" t="n">
        <v>39500</v>
      </c>
      <c r="J32" s="165" t="inlineStr">
        <is>
          <t>24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159B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현대대우</t>
        </is>
      </c>
      <c r="B33" s="16" t="inlineStr">
        <is>
          <t>'99.07.</t>
        </is>
      </c>
      <c r="C33" s="164" t="n">
        <v>1179</v>
      </c>
      <c r="D33" s="161" t="n">
        <v>160</v>
      </c>
      <c r="E33" s="163" t="n">
        <v>48</v>
      </c>
      <c r="F33" s="161" t="n">
        <v>134.6</v>
      </c>
      <c r="G33" s="27" t="n">
        <v>41</v>
      </c>
      <c r="H33" s="164" t="n">
        <v>1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159A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현대대우</t>
        </is>
      </c>
      <c r="B34" s="16" t="inlineStr">
        <is>
          <t>'99.07.</t>
        </is>
      </c>
      <c r="C34" s="164" t="n">
        <v>1179</v>
      </c>
      <c r="D34" s="161" t="n">
        <v>207.6</v>
      </c>
      <c r="E34" s="163" t="n">
        <v>63</v>
      </c>
      <c r="F34" s="161" t="n">
        <v>181.6</v>
      </c>
      <c r="G34" s="27" t="n">
        <v>55</v>
      </c>
      <c r="H34" s="164" t="n">
        <v>80</v>
      </c>
      <c r="I34" s="165" t="n">
        <v>47000</v>
      </c>
      <c r="J34" s="165" t="inlineStr">
        <is>
          <t>7</t>
        </is>
      </c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5</v>
      </c>
      <c r="R34" s="113" t="n">
        <v>2</v>
      </c>
      <c r="S34" s="113" t="inlineStr">
        <is>
          <t>계</t>
        </is>
      </c>
      <c r="T34" s="8" t="n">
        <v>207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우성2차</t>
        </is>
      </c>
      <c r="B36" s="16" t="inlineStr">
        <is>
          <t>'90.11.</t>
        </is>
      </c>
      <c r="C36" s="164" t="n">
        <v>388</v>
      </c>
      <c r="D36" s="161" t="n">
        <v>105.7</v>
      </c>
      <c r="E36" s="163" t="n">
        <v>32</v>
      </c>
      <c r="F36" s="161" t="n">
        <v>85</v>
      </c>
      <c r="G36" s="27" t="n">
        <v>26</v>
      </c>
      <c r="H36" s="164" t="n">
        <v>268</v>
      </c>
      <c r="I36" s="165" t="n">
        <v>15000</v>
      </c>
      <c r="J36" s="165" t="inlineStr">
        <is>
          <t>7</t>
        </is>
      </c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105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우성2차</t>
        </is>
      </c>
      <c r="B37" s="16" t="inlineStr">
        <is>
          <t>'90.11.</t>
        </is>
      </c>
      <c r="C37" s="164" t="n">
        <v>388</v>
      </c>
      <c r="D37" s="161" t="n">
        <v>153</v>
      </c>
      <c r="E37" s="163" t="n">
        <v>46</v>
      </c>
      <c r="F37" s="161" t="n">
        <v>127.2</v>
      </c>
      <c r="G37" s="27" t="n">
        <v>38</v>
      </c>
      <c r="H37" s="164" t="n">
        <v>72</v>
      </c>
      <c r="I37" s="165" t="n">
        <v>23000</v>
      </c>
      <c r="J37" s="165" t="inlineStr">
        <is>
          <t>7</t>
        </is>
      </c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n">
        <v>152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우성2차</t>
        </is>
      </c>
      <c r="B38" s="16" t="inlineStr">
        <is>
          <t>'90.11.</t>
        </is>
      </c>
      <c r="C38" s="164" t="n">
        <v>388</v>
      </c>
      <c r="D38" s="161" t="n">
        <v>187</v>
      </c>
      <c r="E38" s="163" t="n">
        <v>57</v>
      </c>
      <c r="F38" s="161" t="n">
        <v>156.8</v>
      </c>
      <c r="G38" s="27" t="n">
        <v>47</v>
      </c>
      <c r="H38" s="164" t="n">
        <v>48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5</v>
      </c>
      <c r="R38" s="113" t="n">
        <v>2</v>
      </c>
      <c r="S38" s="113" t="inlineStr">
        <is>
          <t>계</t>
        </is>
      </c>
      <c r="T38" s="8" t="n">
        <v>186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주공5단지</t>
        </is>
      </c>
      <c r="B40" s="16" t="inlineStr">
        <is>
          <t>'98.02.</t>
        </is>
      </c>
      <c r="C40" s="164" t="n">
        <v>1350</v>
      </c>
      <c r="D40" s="161" t="n">
        <v>56.4</v>
      </c>
      <c r="E40" s="163" t="n">
        <v>17</v>
      </c>
      <c r="F40" s="161" t="n">
        <v>39.7</v>
      </c>
      <c r="G40" s="27" t="n">
        <v>12</v>
      </c>
      <c r="H40" s="164" t="n">
        <v>180</v>
      </c>
      <c r="I40" s="165" t="n">
        <v>8800</v>
      </c>
      <c r="J40" s="165" t="inlineStr">
        <is>
          <t>12</t>
        </is>
      </c>
      <c r="K40" s="165" t="n">
        <v>8500</v>
      </c>
      <c r="L40" s="165" t="inlineStr">
        <is>
          <t>7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2</v>
      </c>
      <c r="R40" s="113" t="n">
        <v>1</v>
      </c>
      <c r="S40" s="113" t="inlineStr">
        <is>
          <t>복</t>
        </is>
      </c>
      <c r="T40" s="8" t="n">
        <v>56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주공5단지</t>
        </is>
      </c>
      <c r="B41" s="16" t="inlineStr">
        <is>
          <t>'98.02.</t>
        </is>
      </c>
      <c r="C41" s="164" t="n">
        <v>1350</v>
      </c>
      <c r="D41" s="161" t="n">
        <v>69.7</v>
      </c>
      <c r="E41" s="163" t="n">
        <v>21</v>
      </c>
      <c r="F41" s="161" t="n">
        <v>49.8</v>
      </c>
      <c r="G41" s="27" t="n">
        <v>15</v>
      </c>
      <c r="H41" s="164" t="n">
        <v>510</v>
      </c>
      <c r="I41" s="165" t="n">
        <v>11500</v>
      </c>
      <c r="J41" s="165" t="inlineStr">
        <is>
          <t>15</t>
        </is>
      </c>
      <c r="K41" s="165" t="n">
        <v>10000</v>
      </c>
      <c r="L41" s="165" t="inlineStr">
        <is>
          <t>10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복</t>
        </is>
      </c>
      <c r="T41" s="8" t="n">
        <v>69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주공5단지</t>
        </is>
      </c>
      <c r="B42" s="16" t="inlineStr">
        <is>
          <t>'98.02.</t>
        </is>
      </c>
      <c r="C42" s="164" t="n">
        <v>1350</v>
      </c>
      <c r="D42" s="161" t="n">
        <v>76.7</v>
      </c>
      <c r="E42" s="163" t="n">
        <v>23</v>
      </c>
      <c r="F42" s="161" t="n">
        <v>59.7</v>
      </c>
      <c r="G42" s="27" t="n">
        <v>18</v>
      </c>
      <c r="H42" s="164" t="n">
        <v>660</v>
      </c>
      <c r="I42" s="165" t="n">
        <v>13000</v>
      </c>
      <c r="J42" s="165" t="inlineStr">
        <is>
          <t>15</t>
        </is>
      </c>
      <c r="K42" s="165" t="n">
        <v>15000</v>
      </c>
      <c r="L42" s="165" t="inlineStr">
        <is>
          <t>15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1</v>
      </c>
      <c r="S42" s="113" t="inlineStr">
        <is>
          <t>계</t>
        </is>
      </c>
      <c r="T42" s="8" t="n">
        <v>76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주공4단지</t>
        </is>
      </c>
      <c r="B44" s="16" t="inlineStr">
        <is>
          <t>'99.06.</t>
        </is>
      </c>
      <c r="C44" s="164" t="n">
        <v>1314</v>
      </c>
      <c r="D44" s="161" t="n">
        <v>56.3</v>
      </c>
      <c r="E44" s="163" t="n">
        <v>17</v>
      </c>
      <c r="F44" s="161" t="n">
        <v>39.7</v>
      </c>
      <c r="G44" s="27" t="n">
        <v>12</v>
      </c>
      <c r="H44" s="164" t="n">
        <v>150</v>
      </c>
      <c r="I44" s="165" t="n">
        <v>8900</v>
      </c>
      <c r="J44" s="165" t="inlineStr">
        <is>
          <t>15</t>
        </is>
      </c>
      <c r="K44" s="165" t="n">
        <v>5512</v>
      </c>
      <c r="L44" s="165" t="inlineStr">
        <is>
          <t>15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2</v>
      </c>
      <c r="R44" s="113" t="n">
        <v>1</v>
      </c>
      <c r="S44" s="113" t="inlineStr">
        <is>
          <t>계</t>
        </is>
      </c>
      <c r="T44" s="8" t="n">
        <v>56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주공4단지</t>
        </is>
      </c>
      <c r="B45" s="16" t="inlineStr">
        <is>
          <t>'99.06.</t>
        </is>
      </c>
      <c r="C45" s="164" t="n">
        <v>1314</v>
      </c>
      <c r="D45" s="161" t="n">
        <v>67.90000000000001</v>
      </c>
      <c r="E45" s="163" t="n">
        <v>21</v>
      </c>
      <c r="F45" s="161" t="n">
        <v>49.8</v>
      </c>
      <c r="G45" s="27" t="n">
        <v>15</v>
      </c>
      <c r="H45" s="164" t="n">
        <v>221</v>
      </c>
      <c r="I45" s="165" t="n">
        <v>11500</v>
      </c>
      <c r="J45" s="165" t="inlineStr">
        <is>
          <t>16</t>
        </is>
      </c>
      <c r="K45" s="165" t="n">
        <v>12000</v>
      </c>
      <c r="L45" s="165" t="inlineStr">
        <is>
          <t>19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2</v>
      </c>
      <c r="R45" s="113" t="n">
        <v>1</v>
      </c>
      <c r="S45" s="113" t="inlineStr">
        <is>
          <t>계</t>
        </is>
      </c>
      <c r="T45" s="8" t="n">
        <v>67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주공4단지</t>
        </is>
      </c>
      <c r="B46" s="16" t="inlineStr">
        <is>
          <t>'99.06.</t>
        </is>
      </c>
      <c r="C46" s="164" t="n">
        <v>1314</v>
      </c>
      <c r="D46" s="161" t="n">
        <v>71.09999999999999</v>
      </c>
      <c r="E46" s="163" t="n">
        <v>22</v>
      </c>
      <c r="F46" s="161" t="n">
        <v>49.8</v>
      </c>
      <c r="G46" s="27" t="n">
        <v>15</v>
      </c>
      <c r="H46" s="164" t="n">
        <v>480</v>
      </c>
      <c r="I46" s="165" t="n">
        <v>12000</v>
      </c>
      <c r="J46" s="165" t="inlineStr">
        <is>
          <t>5</t>
        </is>
      </c>
      <c r="K46" s="165" t="n">
        <v>10000</v>
      </c>
      <c r="L46" s="165" t="inlineStr">
        <is>
          <t>고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n">
        <v>71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주공4단지</t>
        </is>
      </c>
      <c r="B47" s="16" t="inlineStr">
        <is>
          <t>'99.06.</t>
        </is>
      </c>
      <c r="C47" s="164" t="n">
        <v>1314</v>
      </c>
      <c r="D47" s="161" t="n">
        <v>81.90000000000001</v>
      </c>
      <c r="E47" s="163" t="n">
        <v>25</v>
      </c>
      <c r="F47" s="161" t="n">
        <v>60</v>
      </c>
      <c r="G47" s="27" t="n">
        <v>18</v>
      </c>
      <c r="H47" s="164" t="n">
        <v>463</v>
      </c>
      <c r="I47" s="165" t="n">
        <v>15000</v>
      </c>
      <c r="J47" s="165" t="inlineStr">
        <is>
          <t>10</t>
        </is>
      </c>
      <c r="K47" s="165" t="n">
        <v>14000</v>
      </c>
      <c r="L47" s="165" t="inlineStr">
        <is>
          <t>18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1</v>
      </c>
      <c r="S47" s="113" t="inlineStr">
        <is>
          <t>계</t>
        </is>
      </c>
      <c r="T47" s="8" t="n">
        <v>81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1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2" t="n"/>
      <c r="P48" s="162" t="n"/>
      <c r="Q48" s="163" t="n"/>
      <c r="R48" s="163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0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주은프레지던트</t>
        </is>
      </c>
      <c r="B49" s="16" t="inlineStr">
        <is>
          <t>'01.11.</t>
        </is>
      </c>
      <c r="C49" s="164" t="n">
        <v>620</v>
      </c>
      <c r="D49" s="161" t="n">
        <v>112.5</v>
      </c>
      <c r="E49" s="163" t="n">
        <v>34</v>
      </c>
      <c r="F49" s="161" t="n">
        <v>84.8</v>
      </c>
      <c r="G49" s="27" t="n">
        <v>26</v>
      </c>
      <c r="H49" s="164" t="n">
        <v>300</v>
      </c>
      <c r="I49" s="165" t="n">
        <v>25000</v>
      </c>
      <c r="J49" s="165" t="inlineStr">
        <is>
          <t>15</t>
        </is>
      </c>
      <c r="K49" s="165" t="n">
        <v>25000</v>
      </c>
      <c r="L49" s="165" t="inlineStr">
        <is>
          <t>10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112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주은프레지던트</t>
        </is>
      </c>
      <c r="B50" s="16" t="inlineStr">
        <is>
          <t>'01.11.</t>
        </is>
      </c>
      <c r="C50" s="164" t="n">
        <v>620</v>
      </c>
      <c r="D50" s="161" t="n">
        <v>148.7</v>
      </c>
      <c r="E50" s="163" t="n">
        <v>45</v>
      </c>
      <c r="F50" s="161" t="n">
        <v>116.7</v>
      </c>
      <c r="G50" s="27" t="n">
        <v>35</v>
      </c>
      <c r="H50" s="164" t="n">
        <v>120</v>
      </c>
      <c r="I50" s="165" t="n">
        <v>32000</v>
      </c>
      <c r="J50" s="165" t="inlineStr">
        <is>
          <t>14</t>
        </is>
      </c>
      <c r="K50" s="165" t="n">
        <v>28000</v>
      </c>
      <c r="L50" s="165" t="inlineStr">
        <is>
          <t>14</t>
        </is>
      </c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4</v>
      </c>
      <c r="R50" s="113" t="n">
        <v>2</v>
      </c>
      <c r="S50" s="113" t="inlineStr">
        <is>
          <t>계</t>
        </is>
      </c>
      <c r="T50" s="8" t="n">
        <v>148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주은프레지던트</t>
        </is>
      </c>
      <c r="B51" s="16" t="inlineStr">
        <is>
          <t>'01.11.</t>
        </is>
      </c>
      <c r="C51" s="164" t="n">
        <v>620</v>
      </c>
      <c r="D51" s="161" t="n">
        <v>175.8</v>
      </c>
      <c r="E51" s="163" t="n">
        <v>53</v>
      </c>
      <c r="F51" s="161" t="n">
        <v>137.5</v>
      </c>
      <c r="G51" s="27" t="n">
        <v>42</v>
      </c>
      <c r="H51" s="164" t="n">
        <v>200</v>
      </c>
      <c r="I51" s="165" t="n">
        <v>36000</v>
      </c>
      <c r="J51" s="165" t="inlineStr">
        <is>
          <t>22</t>
        </is>
      </c>
      <c r="K51" s="165" t="n">
        <v>33000</v>
      </c>
      <c r="L51" s="165" t="inlineStr">
        <is>
          <t>25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n">
        <v>175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1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2" t="n"/>
      <c r="P52" s="162" t="n"/>
      <c r="Q52" s="163" t="n"/>
      <c r="R52" s="163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0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주공3단지</t>
        </is>
      </c>
      <c r="B53" s="16" t="inlineStr">
        <is>
          <t>'97.06.</t>
        </is>
      </c>
      <c r="C53" s="164" t="n">
        <v>1330</v>
      </c>
      <c r="D53" s="161" t="n">
        <v>56.4</v>
      </c>
      <c r="E53" s="163" t="n">
        <v>17</v>
      </c>
      <c r="F53" s="161" t="n">
        <v>39.7</v>
      </c>
      <c r="G53" s="27" t="n">
        <v>12</v>
      </c>
      <c r="H53" s="164" t="n">
        <v>90</v>
      </c>
      <c r="I53" s="165" t="n">
        <v>9000</v>
      </c>
      <c r="J53" s="165" t="inlineStr">
        <is>
          <t>8</t>
        </is>
      </c>
      <c r="K53" s="165" t="n">
        <v>8500</v>
      </c>
      <c r="L53" s="165" t="inlineStr">
        <is>
          <t>11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2</v>
      </c>
      <c r="R53" s="113" t="n">
        <v>1</v>
      </c>
      <c r="S53" s="113" t="inlineStr">
        <is>
          <t>복</t>
        </is>
      </c>
      <c r="T53" s="8" t="n">
        <v>56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주공3단지</t>
        </is>
      </c>
      <c r="B54" s="16" t="inlineStr">
        <is>
          <t>'97.06.</t>
        </is>
      </c>
      <c r="C54" s="164" t="n">
        <v>1330</v>
      </c>
      <c r="D54" s="161" t="n">
        <v>69.7</v>
      </c>
      <c r="E54" s="163" t="n">
        <v>21</v>
      </c>
      <c r="F54" s="161" t="n">
        <v>49.8</v>
      </c>
      <c r="G54" s="27" t="n">
        <v>15</v>
      </c>
      <c r="H54" s="164" t="n">
        <v>90</v>
      </c>
      <c r="I54" s="165" t="n">
        <v>12000</v>
      </c>
      <c r="J54" s="165" t="inlineStr">
        <is>
          <t>8</t>
        </is>
      </c>
      <c r="K54" s="165" t="n">
        <v>11000</v>
      </c>
      <c r="L54" s="165" t="inlineStr">
        <is>
          <t>14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2</v>
      </c>
      <c r="R54" s="113" t="n">
        <v>1</v>
      </c>
      <c r="S54" s="113" t="inlineStr">
        <is>
          <t>계</t>
        </is>
      </c>
      <c r="T54" s="8" t="n">
        <v>69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주공3단지</t>
        </is>
      </c>
      <c r="B55" s="16" t="inlineStr">
        <is>
          <t>'97.06.</t>
        </is>
      </c>
      <c r="C55" s="164" t="n">
        <v>1330</v>
      </c>
      <c r="D55" s="161" t="n">
        <v>71.09999999999999</v>
      </c>
      <c r="E55" s="163" t="n">
        <v>22</v>
      </c>
      <c r="F55" s="161" t="n">
        <v>49.8</v>
      </c>
      <c r="G55" s="27" t="n">
        <v>15</v>
      </c>
      <c r="H55" s="164" t="n">
        <v>240</v>
      </c>
      <c r="I55" s="165" t="n">
        <v>11800</v>
      </c>
      <c r="J55" s="165" t="inlineStr">
        <is>
          <t>7</t>
        </is>
      </c>
      <c r="K55" s="165" t="n">
        <v>11000</v>
      </c>
      <c r="L55" s="165" t="inlineStr">
        <is>
          <t>15</t>
        </is>
      </c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2</v>
      </c>
      <c r="R55" s="113" t="n">
        <v>1</v>
      </c>
      <c r="S55" s="113" t="inlineStr">
        <is>
          <t>복</t>
        </is>
      </c>
      <c r="T55" s="8" t="inlineStr">
        <is>
          <t>71A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주공3단지</t>
        </is>
      </c>
      <c r="B56" s="16" t="inlineStr">
        <is>
          <t>'97.06.</t>
        </is>
      </c>
      <c r="C56" s="164" t="n">
        <v>1330</v>
      </c>
      <c r="D56" s="161" t="n">
        <v>73</v>
      </c>
      <c r="E56" s="163" t="n">
        <v>22</v>
      </c>
      <c r="F56" s="161" t="n">
        <v>49.8</v>
      </c>
      <c r="G56" s="27" t="n">
        <v>15</v>
      </c>
      <c r="H56" s="164" t="n">
        <v>60</v>
      </c>
      <c r="I56" s="165" t="n">
        <v>12000</v>
      </c>
      <c r="J56" s="165" t="inlineStr">
        <is>
          <t>5</t>
        </is>
      </c>
      <c r="K56" s="165" t="n">
        <v>11500</v>
      </c>
      <c r="L56" s="165" t="inlineStr">
        <is>
          <t>9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2</v>
      </c>
      <c r="R56" s="113" t="n">
        <v>1</v>
      </c>
      <c r="S56" s="113" t="inlineStr">
        <is>
          <t>복</t>
        </is>
      </c>
      <c r="T56" s="8" t="inlineStr">
        <is>
          <t>72B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주공3단지</t>
        </is>
      </c>
      <c r="B57" s="16" t="inlineStr">
        <is>
          <t>'97.06.</t>
        </is>
      </c>
      <c r="C57" s="164" t="n">
        <v>1330</v>
      </c>
      <c r="D57" s="161" t="n">
        <v>76.7</v>
      </c>
      <c r="E57" s="163" t="n">
        <v>23</v>
      </c>
      <c r="F57" s="161" t="n">
        <v>59.7</v>
      </c>
      <c r="G57" s="27" t="n">
        <v>18</v>
      </c>
      <c r="H57" s="164" t="n">
        <v>330</v>
      </c>
      <c r="I57" s="165" t="n">
        <v>16000</v>
      </c>
      <c r="J57" s="165" t="inlineStr">
        <is>
          <t>7</t>
        </is>
      </c>
      <c r="K57" s="165" t="n">
        <v>15000</v>
      </c>
      <c r="L57" s="165" t="inlineStr">
        <is>
          <t>7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n">
        <v>76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주공3단지</t>
        </is>
      </c>
      <c r="B58" s="16" t="inlineStr">
        <is>
          <t>'97.06.</t>
        </is>
      </c>
      <c r="C58" s="164" t="n">
        <v>1330</v>
      </c>
      <c r="D58" s="161" t="n">
        <v>81.3</v>
      </c>
      <c r="E58" s="163" t="n">
        <v>25</v>
      </c>
      <c r="F58" s="161" t="n">
        <v>60</v>
      </c>
      <c r="G58" s="27" t="n">
        <v>18</v>
      </c>
      <c r="H58" s="164" t="n">
        <v>520</v>
      </c>
      <c r="I58" s="165" t="n">
        <v>12500</v>
      </c>
      <c r="J58" s="165" t="inlineStr">
        <is>
          <t>15</t>
        </is>
      </c>
      <c r="K58" s="165" t="n">
        <v>13000</v>
      </c>
      <c r="L58" s="165" t="inlineStr">
        <is>
          <t>20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1</v>
      </c>
      <c r="S58" s="113" t="inlineStr">
        <is>
          <t>계</t>
        </is>
      </c>
      <c r="T58" s="8" t="n">
        <v>81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n"/>
      <c r="B59" s="113" t="n"/>
      <c r="C59" s="10" t="n"/>
      <c r="D59" s="13" t="n"/>
      <c r="E59" s="20" t="n"/>
      <c r="F59" s="161" t="n"/>
      <c r="G59" s="13" t="n"/>
      <c r="H59" s="13" t="n"/>
      <c r="I59" s="13" t="n"/>
      <c r="J59" s="13" t="n"/>
      <c r="K59" s="13" t="n"/>
      <c r="L59" s="13" t="n"/>
      <c r="M59" s="13" t="n"/>
      <c r="N59" s="13" t="n"/>
      <c r="O59" s="162" t="n"/>
      <c r="P59" s="162" t="n"/>
      <c r="Q59" s="163" t="n"/>
      <c r="R59" s="163" t="n"/>
      <c r="S59" s="13" t="n"/>
      <c r="T59" s="70" t="n"/>
      <c r="U59" s="13" t="n"/>
      <c r="W59" s="107">
        <f>$A$4&amp;" "&amp;A60&amp;"("&amp;B60&amp;","&amp;C60&amp;"^)"</f>
        <v/>
      </c>
      <c r="X59" s="108" t="n"/>
      <c r="Y59" s="108" t="n"/>
      <c r="Z59" s="108" t="n"/>
      <c r="AA59" s="108" t="n"/>
      <c r="AB59" s="108" t="n"/>
      <c r="AC59" s="108" t="n"/>
      <c r="AD59" s="108" t="n"/>
      <c r="AE59" s="108" t="n"/>
      <c r="AF59" s="109" t="n"/>
      <c r="AH59" s="36">
        <f>IF(A59="","",A59)</f>
        <v/>
      </c>
      <c r="AI59" s="160">
        <f>IF(E59="","",E59)</f>
        <v/>
      </c>
      <c r="AJ59" s="113" t="n"/>
      <c r="AK59" s="113" t="n"/>
      <c r="AL59" s="113" t="n"/>
      <c r="AM59" s="113" t="n"/>
      <c r="AN59" s="113" t="n"/>
      <c r="AO59" s="113" t="n"/>
      <c r="AP59" s="113" t="n"/>
      <c r="AQ59" s="113" t="n"/>
      <c r="AR59" s="113" t="n"/>
      <c r="AS59" s="113" t="n"/>
      <c r="AT59" s="113" t="n"/>
      <c r="AU59" s="113" t="n"/>
      <c r="AV59" s="113" t="n"/>
    </row>
    <row r="60">
      <c r="A60" s="13" t="inlineStr">
        <is>
          <t>우성1차</t>
        </is>
      </c>
      <c r="B60" s="16" t="inlineStr">
        <is>
          <t>'90.10.</t>
        </is>
      </c>
      <c r="C60" s="164" t="n">
        <v>412</v>
      </c>
      <c r="D60" s="161" t="n">
        <v>94.40000000000001</v>
      </c>
      <c r="E60" s="163" t="n">
        <v>29</v>
      </c>
      <c r="F60" s="161" t="n">
        <v>76.2</v>
      </c>
      <c r="G60" s="27" t="n">
        <v>23</v>
      </c>
      <c r="H60" s="164" t="n">
        <v>154</v>
      </c>
      <c r="I60" s="165" t="n">
        <v>15000</v>
      </c>
      <c r="J60" s="165" t="inlineStr">
        <is>
          <t>13</t>
        </is>
      </c>
      <c r="K60" s="165" t="n">
        <v>12000</v>
      </c>
      <c r="L60" s="165" t="inlineStr">
        <is>
          <t>7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1</v>
      </c>
      <c r="S60" s="113" t="inlineStr">
        <is>
          <t>계</t>
        </is>
      </c>
      <c r="T60" s="8" t="n">
        <v>94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우성1차</t>
        </is>
      </c>
      <c r="B61" s="16" t="inlineStr">
        <is>
          <t>'90.10.</t>
        </is>
      </c>
      <c r="C61" s="164" t="n">
        <v>412</v>
      </c>
      <c r="D61" s="161" t="n">
        <v>105.3</v>
      </c>
      <c r="E61" s="163" t="n">
        <v>32</v>
      </c>
      <c r="F61" s="161" t="n">
        <v>85</v>
      </c>
      <c r="G61" s="27" t="n">
        <v>26</v>
      </c>
      <c r="H61" s="164" t="n">
        <v>232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n">
        <v>105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우성1차</t>
        </is>
      </c>
      <c r="B62" s="16" t="inlineStr">
        <is>
          <t>'90.10.</t>
        </is>
      </c>
      <c r="C62" s="164" t="n">
        <v>412</v>
      </c>
      <c r="D62" s="161" t="n">
        <v>157.6</v>
      </c>
      <c r="E62" s="163" t="n">
        <v>48</v>
      </c>
      <c r="F62" s="161" t="n">
        <v>127.2</v>
      </c>
      <c r="G62" s="27" t="n">
        <v>38</v>
      </c>
      <c r="H62" s="164" t="n">
        <v>26</v>
      </c>
      <c r="I62" s="165" t="n">
        <v>19500</v>
      </c>
      <c r="J62" s="165" t="inlineStr">
        <is>
          <t>5</t>
        </is>
      </c>
      <c r="K62" s="165" t="n">
        <v>23000</v>
      </c>
      <c r="L62" s="165" t="inlineStr">
        <is>
          <t>9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n">
        <v>157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1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2" t="n"/>
      <c r="P63" s="162" t="n"/>
      <c r="Q63" s="163" t="n"/>
      <c r="R63" s="163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0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주공7단지</t>
        </is>
      </c>
      <c r="B64" s="16" t="inlineStr">
        <is>
          <t>'97.12.</t>
        </is>
      </c>
      <c r="C64" s="164" t="n">
        <v>930</v>
      </c>
      <c r="D64" s="161" t="n">
        <v>103.8</v>
      </c>
      <c r="E64" s="163" t="n">
        <v>31</v>
      </c>
      <c r="F64" s="161" t="n">
        <v>84.90000000000001</v>
      </c>
      <c r="G64" s="27" t="n">
        <v>26</v>
      </c>
      <c r="H64" s="164" t="n">
        <v>15</v>
      </c>
      <c r="I64" s="165" t="n">
        <v>23000</v>
      </c>
      <c r="J64" s="165" t="inlineStr">
        <is>
          <t>8</t>
        </is>
      </c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n">
        <v>103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주공7단지</t>
        </is>
      </c>
      <c r="B65" s="16" t="inlineStr">
        <is>
          <t>'97.12.</t>
        </is>
      </c>
      <c r="C65" s="164" t="n">
        <v>930</v>
      </c>
      <c r="D65" s="161" t="n">
        <v>104.2</v>
      </c>
      <c r="E65" s="163" t="n">
        <v>32</v>
      </c>
      <c r="F65" s="161" t="n">
        <v>84.90000000000001</v>
      </c>
      <c r="G65" s="27" t="n">
        <v>26</v>
      </c>
      <c r="H65" s="164" t="n">
        <v>915</v>
      </c>
      <c r="I65" s="165" t="n">
        <v>18800</v>
      </c>
      <c r="J65" s="165" t="inlineStr">
        <is>
          <t>5</t>
        </is>
      </c>
      <c r="K65" s="165" t="n">
        <v>16000</v>
      </c>
      <c r="L65" s="165" t="inlineStr">
        <is>
          <t>13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n">
        <v>104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</sheetData>
  <mergeCells count="1">
    <mergeCell ref="AJ1:AN1"/>
  </mergeCells>
  <conditionalFormatting sqref="AV4:AV6">
    <cfRule type="expression" priority="973" dxfId="17">
      <formula>AV4="X"</formula>
    </cfRule>
    <cfRule type="expression" priority="974" dxfId="16">
      <formula>AV4="후보"</formula>
    </cfRule>
  </conditionalFormatting>
  <conditionalFormatting sqref="AC1:AC2 AC4:AC6 N4:N5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N1:N2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N6">
    <cfRule type="cellIs" priority="966" operator="greaterThan" dxfId="13">
      <formula>0.9</formula>
    </cfRule>
    <cfRule type="cellIs" priority="967" operator="greaterThan" dxfId="12">
      <formula>0.85</formula>
    </cfRule>
  </conditionalFormatting>
  <conditionalFormatting sqref="E6">
    <cfRule type="expression" priority="962" dxfId="3">
      <formula>AND(IF(OR($Q6=1,$Q6=2),1,0),IF($X6&lt;=20,1,0))</formula>
    </cfRule>
    <cfRule type="expression" priority="963" dxfId="2">
      <formula>AND(IF($Q6=2,1,0),IF($X6&lt;30,1,0))</formula>
    </cfRule>
    <cfRule type="expression" priority="964" dxfId="1">
      <formula>AND(IF($Q6=3,1,0),IF($X6&lt;30,1,0))</formula>
    </cfRule>
    <cfRule type="expression" priority="965" dxfId="0">
      <formula>AND(IF($Q6=3,1,IF($Q6=4,1,0)),IF($F6&lt;=85,1,0))</formula>
    </cfRule>
  </conditionalFormatting>
  <conditionalFormatting sqref="X6">
    <cfRule type="expression" priority="958" dxfId="3">
      <formula>AND(IF(OR($Q6=1,$Q6=2),1,0),IF($X6&lt;=20,1,0))</formula>
    </cfRule>
    <cfRule type="expression" priority="959" dxfId="2">
      <formula>AND(IF($Q6=2,1,0),IF($X6&lt;30,1,0))</formula>
    </cfRule>
    <cfRule type="expression" priority="960" dxfId="1">
      <formula>AND(IF($Q6=3,1,0),IF($X6&lt;30,1,0))</formula>
    </cfRule>
    <cfRule type="expression" priority="961" dxfId="0">
      <formula>AND(IF($Q6=3,1,IF($Q6=4,1,0)),IF($F6&lt;=85,1,0))</formula>
    </cfRule>
  </conditionalFormatting>
  <conditionalFormatting sqref="AI6">
    <cfRule type="expression" priority="954" dxfId="3">
      <formula>AND(IF(OR($Q6=1,$Q6=2),1,0),IF($X6&lt;=20,1,0))</formula>
    </cfRule>
    <cfRule type="expression" priority="955" dxfId="2">
      <formula>AND(IF($Q6=2,1,0),IF($X6&lt;30,1,0))</formula>
    </cfRule>
    <cfRule type="expression" priority="956" dxfId="1">
      <formula>AND(IF($Q6=3,1,0),IF($X6&lt;30,1,0))</formula>
    </cfRule>
    <cfRule type="expression" priority="957" dxfId="0">
      <formula>AND(IF($Q6=3,1,IF($Q6=4,1,0)),IF($F6&lt;=85,1,0))</formula>
    </cfRule>
  </conditionalFormatting>
  <conditionalFormatting sqref="AV7">
    <cfRule type="expression" priority="952" dxfId="17">
      <formula>AV7="X"</formula>
    </cfRule>
    <cfRule type="expression" priority="953" dxfId="16">
      <formula>AV7="후보"</formula>
    </cfRule>
  </conditionalFormatting>
  <conditionalFormatting sqref="AC7 N7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AV8">
    <cfRule type="expression" priority="947" dxfId="17">
      <formula>AV8="X"</formula>
    </cfRule>
    <cfRule type="expression" priority="948" dxfId="16">
      <formula>AV8="후보"</formula>
    </cfRule>
  </conditionalFormatting>
  <conditionalFormatting sqref="AC8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8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8">
    <cfRule type="expression" priority="938" dxfId="3">
      <formula>AND(IF(OR($Q8=1,$Q8=2),1,0),IF($X8&lt;=20,1,0))</formula>
    </cfRule>
    <cfRule type="expression" priority="939" dxfId="2">
      <formula>AND(IF($Q8=2,1,0),IF($X8&lt;30,1,0))</formula>
    </cfRule>
    <cfRule type="expression" priority="940" dxfId="1">
      <formula>AND(IF($Q8=3,1,0),IF($X8&lt;30,1,0))</formula>
    </cfRule>
    <cfRule type="expression" priority="941" dxfId="0">
      <formula>AND(IF($Q8=3,1,IF($Q8=4,1,0)),IF($F8&lt;=85,1,0))</formula>
    </cfRule>
  </conditionalFormatting>
  <conditionalFormatting sqref="X8">
    <cfRule type="expression" priority="934" dxfId="3">
      <formula>AND(IF(OR($Q8=1,$Q8=2),1,0),IF($X8&lt;=20,1,0))</formula>
    </cfRule>
    <cfRule type="expression" priority="935" dxfId="2">
      <formula>AND(IF($Q8=2,1,0),IF($X8&lt;30,1,0))</formula>
    </cfRule>
    <cfRule type="expression" priority="936" dxfId="1">
      <formula>AND(IF($Q8=3,1,0),IF($X8&lt;30,1,0))</formula>
    </cfRule>
    <cfRule type="expression" priority="937" dxfId="0">
      <formula>AND(IF($Q8=3,1,IF($Q8=4,1,0)),IF($F8&lt;=85,1,0))</formula>
    </cfRule>
  </conditionalFormatting>
  <conditionalFormatting sqref="AI8">
    <cfRule type="expression" priority="930" dxfId="3">
      <formula>AND(IF(OR($Q8=1,$Q8=2),1,0),IF($X8&lt;=20,1,0))</formula>
    </cfRule>
    <cfRule type="expression" priority="931" dxfId="2">
      <formula>AND(IF($Q8=2,1,0),IF($X8&lt;30,1,0))</formula>
    </cfRule>
    <cfRule type="expression" priority="932" dxfId="1">
      <formula>AND(IF($Q8=3,1,0),IF($X8&lt;30,1,0))</formula>
    </cfRule>
    <cfRule type="expression" priority="933" dxfId="0">
      <formula>AND(IF($Q8=3,1,IF($Q8=4,1,0)),IF($F8&lt;=85,1,0))</formula>
    </cfRule>
  </conditionalFormatting>
  <conditionalFormatting sqref="AV9">
    <cfRule type="expression" priority="928" dxfId="17">
      <formula>AV9="X"</formula>
    </cfRule>
    <cfRule type="expression" priority="929" dxfId="16">
      <formula>AV9="후보"</formula>
    </cfRule>
  </conditionalFormatting>
  <conditionalFormatting sqref="AC9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9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9">
    <cfRule type="expression" priority="919" dxfId="3">
      <formula>AND(IF(OR($Q9=1,$Q9=2),1,0),IF($X9&lt;=20,1,0))</formula>
    </cfRule>
    <cfRule type="expression" priority="920" dxfId="2">
      <formula>AND(IF($Q9=2,1,0),IF($X9&lt;30,1,0))</formula>
    </cfRule>
    <cfRule type="expression" priority="921" dxfId="1">
      <formula>AND(IF($Q9=3,1,0),IF($X9&lt;30,1,0))</formula>
    </cfRule>
    <cfRule type="expression" priority="922" dxfId="0">
      <formula>AND(IF($Q9=3,1,IF($Q9=4,1,0)),IF($F9&lt;=85,1,0))</formula>
    </cfRule>
  </conditionalFormatting>
  <conditionalFormatting sqref="X9">
    <cfRule type="expression" priority="915" dxfId="3">
      <formula>AND(IF(OR($Q9=1,$Q9=2),1,0),IF($X9&lt;=20,1,0))</formula>
    </cfRule>
    <cfRule type="expression" priority="916" dxfId="2">
      <formula>AND(IF($Q9=2,1,0),IF($X9&lt;30,1,0))</formula>
    </cfRule>
    <cfRule type="expression" priority="917" dxfId="1">
      <formula>AND(IF($Q9=3,1,0),IF($X9&lt;30,1,0))</formula>
    </cfRule>
    <cfRule type="expression" priority="918" dxfId="0">
      <formula>AND(IF($Q9=3,1,IF($Q9=4,1,0)),IF($F9&lt;=85,1,0))</formula>
    </cfRule>
  </conditionalFormatting>
  <conditionalFormatting sqref="AI9">
    <cfRule type="expression" priority="911" dxfId="3">
      <formula>AND(IF(OR($Q9=1,$Q9=2),1,0),IF($X9&lt;=20,1,0))</formula>
    </cfRule>
    <cfRule type="expression" priority="912" dxfId="2">
      <formula>AND(IF($Q9=2,1,0),IF($X9&lt;30,1,0))</formula>
    </cfRule>
    <cfRule type="expression" priority="913" dxfId="1">
      <formula>AND(IF($Q9=3,1,0),IF($X9&lt;30,1,0))</formula>
    </cfRule>
    <cfRule type="expression" priority="914" dxfId="0">
      <formula>AND(IF($Q9=3,1,IF($Q9=4,1,0)),IF($F9&lt;=85,1,0))</formula>
    </cfRule>
  </conditionalFormatting>
  <conditionalFormatting sqref="AV10">
    <cfRule type="expression" priority="909" dxfId="17">
      <formula>AV10="X"</formula>
    </cfRule>
    <cfRule type="expression" priority="910" dxfId="16">
      <formula>AV10="후보"</formula>
    </cfRule>
  </conditionalFormatting>
  <conditionalFormatting sqref="AC10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10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10">
    <cfRule type="expression" priority="900" dxfId="3">
      <formula>AND(IF(OR($Q10=1,$Q10=2),1,0),IF($X10&lt;=20,1,0))</formula>
    </cfRule>
    <cfRule type="expression" priority="901" dxfId="2">
      <formula>AND(IF($Q10=2,1,0),IF($X10&lt;30,1,0))</formula>
    </cfRule>
    <cfRule type="expression" priority="902" dxfId="1">
      <formula>AND(IF($Q10=3,1,0),IF($X10&lt;30,1,0))</formula>
    </cfRule>
    <cfRule type="expression" priority="903" dxfId="0">
      <formula>AND(IF($Q10=3,1,IF($Q10=4,1,0)),IF($F10&lt;=85,1,0))</formula>
    </cfRule>
  </conditionalFormatting>
  <conditionalFormatting sqref="X10">
    <cfRule type="expression" priority="896" dxfId="3">
      <formula>AND(IF(OR($Q10=1,$Q10=2),1,0),IF($X10&lt;=20,1,0))</formula>
    </cfRule>
    <cfRule type="expression" priority="897" dxfId="2">
      <formula>AND(IF($Q10=2,1,0),IF($X10&lt;30,1,0))</formula>
    </cfRule>
    <cfRule type="expression" priority="898" dxfId="1">
      <formula>AND(IF($Q10=3,1,0),IF($X10&lt;30,1,0))</formula>
    </cfRule>
    <cfRule type="expression" priority="899" dxfId="0">
      <formula>AND(IF($Q10=3,1,IF($Q10=4,1,0)),IF($F10&lt;=85,1,0))</formula>
    </cfRule>
  </conditionalFormatting>
  <conditionalFormatting sqref="AI10">
    <cfRule type="expression" priority="892" dxfId="3">
      <formula>AND(IF(OR($Q10=1,$Q10=2),1,0),IF($X10&lt;=20,1,0))</formula>
    </cfRule>
    <cfRule type="expression" priority="893" dxfId="2">
      <formula>AND(IF($Q10=2,1,0),IF($X10&lt;30,1,0))</formula>
    </cfRule>
    <cfRule type="expression" priority="894" dxfId="1">
      <formula>AND(IF($Q10=3,1,0),IF($X10&lt;30,1,0))</formula>
    </cfRule>
    <cfRule type="expression" priority="895" dxfId="0">
      <formula>AND(IF($Q10=3,1,IF($Q10=4,1,0)),IF($F10&lt;=85,1,0))</formula>
    </cfRule>
  </conditionalFormatting>
  <conditionalFormatting sqref="AV11">
    <cfRule type="expression" priority="890" dxfId="17">
      <formula>AV11="X"</formula>
    </cfRule>
    <cfRule type="expression" priority="891" dxfId="16">
      <formula>AV11="후보"</formula>
    </cfRule>
  </conditionalFormatting>
  <conditionalFormatting sqref="AC11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11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11">
    <cfRule type="expression" priority="881" dxfId="3">
      <formula>AND(IF(OR($Q11=1,$Q11=2),1,0),IF($X11&lt;=20,1,0))</formula>
    </cfRule>
    <cfRule type="expression" priority="882" dxfId="2">
      <formula>AND(IF($Q11=2,1,0),IF($X11&lt;30,1,0))</formula>
    </cfRule>
    <cfRule type="expression" priority="883" dxfId="1">
      <formula>AND(IF($Q11=3,1,0),IF($X11&lt;30,1,0))</formula>
    </cfRule>
    <cfRule type="expression" priority="884" dxfId="0">
      <formula>AND(IF($Q11=3,1,IF($Q11=4,1,0)),IF($F11&lt;=85,1,0))</formula>
    </cfRule>
  </conditionalFormatting>
  <conditionalFormatting sqref="X11">
    <cfRule type="expression" priority="877" dxfId="3">
      <formula>AND(IF(OR($Q11=1,$Q11=2),1,0),IF($X11&lt;=20,1,0))</formula>
    </cfRule>
    <cfRule type="expression" priority="878" dxfId="2">
      <formula>AND(IF($Q11=2,1,0),IF($X11&lt;30,1,0))</formula>
    </cfRule>
    <cfRule type="expression" priority="879" dxfId="1">
      <formula>AND(IF($Q11=3,1,0),IF($X11&lt;30,1,0))</formula>
    </cfRule>
    <cfRule type="expression" priority="880" dxfId="0">
      <formula>AND(IF($Q11=3,1,IF($Q11=4,1,0)),IF($F11&lt;=85,1,0))</formula>
    </cfRule>
  </conditionalFormatting>
  <conditionalFormatting sqref="AI11">
    <cfRule type="expression" priority="873" dxfId="3">
      <formula>AND(IF(OR($Q11=1,$Q11=2),1,0),IF($X11&lt;=20,1,0))</formula>
    </cfRule>
    <cfRule type="expression" priority="874" dxfId="2">
      <formula>AND(IF($Q11=2,1,0),IF($X11&lt;30,1,0))</formula>
    </cfRule>
    <cfRule type="expression" priority="875" dxfId="1">
      <formula>AND(IF($Q11=3,1,0),IF($X11&lt;30,1,0))</formula>
    </cfRule>
    <cfRule type="expression" priority="876" dxfId="0">
      <formula>AND(IF($Q11=3,1,IF($Q11=4,1,0)),IF($F11&lt;=85,1,0))</formula>
    </cfRule>
  </conditionalFormatting>
  <conditionalFormatting sqref="AV12">
    <cfRule type="expression" priority="871" dxfId="17">
      <formula>AV12="X"</formula>
    </cfRule>
    <cfRule type="expression" priority="872" dxfId="16">
      <formula>AV12="후보"</formula>
    </cfRule>
  </conditionalFormatting>
  <conditionalFormatting sqref="AC12 N12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AV13">
    <cfRule type="expression" priority="866" dxfId="17">
      <formula>AV13="X"</formula>
    </cfRule>
    <cfRule type="expression" priority="867" dxfId="16">
      <formula>AV13="후보"</formula>
    </cfRule>
  </conditionalFormatting>
  <conditionalFormatting sqref="AC13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13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13">
    <cfRule type="expression" priority="857" dxfId="3">
      <formula>AND(IF(OR($Q13=1,$Q13=2),1,0),IF($X13&lt;=20,1,0))</formula>
    </cfRule>
    <cfRule type="expression" priority="858" dxfId="2">
      <formula>AND(IF($Q13=2,1,0),IF($X13&lt;30,1,0))</formula>
    </cfRule>
    <cfRule type="expression" priority="859" dxfId="1">
      <formula>AND(IF($Q13=3,1,0),IF($X13&lt;30,1,0))</formula>
    </cfRule>
    <cfRule type="expression" priority="860" dxfId="0">
      <formula>AND(IF($Q13=3,1,IF($Q13=4,1,0)),IF($F13&lt;=85,1,0))</formula>
    </cfRule>
  </conditionalFormatting>
  <conditionalFormatting sqref="X13">
    <cfRule type="expression" priority="853" dxfId="3">
      <formula>AND(IF(OR($Q13=1,$Q13=2),1,0),IF($X13&lt;=20,1,0))</formula>
    </cfRule>
    <cfRule type="expression" priority="854" dxfId="2">
      <formula>AND(IF($Q13=2,1,0),IF($X13&lt;30,1,0))</formula>
    </cfRule>
    <cfRule type="expression" priority="855" dxfId="1">
      <formula>AND(IF($Q13=3,1,0),IF($X13&lt;30,1,0))</formula>
    </cfRule>
    <cfRule type="expression" priority="856" dxfId="0">
      <formula>AND(IF($Q13=3,1,IF($Q13=4,1,0)),IF($F13&lt;=85,1,0))</formula>
    </cfRule>
  </conditionalFormatting>
  <conditionalFormatting sqref="AI13">
    <cfRule type="expression" priority="849" dxfId="3">
      <formula>AND(IF(OR($Q13=1,$Q13=2),1,0),IF($X13&lt;=20,1,0))</formula>
    </cfRule>
    <cfRule type="expression" priority="850" dxfId="2">
      <formula>AND(IF($Q13=2,1,0),IF($X13&lt;30,1,0))</formula>
    </cfRule>
    <cfRule type="expression" priority="851" dxfId="1">
      <formula>AND(IF($Q13=3,1,0),IF($X13&lt;30,1,0))</formula>
    </cfRule>
    <cfRule type="expression" priority="852" dxfId="0">
      <formula>AND(IF($Q13=3,1,IF($Q13=4,1,0)),IF($F13&lt;=85,1,0))</formula>
    </cfRule>
  </conditionalFormatting>
  <conditionalFormatting sqref="AV14">
    <cfRule type="expression" priority="847" dxfId="17">
      <formula>AV14="X"</formula>
    </cfRule>
    <cfRule type="expression" priority="848" dxfId="16">
      <formula>AV14="후보"</formula>
    </cfRule>
  </conditionalFormatting>
  <conditionalFormatting sqref="AC14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14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14">
    <cfRule type="expression" priority="838" dxfId="3">
      <formula>AND(IF(OR($Q14=1,$Q14=2),1,0),IF($X14&lt;=20,1,0))</formula>
    </cfRule>
    <cfRule type="expression" priority="839" dxfId="2">
      <formula>AND(IF($Q14=2,1,0),IF($X14&lt;30,1,0))</formula>
    </cfRule>
    <cfRule type="expression" priority="840" dxfId="1">
      <formula>AND(IF($Q14=3,1,0),IF($X14&lt;30,1,0))</formula>
    </cfRule>
    <cfRule type="expression" priority="841" dxfId="0">
      <formula>AND(IF($Q14=3,1,IF($Q14=4,1,0)),IF($F14&lt;=85,1,0))</formula>
    </cfRule>
  </conditionalFormatting>
  <conditionalFormatting sqref="X14">
    <cfRule type="expression" priority="834" dxfId="3">
      <formula>AND(IF(OR($Q14=1,$Q14=2),1,0),IF($X14&lt;=20,1,0))</formula>
    </cfRule>
    <cfRule type="expression" priority="835" dxfId="2">
      <formula>AND(IF($Q14=2,1,0),IF($X14&lt;30,1,0))</formula>
    </cfRule>
    <cfRule type="expression" priority="836" dxfId="1">
      <formula>AND(IF($Q14=3,1,0),IF($X14&lt;30,1,0))</formula>
    </cfRule>
    <cfRule type="expression" priority="837" dxfId="0">
      <formula>AND(IF($Q14=3,1,IF($Q14=4,1,0)),IF($F14&lt;=85,1,0))</formula>
    </cfRule>
  </conditionalFormatting>
  <conditionalFormatting sqref="AI14">
    <cfRule type="expression" priority="830" dxfId="3">
      <formula>AND(IF(OR($Q14=1,$Q14=2),1,0),IF($X14&lt;=20,1,0))</formula>
    </cfRule>
    <cfRule type="expression" priority="831" dxfId="2">
      <formula>AND(IF($Q14=2,1,0),IF($X14&lt;30,1,0))</formula>
    </cfRule>
    <cfRule type="expression" priority="832" dxfId="1">
      <formula>AND(IF($Q14=3,1,0),IF($X14&lt;30,1,0))</formula>
    </cfRule>
    <cfRule type="expression" priority="833" dxfId="0">
      <formula>AND(IF($Q14=3,1,IF($Q14=4,1,0)),IF($F14&lt;=85,1,0))</formula>
    </cfRule>
  </conditionalFormatting>
  <conditionalFormatting sqref="AV15">
    <cfRule type="expression" priority="828" dxfId="17">
      <formula>AV15="X"</formula>
    </cfRule>
    <cfRule type="expression" priority="829" dxfId="16">
      <formula>AV15="후보"</formula>
    </cfRule>
  </conditionalFormatting>
  <conditionalFormatting sqref="AC15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15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15">
    <cfRule type="expression" priority="819" dxfId="3">
      <formula>AND(IF(OR($Q15=1,$Q15=2),1,0),IF($X15&lt;=20,1,0))</formula>
    </cfRule>
    <cfRule type="expression" priority="820" dxfId="2">
      <formula>AND(IF($Q15=2,1,0),IF($X15&lt;30,1,0))</formula>
    </cfRule>
    <cfRule type="expression" priority="821" dxfId="1">
      <formula>AND(IF($Q15=3,1,0),IF($X15&lt;30,1,0))</formula>
    </cfRule>
    <cfRule type="expression" priority="822" dxfId="0">
      <formula>AND(IF($Q15=3,1,IF($Q15=4,1,0)),IF($F15&lt;=85,1,0))</formula>
    </cfRule>
  </conditionalFormatting>
  <conditionalFormatting sqref="X15">
    <cfRule type="expression" priority="815" dxfId="3">
      <formula>AND(IF(OR($Q15=1,$Q15=2),1,0),IF($X15&lt;=20,1,0))</formula>
    </cfRule>
    <cfRule type="expression" priority="816" dxfId="2">
      <formula>AND(IF($Q15=2,1,0),IF($X15&lt;30,1,0))</formula>
    </cfRule>
    <cfRule type="expression" priority="817" dxfId="1">
      <formula>AND(IF($Q15=3,1,0),IF($X15&lt;30,1,0))</formula>
    </cfRule>
    <cfRule type="expression" priority="818" dxfId="0">
      <formula>AND(IF($Q15=3,1,IF($Q15=4,1,0)),IF($F15&lt;=85,1,0))</formula>
    </cfRule>
  </conditionalFormatting>
  <conditionalFormatting sqref="AI15">
    <cfRule type="expression" priority="811" dxfId="3">
      <formula>AND(IF(OR($Q15=1,$Q15=2),1,0),IF($X15&lt;=20,1,0))</formula>
    </cfRule>
    <cfRule type="expression" priority="812" dxfId="2">
      <formula>AND(IF($Q15=2,1,0),IF($X15&lt;30,1,0))</formula>
    </cfRule>
    <cfRule type="expression" priority="813" dxfId="1">
      <formula>AND(IF($Q15=3,1,0),IF($X15&lt;30,1,0))</formula>
    </cfRule>
    <cfRule type="expression" priority="814" dxfId="0">
      <formula>AND(IF($Q15=3,1,IF($Q15=4,1,0)),IF($F15&lt;=85,1,0))</formula>
    </cfRule>
  </conditionalFormatting>
  <conditionalFormatting sqref="AV16">
    <cfRule type="expression" priority="809" dxfId="17">
      <formula>AV16="X"</formula>
    </cfRule>
    <cfRule type="expression" priority="810" dxfId="16">
      <formula>AV16="후보"</formula>
    </cfRule>
  </conditionalFormatting>
  <conditionalFormatting sqref="AC16 N16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AV17">
    <cfRule type="expression" priority="804" dxfId="17">
      <formula>AV17="X"</formula>
    </cfRule>
    <cfRule type="expression" priority="805" dxfId="16">
      <formula>AV17="후보"</formula>
    </cfRule>
  </conditionalFormatting>
  <conditionalFormatting sqref="AC17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17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17">
    <cfRule type="expression" priority="795" dxfId="3">
      <formula>AND(IF(OR($Q17=1,$Q17=2),1,0),IF($X17&lt;=20,1,0))</formula>
    </cfRule>
    <cfRule type="expression" priority="796" dxfId="2">
      <formula>AND(IF($Q17=2,1,0),IF($X17&lt;30,1,0))</formula>
    </cfRule>
    <cfRule type="expression" priority="797" dxfId="1">
      <formula>AND(IF($Q17=3,1,0),IF($X17&lt;30,1,0))</formula>
    </cfRule>
    <cfRule type="expression" priority="798" dxfId="0">
      <formula>AND(IF($Q17=3,1,IF($Q17=4,1,0)),IF($F17&lt;=85,1,0))</formula>
    </cfRule>
  </conditionalFormatting>
  <conditionalFormatting sqref="X17">
    <cfRule type="expression" priority="791" dxfId="3">
      <formula>AND(IF(OR($Q17=1,$Q17=2),1,0),IF($X17&lt;=20,1,0))</formula>
    </cfRule>
    <cfRule type="expression" priority="792" dxfId="2">
      <formula>AND(IF($Q17=2,1,0),IF($X17&lt;30,1,0))</formula>
    </cfRule>
    <cfRule type="expression" priority="793" dxfId="1">
      <formula>AND(IF($Q17=3,1,0),IF($X17&lt;30,1,0))</formula>
    </cfRule>
    <cfRule type="expression" priority="794" dxfId="0">
      <formula>AND(IF($Q17=3,1,IF($Q17=4,1,0)),IF($F17&lt;=85,1,0))</formula>
    </cfRule>
  </conditionalFormatting>
  <conditionalFormatting sqref="AI17">
    <cfRule type="expression" priority="787" dxfId="3">
      <formula>AND(IF(OR($Q17=1,$Q17=2),1,0),IF($X17&lt;=20,1,0))</formula>
    </cfRule>
    <cfRule type="expression" priority="788" dxfId="2">
      <formula>AND(IF($Q17=2,1,0),IF($X17&lt;30,1,0))</formula>
    </cfRule>
    <cfRule type="expression" priority="789" dxfId="1">
      <formula>AND(IF($Q17=3,1,0),IF($X17&lt;30,1,0))</formula>
    </cfRule>
    <cfRule type="expression" priority="790" dxfId="0">
      <formula>AND(IF($Q17=3,1,IF($Q17=4,1,0)),IF($F17&lt;=85,1,0))</formula>
    </cfRule>
  </conditionalFormatting>
  <conditionalFormatting sqref="AV18">
    <cfRule type="expression" priority="785" dxfId="17">
      <formula>AV18="X"</formula>
    </cfRule>
    <cfRule type="expression" priority="786" dxfId="16">
      <formula>AV18="후보"</formula>
    </cfRule>
  </conditionalFormatting>
  <conditionalFormatting sqref="AC18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18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18">
    <cfRule type="expression" priority="776" dxfId="3">
      <formula>AND(IF(OR($Q18=1,$Q18=2),1,0),IF($X18&lt;=20,1,0))</formula>
    </cfRule>
    <cfRule type="expression" priority="777" dxfId="2">
      <formula>AND(IF($Q18=2,1,0),IF($X18&lt;30,1,0))</formula>
    </cfRule>
    <cfRule type="expression" priority="778" dxfId="1">
      <formula>AND(IF($Q18=3,1,0),IF($X18&lt;30,1,0))</formula>
    </cfRule>
    <cfRule type="expression" priority="779" dxfId="0">
      <formula>AND(IF($Q18=3,1,IF($Q18=4,1,0)),IF($F18&lt;=85,1,0))</formula>
    </cfRule>
  </conditionalFormatting>
  <conditionalFormatting sqref="X18">
    <cfRule type="expression" priority="772" dxfId="3">
      <formula>AND(IF(OR($Q18=1,$Q18=2),1,0),IF($X18&lt;=20,1,0))</formula>
    </cfRule>
    <cfRule type="expression" priority="773" dxfId="2">
      <formula>AND(IF($Q18=2,1,0),IF($X18&lt;30,1,0))</formula>
    </cfRule>
    <cfRule type="expression" priority="774" dxfId="1">
      <formula>AND(IF($Q18=3,1,0),IF($X18&lt;30,1,0))</formula>
    </cfRule>
    <cfRule type="expression" priority="775" dxfId="0">
      <formula>AND(IF($Q18=3,1,IF($Q18=4,1,0)),IF($F18&lt;=85,1,0))</formula>
    </cfRule>
  </conditionalFormatting>
  <conditionalFormatting sqref="AI18">
    <cfRule type="expression" priority="768" dxfId="3">
      <formula>AND(IF(OR($Q18=1,$Q18=2),1,0),IF($X18&lt;=20,1,0))</formula>
    </cfRule>
    <cfRule type="expression" priority="769" dxfId="2">
      <formula>AND(IF($Q18=2,1,0),IF($X18&lt;30,1,0))</formula>
    </cfRule>
    <cfRule type="expression" priority="770" dxfId="1">
      <formula>AND(IF($Q18=3,1,0),IF($X18&lt;30,1,0))</formula>
    </cfRule>
    <cfRule type="expression" priority="771" dxfId="0">
      <formula>AND(IF($Q18=3,1,IF($Q18=4,1,0)),IF($F18&lt;=85,1,0))</formula>
    </cfRule>
  </conditionalFormatting>
  <conditionalFormatting sqref="AV19">
    <cfRule type="expression" priority="766" dxfId="17">
      <formula>AV19="X"</formula>
    </cfRule>
    <cfRule type="expression" priority="767" dxfId="16">
      <formula>AV19="후보"</formula>
    </cfRule>
  </conditionalFormatting>
  <conditionalFormatting sqref="AC19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19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19">
    <cfRule type="expression" priority="757" dxfId="3">
      <formula>AND(IF(OR($Q19=1,$Q19=2),1,0),IF($X19&lt;=20,1,0))</formula>
    </cfRule>
    <cfRule type="expression" priority="758" dxfId="2">
      <formula>AND(IF($Q19=2,1,0),IF($X19&lt;30,1,0))</formula>
    </cfRule>
    <cfRule type="expression" priority="759" dxfId="1">
      <formula>AND(IF($Q19=3,1,0),IF($X19&lt;30,1,0))</formula>
    </cfRule>
    <cfRule type="expression" priority="760" dxfId="0">
      <formula>AND(IF($Q19=3,1,IF($Q19=4,1,0)),IF($F19&lt;=85,1,0))</formula>
    </cfRule>
  </conditionalFormatting>
  <conditionalFormatting sqref="X19">
    <cfRule type="expression" priority="753" dxfId="3">
      <formula>AND(IF(OR($Q19=1,$Q19=2),1,0),IF($X19&lt;=20,1,0))</formula>
    </cfRule>
    <cfRule type="expression" priority="754" dxfId="2">
      <formula>AND(IF($Q19=2,1,0),IF($X19&lt;30,1,0))</formula>
    </cfRule>
    <cfRule type="expression" priority="755" dxfId="1">
      <formula>AND(IF($Q19=3,1,0),IF($X19&lt;30,1,0))</formula>
    </cfRule>
    <cfRule type="expression" priority="756" dxfId="0">
      <formula>AND(IF($Q19=3,1,IF($Q19=4,1,0)),IF($F19&lt;=85,1,0))</formula>
    </cfRule>
  </conditionalFormatting>
  <conditionalFormatting sqref="AI19">
    <cfRule type="expression" priority="749" dxfId="3">
      <formula>AND(IF(OR($Q19=1,$Q19=2),1,0),IF($X19&lt;=20,1,0))</formula>
    </cfRule>
    <cfRule type="expression" priority="750" dxfId="2">
      <formula>AND(IF($Q19=2,1,0),IF($X19&lt;30,1,0))</formula>
    </cfRule>
    <cfRule type="expression" priority="751" dxfId="1">
      <formula>AND(IF($Q19=3,1,0),IF($X19&lt;30,1,0))</formula>
    </cfRule>
    <cfRule type="expression" priority="752" dxfId="0">
      <formula>AND(IF($Q19=3,1,IF($Q19=4,1,0)),IF($F19&lt;=85,1,0))</formula>
    </cfRule>
  </conditionalFormatting>
  <conditionalFormatting sqref="AV20">
    <cfRule type="expression" priority="747" dxfId="17">
      <formula>AV20="X"</formula>
    </cfRule>
    <cfRule type="expression" priority="748" dxfId="16">
      <formula>AV20="후보"</formula>
    </cfRule>
  </conditionalFormatting>
  <conditionalFormatting sqref="AC20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20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20">
    <cfRule type="expression" priority="738" dxfId="3">
      <formula>AND(IF(OR($Q20=1,$Q20=2),1,0),IF($X20&lt;=20,1,0))</formula>
    </cfRule>
    <cfRule type="expression" priority="739" dxfId="2">
      <formula>AND(IF($Q20=2,1,0),IF($X20&lt;30,1,0))</formula>
    </cfRule>
    <cfRule type="expression" priority="740" dxfId="1">
      <formula>AND(IF($Q20=3,1,0),IF($X20&lt;30,1,0))</formula>
    </cfRule>
    <cfRule type="expression" priority="741" dxfId="0">
      <formula>AND(IF($Q20=3,1,IF($Q20=4,1,0)),IF($F20&lt;=85,1,0))</formula>
    </cfRule>
  </conditionalFormatting>
  <conditionalFormatting sqref="X20">
    <cfRule type="expression" priority="734" dxfId="3">
      <formula>AND(IF(OR($Q20=1,$Q20=2),1,0),IF($X20&lt;=20,1,0))</formula>
    </cfRule>
    <cfRule type="expression" priority="735" dxfId="2">
      <formula>AND(IF($Q20=2,1,0),IF($X20&lt;30,1,0))</formula>
    </cfRule>
    <cfRule type="expression" priority="736" dxfId="1">
      <formula>AND(IF($Q20=3,1,0),IF($X20&lt;30,1,0))</formula>
    </cfRule>
    <cfRule type="expression" priority="737" dxfId="0">
      <formula>AND(IF($Q20=3,1,IF($Q20=4,1,0)),IF($F20&lt;=85,1,0))</formula>
    </cfRule>
  </conditionalFormatting>
  <conditionalFormatting sqref="AI20">
    <cfRule type="expression" priority="730" dxfId="3">
      <formula>AND(IF(OR($Q20=1,$Q20=2),1,0),IF($X20&lt;=20,1,0))</formula>
    </cfRule>
    <cfRule type="expression" priority="731" dxfId="2">
      <formula>AND(IF($Q20=2,1,0),IF($X20&lt;30,1,0))</formula>
    </cfRule>
    <cfRule type="expression" priority="732" dxfId="1">
      <formula>AND(IF($Q20=3,1,0),IF($X20&lt;30,1,0))</formula>
    </cfRule>
    <cfRule type="expression" priority="733" dxfId="0">
      <formula>AND(IF($Q20=3,1,IF($Q20=4,1,0)),IF($F20&lt;=85,1,0))</formula>
    </cfRule>
  </conditionalFormatting>
  <conditionalFormatting sqref="AV21">
    <cfRule type="expression" priority="728" dxfId="17">
      <formula>AV21="X"</formula>
    </cfRule>
    <cfRule type="expression" priority="729" dxfId="16">
      <formula>AV21="후보"</formula>
    </cfRule>
  </conditionalFormatting>
  <conditionalFormatting sqref="AC21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21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21">
    <cfRule type="expression" priority="719" dxfId="3">
      <formula>AND(IF(OR($Q21=1,$Q21=2),1,0),IF($X21&lt;=20,1,0))</formula>
    </cfRule>
    <cfRule type="expression" priority="720" dxfId="2">
      <formula>AND(IF($Q21=2,1,0),IF($X21&lt;30,1,0))</formula>
    </cfRule>
    <cfRule type="expression" priority="721" dxfId="1">
      <formula>AND(IF($Q21=3,1,0),IF($X21&lt;30,1,0))</formula>
    </cfRule>
    <cfRule type="expression" priority="722" dxfId="0">
      <formula>AND(IF($Q21=3,1,IF($Q21=4,1,0)),IF($F21&lt;=85,1,0))</formula>
    </cfRule>
  </conditionalFormatting>
  <conditionalFormatting sqref="X21">
    <cfRule type="expression" priority="715" dxfId="3">
      <formula>AND(IF(OR($Q21=1,$Q21=2),1,0),IF($X21&lt;=20,1,0))</formula>
    </cfRule>
    <cfRule type="expression" priority="716" dxfId="2">
      <formula>AND(IF($Q21=2,1,0),IF($X21&lt;30,1,0))</formula>
    </cfRule>
    <cfRule type="expression" priority="717" dxfId="1">
      <formula>AND(IF($Q21=3,1,0),IF($X21&lt;30,1,0))</formula>
    </cfRule>
    <cfRule type="expression" priority="718" dxfId="0">
      <formula>AND(IF($Q21=3,1,IF($Q21=4,1,0)),IF($F21&lt;=85,1,0))</formula>
    </cfRule>
  </conditionalFormatting>
  <conditionalFormatting sqref="AI21">
    <cfRule type="expression" priority="711" dxfId="3">
      <formula>AND(IF(OR($Q21=1,$Q21=2),1,0),IF($X21&lt;=20,1,0))</formula>
    </cfRule>
    <cfRule type="expression" priority="712" dxfId="2">
      <formula>AND(IF($Q21=2,1,0),IF($X21&lt;30,1,0))</formula>
    </cfRule>
    <cfRule type="expression" priority="713" dxfId="1">
      <formula>AND(IF($Q21=3,1,0),IF($X21&lt;30,1,0))</formula>
    </cfRule>
    <cfRule type="expression" priority="714" dxfId="0">
      <formula>AND(IF($Q21=3,1,IF($Q21=4,1,0)),IF($F21&lt;=85,1,0))</formula>
    </cfRule>
  </conditionalFormatting>
  <conditionalFormatting sqref="AV22">
    <cfRule type="expression" priority="709" dxfId="17">
      <formula>AV22="X"</formula>
    </cfRule>
    <cfRule type="expression" priority="710" dxfId="16">
      <formula>AV22="후보"</formula>
    </cfRule>
  </conditionalFormatting>
  <conditionalFormatting sqref="AC22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22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22">
    <cfRule type="expression" priority="700" dxfId="3">
      <formula>AND(IF(OR($Q22=1,$Q22=2),1,0),IF($X22&lt;=20,1,0))</formula>
    </cfRule>
    <cfRule type="expression" priority="701" dxfId="2">
      <formula>AND(IF($Q22=2,1,0),IF($X22&lt;30,1,0))</formula>
    </cfRule>
    <cfRule type="expression" priority="702" dxfId="1">
      <formula>AND(IF($Q22=3,1,0),IF($X22&lt;30,1,0))</formula>
    </cfRule>
    <cfRule type="expression" priority="703" dxfId="0">
      <formula>AND(IF($Q22=3,1,IF($Q22=4,1,0)),IF($F22&lt;=85,1,0))</formula>
    </cfRule>
  </conditionalFormatting>
  <conditionalFormatting sqref="X22">
    <cfRule type="expression" priority="696" dxfId="3">
      <formula>AND(IF(OR($Q22=1,$Q22=2),1,0),IF($X22&lt;=20,1,0))</formula>
    </cfRule>
    <cfRule type="expression" priority="697" dxfId="2">
      <formula>AND(IF($Q22=2,1,0),IF($X22&lt;30,1,0))</formula>
    </cfRule>
    <cfRule type="expression" priority="698" dxfId="1">
      <formula>AND(IF($Q22=3,1,0),IF($X22&lt;30,1,0))</formula>
    </cfRule>
    <cfRule type="expression" priority="699" dxfId="0">
      <formula>AND(IF($Q22=3,1,IF($Q22=4,1,0)),IF($F22&lt;=85,1,0))</formula>
    </cfRule>
  </conditionalFormatting>
  <conditionalFormatting sqref="AI22">
    <cfRule type="expression" priority="692" dxfId="3">
      <formula>AND(IF(OR($Q22=1,$Q22=2),1,0),IF($X22&lt;=20,1,0))</formula>
    </cfRule>
    <cfRule type="expression" priority="693" dxfId="2">
      <formula>AND(IF($Q22=2,1,0),IF($X22&lt;30,1,0))</formula>
    </cfRule>
    <cfRule type="expression" priority="694" dxfId="1">
      <formula>AND(IF($Q22=3,1,0),IF($X22&lt;30,1,0))</formula>
    </cfRule>
    <cfRule type="expression" priority="695" dxfId="0">
      <formula>AND(IF($Q22=3,1,IF($Q22=4,1,0)),IF($F22&lt;=85,1,0))</formula>
    </cfRule>
  </conditionalFormatting>
  <conditionalFormatting sqref="AV23">
    <cfRule type="expression" priority="690" dxfId="17">
      <formula>AV23="X"</formula>
    </cfRule>
    <cfRule type="expression" priority="691" dxfId="16">
      <formula>AV23="후보"</formula>
    </cfRule>
  </conditionalFormatting>
  <conditionalFormatting sqref="AC23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23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23">
    <cfRule type="expression" priority="681" dxfId="3">
      <formula>AND(IF(OR($Q23=1,$Q23=2),1,0),IF($X23&lt;=20,1,0))</formula>
    </cfRule>
    <cfRule type="expression" priority="682" dxfId="2">
      <formula>AND(IF($Q23=2,1,0),IF($X23&lt;30,1,0))</formula>
    </cfRule>
    <cfRule type="expression" priority="683" dxfId="1">
      <formula>AND(IF($Q23=3,1,0),IF($X23&lt;30,1,0))</formula>
    </cfRule>
    <cfRule type="expression" priority="684" dxfId="0">
      <formula>AND(IF($Q23=3,1,IF($Q23=4,1,0)),IF($F23&lt;=85,1,0))</formula>
    </cfRule>
  </conditionalFormatting>
  <conditionalFormatting sqref="X23">
    <cfRule type="expression" priority="677" dxfId="3">
      <formula>AND(IF(OR($Q23=1,$Q23=2),1,0),IF($X23&lt;=20,1,0))</formula>
    </cfRule>
    <cfRule type="expression" priority="678" dxfId="2">
      <formula>AND(IF($Q23=2,1,0),IF($X23&lt;30,1,0))</formula>
    </cfRule>
    <cfRule type="expression" priority="679" dxfId="1">
      <formula>AND(IF($Q23=3,1,0),IF($X23&lt;30,1,0))</formula>
    </cfRule>
    <cfRule type="expression" priority="680" dxfId="0">
      <formula>AND(IF($Q23=3,1,IF($Q23=4,1,0)),IF($F23&lt;=85,1,0))</formula>
    </cfRule>
  </conditionalFormatting>
  <conditionalFormatting sqref="AI23">
    <cfRule type="expression" priority="673" dxfId="3">
      <formula>AND(IF(OR($Q23=1,$Q23=2),1,0),IF($X23&lt;=20,1,0))</formula>
    </cfRule>
    <cfRule type="expression" priority="674" dxfId="2">
      <formula>AND(IF($Q23=2,1,0),IF($X23&lt;30,1,0))</formula>
    </cfRule>
    <cfRule type="expression" priority="675" dxfId="1">
      <formula>AND(IF($Q23=3,1,0),IF($X23&lt;30,1,0))</formula>
    </cfRule>
    <cfRule type="expression" priority="676" dxfId="0">
      <formula>AND(IF($Q23=3,1,IF($Q23=4,1,0)),IF($F23&lt;=85,1,0))</formula>
    </cfRule>
  </conditionalFormatting>
  <conditionalFormatting sqref="AV24">
    <cfRule type="expression" priority="671" dxfId="17">
      <formula>AV24="X"</formula>
    </cfRule>
    <cfRule type="expression" priority="672" dxfId="16">
      <formula>AV24="후보"</formula>
    </cfRule>
  </conditionalFormatting>
  <conditionalFormatting sqref="AC24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N24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E24">
    <cfRule type="expression" priority="662" dxfId="3">
      <formula>AND(IF(OR($Q24=1,$Q24=2),1,0),IF($X24&lt;=20,1,0))</formula>
    </cfRule>
    <cfRule type="expression" priority="663" dxfId="2">
      <formula>AND(IF($Q24=2,1,0),IF($X24&lt;30,1,0))</formula>
    </cfRule>
    <cfRule type="expression" priority="664" dxfId="1">
      <formula>AND(IF($Q24=3,1,0),IF($X24&lt;30,1,0))</formula>
    </cfRule>
    <cfRule type="expression" priority="665" dxfId="0">
      <formula>AND(IF($Q24=3,1,IF($Q24=4,1,0)),IF($F24&lt;=85,1,0))</formula>
    </cfRule>
  </conditionalFormatting>
  <conditionalFormatting sqref="X24">
    <cfRule type="expression" priority="658" dxfId="3">
      <formula>AND(IF(OR($Q24=1,$Q24=2),1,0),IF($X24&lt;=20,1,0))</formula>
    </cfRule>
    <cfRule type="expression" priority="659" dxfId="2">
      <formula>AND(IF($Q24=2,1,0),IF($X24&lt;30,1,0))</formula>
    </cfRule>
    <cfRule type="expression" priority="660" dxfId="1">
      <formula>AND(IF($Q24=3,1,0),IF($X24&lt;30,1,0))</formula>
    </cfRule>
    <cfRule type="expression" priority="661" dxfId="0">
      <formula>AND(IF($Q24=3,1,IF($Q24=4,1,0)),IF($F24&lt;=85,1,0))</formula>
    </cfRule>
  </conditionalFormatting>
  <conditionalFormatting sqref="AI24">
    <cfRule type="expression" priority="654" dxfId="3">
      <formula>AND(IF(OR($Q24=1,$Q24=2),1,0),IF($X24&lt;=20,1,0))</formula>
    </cfRule>
    <cfRule type="expression" priority="655" dxfId="2">
      <formula>AND(IF($Q24=2,1,0),IF($X24&lt;30,1,0))</formula>
    </cfRule>
    <cfRule type="expression" priority="656" dxfId="1">
      <formula>AND(IF($Q24=3,1,0),IF($X24&lt;30,1,0))</formula>
    </cfRule>
    <cfRule type="expression" priority="657" dxfId="0">
      <formula>AND(IF($Q24=3,1,IF($Q24=4,1,0)),IF($F24&lt;=85,1,0))</formula>
    </cfRule>
  </conditionalFormatting>
  <conditionalFormatting sqref="AV25">
    <cfRule type="expression" priority="652" dxfId="17">
      <formula>AV25="X"</formula>
    </cfRule>
    <cfRule type="expression" priority="653" dxfId="16">
      <formula>AV25="후보"</formula>
    </cfRule>
  </conditionalFormatting>
  <conditionalFormatting sqref="AC25 N25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AV26">
    <cfRule type="expression" priority="647" dxfId="17">
      <formula>AV26="X"</formula>
    </cfRule>
    <cfRule type="expression" priority="648" dxfId="16">
      <formula>AV26="후보"</formula>
    </cfRule>
  </conditionalFormatting>
  <conditionalFormatting sqref="AC26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26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26">
    <cfRule type="expression" priority="638" dxfId="3">
      <formula>AND(IF(OR($Q26=1,$Q26=2),1,0),IF($X26&lt;=20,1,0))</formula>
    </cfRule>
    <cfRule type="expression" priority="639" dxfId="2">
      <formula>AND(IF($Q26=2,1,0),IF($X26&lt;30,1,0))</formula>
    </cfRule>
    <cfRule type="expression" priority="640" dxfId="1">
      <formula>AND(IF($Q26=3,1,0),IF($X26&lt;30,1,0))</formula>
    </cfRule>
    <cfRule type="expression" priority="641" dxfId="0">
      <formula>AND(IF($Q26=3,1,IF($Q26=4,1,0)),IF($F26&lt;=85,1,0))</formula>
    </cfRule>
  </conditionalFormatting>
  <conditionalFormatting sqref="X26">
    <cfRule type="expression" priority="634" dxfId="3">
      <formula>AND(IF(OR($Q26=1,$Q26=2),1,0),IF($X26&lt;=20,1,0))</formula>
    </cfRule>
    <cfRule type="expression" priority="635" dxfId="2">
      <formula>AND(IF($Q26=2,1,0),IF($X26&lt;30,1,0))</formula>
    </cfRule>
    <cfRule type="expression" priority="636" dxfId="1">
      <formula>AND(IF($Q26=3,1,0),IF($X26&lt;30,1,0))</formula>
    </cfRule>
    <cfRule type="expression" priority="637" dxfId="0">
      <formula>AND(IF($Q26=3,1,IF($Q26=4,1,0)),IF($F26&lt;=85,1,0))</formula>
    </cfRule>
  </conditionalFormatting>
  <conditionalFormatting sqref="AI26">
    <cfRule type="expression" priority="630" dxfId="3">
      <formula>AND(IF(OR($Q26=1,$Q26=2),1,0),IF($X26&lt;=20,1,0))</formula>
    </cfRule>
    <cfRule type="expression" priority="631" dxfId="2">
      <formula>AND(IF($Q26=2,1,0),IF($X26&lt;30,1,0))</formula>
    </cfRule>
    <cfRule type="expression" priority="632" dxfId="1">
      <formula>AND(IF($Q26=3,1,0),IF($X26&lt;30,1,0))</formula>
    </cfRule>
    <cfRule type="expression" priority="633" dxfId="0">
      <formula>AND(IF($Q26=3,1,IF($Q26=4,1,0)),IF($F26&lt;=85,1,0))</formula>
    </cfRule>
  </conditionalFormatting>
  <conditionalFormatting sqref="AV27">
    <cfRule type="expression" priority="628" dxfId="17">
      <formula>AV27="X"</formula>
    </cfRule>
    <cfRule type="expression" priority="629" dxfId="16">
      <formula>AV27="후보"</formula>
    </cfRule>
  </conditionalFormatting>
  <conditionalFormatting sqref="AC27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7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27">
    <cfRule type="expression" priority="619" dxfId="3">
      <formula>AND(IF(OR($Q27=1,$Q27=2),1,0),IF($X27&lt;=20,1,0))</formula>
    </cfRule>
    <cfRule type="expression" priority="620" dxfId="2">
      <formula>AND(IF($Q27=2,1,0),IF($X27&lt;30,1,0))</formula>
    </cfRule>
    <cfRule type="expression" priority="621" dxfId="1">
      <formula>AND(IF($Q27=3,1,0),IF($X27&lt;30,1,0))</formula>
    </cfRule>
    <cfRule type="expression" priority="622" dxfId="0">
      <formula>AND(IF($Q27=3,1,IF($Q27=4,1,0)),IF($F27&lt;=85,1,0))</formula>
    </cfRule>
  </conditionalFormatting>
  <conditionalFormatting sqref="X27">
    <cfRule type="expression" priority="615" dxfId="3">
      <formula>AND(IF(OR($Q27=1,$Q27=2),1,0),IF($X27&lt;=20,1,0))</formula>
    </cfRule>
    <cfRule type="expression" priority="616" dxfId="2">
      <formula>AND(IF($Q27=2,1,0),IF($X27&lt;30,1,0))</formula>
    </cfRule>
    <cfRule type="expression" priority="617" dxfId="1">
      <formula>AND(IF($Q27=3,1,0),IF($X27&lt;30,1,0))</formula>
    </cfRule>
    <cfRule type="expression" priority="618" dxfId="0">
      <formula>AND(IF($Q27=3,1,IF($Q27=4,1,0)),IF($F27&lt;=85,1,0))</formula>
    </cfRule>
  </conditionalFormatting>
  <conditionalFormatting sqref="AI27">
    <cfRule type="expression" priority="611" dxfId="3">
      <formula>AND(IF(OR($Q27=1,$Q27=2),1,0),IF($X27&lt;=20,1,0))</formula>
    </cfRule>
    <cfRule type="expression" priority="612" dxfId="2">
      <formula>AND(IF($Q27=2,1,0),IF($X27&lt;30,1,0))</formula>
    </cfRule>
    <cfRule type="expression" priority="613" dxfId="1">
      <formula>AND(IF($Q27=3,1,0),IF($X27&lt;30,1,0))</formula>
    </cfRule>
    <cfRule type="expression" priority="614" dxfId="0">
      <formula>AND(IF($Q27=3,1,IF($Q27=4,1,0)),IF($F27&lt;=85,1,0))</formula>
    </cfRule>
  </conditionalFormatting>
  <conditionalFormatting sqref="AV28">
    <cfRule type="expression" priority="609" dxfId="17">
      <formula>AV28="X"</formula>
    </cfRule>
    <cfRule type="expression" priority="610" dxfId="16">
      <formula>AV28="후보"</formula>
    </cfRule>
  </conditionalFormatting>
  <conditionalFormatting sqref="AC28 N28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AV29">
    <cfRule type="expression" priority="604" dxfId="17">
      <formula>AV29="X"</formula>
    </cfRule>
    <cfRule type="expression" priority="605" dxfId="16">
      <formula>AV29="후보"</formula>
    </cfRule>
  </conditionalFormatting>
  <conditionalFormatting sqref="AC29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29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29">
    <cfRule type="expression" priority="595" dxfId="3">
      <formula>AND(IF(OR($Q29=1,$Q29=2),1,0),IF($X29&lt;=20,1,0))</formula>
    </cfRule>
    <cfRule type="expression" priority="596" dxfId="2">
      <formula>AND(IF($Q29=2,1,0),IF($X29&lt;30,1,0))</formula>
    </cfRule>
    <cfRule type="expression" priority="597" dxfId="1">
      <formula>AND(IF($Q29=3,1,0),IF($X29&lt;30,1,0))</formula>
    </cfRule>
    <cfRule type="expression" priority="598" dxfId="0">
      <formula>AND(IF($Q29=3,1,IF($Q29=4,1,0)),IF($F29&lt;=85,1,0))</formula>
    </cfRule>
  </conditionalFormatting>
  <conditionalFormatting sqref="X29">
    <cfRule type="expression" priority="591" dxfId="3">
      <formula>AND(IF(OR($Q29=1,$Q29=2),1,0),IF($X29&lt;=20,1,0))</formula>
    </cfRule>
    <cfRule type="expression" priority="592" dxfId="2">
      <formula>AND(IF($Q29=2,1,0),IF($X29&lt;30,1,0))</formula>
    </cfRule>
    <cfRule type="expression" priority="593" dxfId="1">
      <formula>AND(IF($Q29=3,1,0),IF($X29&lt;30,1,0))</formula>
    </cfRule>
    <cfRule type="expression" priority="594" dxfId="0">
      <formula>AND(IF($Q29=3,1,IF($Q29=4,1,0)),IF($F29&lt;=85,1,0))</formula>
    </cfRule>
  </conditionalFormatting>
  <conditionalFormatting sqref="AI29">
    <cfRule type="expression" priority="587" dxfId="3">
      <formula>AND(IF(OR($Q29=1,$Q29=2),1,0),IF($X29&lt;=20,1,0))</formula>
    </cfRule>
    <cfRule type="expression" priority="588" dxfId="2">
      <formula>AND(IF($Q29=2,1,0),IF($X29&lt;30,1,0))</formula>
    </cfRule>
    <cfRule type="expression" priority="589" dxfId="1">
      <formula>AND(IF($Q29=3,1,0),IF($X29&lt;30,1,0))</formula>
    </cfRule>
    <cfRule type="expression" priority="590" dxfId="0">
      <formula>AND(IF($Q29=3,1,IF($Q29=4,1,0)),IF($F29&lt;=85,1,0))</formula>
    </cfRule>
  </conditionalFormatting>
  <conditionalFormatting sqref="AV30">
    <cfRule type="expression" priority="585" dxfId="17">
      <formula>AV30="X"</formula>
    </cfRule>
    <cfRule type="expression" priority="586" dxfId="16">
      <formula>AV30="후보"</formula>
    </cfRule>
  </conditionalFormatting>
  <conditionalFormatting sqref="AC30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30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30">
    <cfRule type="expression" priority="576" dxfId="3">
      <formula>AND(IF(OR($Q30=1,$Q30=2),1,0),IF($X30&lt;=20,1,0))</formula>
    </cfRule>
    <cfRule type="expression" priority="577" dxfId="2">
      <formula>AND(IF($Q30=2,1,0),IF($X30&lt;30,1,0))</formula>
    </cfRule>
    <cfRule type="expression" priority="578" dxfId="1">
      <formula>AND(IF($Q30=3,1,0),IF($X30&lt;30,1,0))</formula>
    </cfRule>
    <cfRule type="expression" priority="579" dxfId="0">
      <formula>AND(IF($Q30=3,1,IF($Q30=4,1,0)),IF($F30&lt;=85,1,0))</formula>
    </cfRule>
  </conditionalFormatting>
  <conditionalFormatting sqref="X30">
    <cfRule type="expression" priority="572" dxfId="3">
      <formula>AND(IF(OR($Q30=1,$Q30=2),1,0),IF($X30&lt;=20,1,0))</formula>
    </cfRule>
    <cfRule type="expression" priority="573" dxfId="2">
      <formula>AND(IF($Q30=2,1,0),IF($X30&lt;30,1,0))</formula>
    </cfRule>
    <cfRule type="expression" priority="574" dxfId="1">
      <formula>AND(IF($Q30=3,1,0),IF($X30&lt;30,1,0))</formula>
    </cfRule>
    <cfRule type="expression" priority="575" dxfId="0">
      <formula>AND(IF($Q30=3,1,IF($Q30=4,1,0)),IF($F30&lt;=85,1,0))</formula>
    </cfRule>
  </conditionalFormatting>
  <conditionalFormatting sqref="AI30">
    <cfRule type="expression" priority="568" dxfId="3">
      <formula>AND(IF(OR($Q30=1,$Q30=2),1,0),IF($X30&lt;=20,1,0))</formula>
    </cfRule>
    <cfRule type="expression" priority="569" dxfId="2">
      <formula>AND(IF($Q30=2,1,0),IF($X30&lt;30,1,0))</formula>
    </cfRule>
    <cfRule type="expression" priority="570" dxfId="1">
      <formula>AND(IF($Q30=3,1,0),IF($X30&lt;30,1,0))</formula>
    </cfRule>
    <cfRule type="expression" priority="571" dxfId="0">
      <formula>AND(IF($Q30=3,1,IF($Q30=4,1,0)),IF($F30&lt;=85,1,0))</formula>
    </cfRule>
  </conditionalFormatting>
  <conditionalFormatting sqref="AV31">
    <cfRule type="expression" priority="566" dxfId="17">
      <formula>AV31="X"</formula>
    </cfRule>
    <cfRule type="expression" priority="567" dxfId="16">
      <formula>AV31="후보"</formula>
    </cfRule>
  </conditionalFormatting>
  <conditionalFormatting sqref="AC31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31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31">
    <cfRule type="expression" priority="557" dxfId="3">
      <formula>AND(IF(OR($Q31=1,$Q31=2),1,0),IF($X31&lt;=20,1,0))</formula>
    </cfRule>
    <cfRule type="expression" priority="558" dxfId="2">
      <formula>AND(IF($Q31=2,1,0),IF($X31&lt;30,1,0))</formula>
    </cfRule>
    <cfRule type="expression" priority="559" dxfId="1">
      <formula>AND(IF($Q31=3,1,0),IF($X31&lt;30,1,0))</formula>
    </cfRule>
    <cfRule type="expression" priority="560" dxfId="0">
      <formula>AND(IF($Q31=3,1,IF($Q31=4,1,0)),IF($F31&lt;=85,1,0))</formula>
    </cfRule>
  </conditionalFormatting>
  <conditionalFormatting sqref="X31">
    <cfRule type="expression" priority="553" dxfId="3">
      <formula>AND(IF(OR($Q31=1,$Q31=2),1,0),IF($X31&lt;=20,1,0))</formula>
    </cfRule>
    <cfRule type="expression" priority="554" dxfId="2">
      <formula>AND(IF($Q31=2,1,0),IF($X31&lt;30,1,0))</formula>
    </cfRule>
    <cfRule type="expression" priority="555" dxfId="1">
      <formula>AND(IF($Q31=3,1,0),IF($X31&lt;30,1,0))</formula>
    </cfRule>
    <cfRule type="expression" priority="556" dxfId="0">
      <formula>AND(IF($Q31=3,1,IF($Q31=4,1,0)),IF($F31&lt;=85,1,0))</formula>
    </cfRule>
  </conditionalFormatting>
  <conditionalFormatting sqref="AI31">
    <cfRule type="expression" priority="549" dxfId="3">
      <formula>AND(IF(OR($Q31=1,$Q31=2),1,0),IF($X31&lt;=20,1,0))</formula>
    </cfRule>
    <cfRule type="expression" priority="550" dxfId="2">
      <formula>AND(IF($Q31=2,1,0),IF($X31&lt;30,1,0))</formula>
    </cfRule>
    <cfRule type="expression" priority="551" dxfId="1">
      <formula>AND(IF($Q31=3,1,0),IF($X31&lt;30,1,0))</formula>
    </cfRule>
    <cfRule type="expression" priority="552" dxfId="0">
      <formula>AND(IF($Q31=3,1,IF($Q31=4,1,0)),IF($F31&lt;=85,1,0))</formula>
    </cfRule>
  </conditionalFormatting>
  <conditionalFormatting sqref="AV32">
    <cfRule type="expression" priority="547" dxfId="17">
      <formula>AV32="X"</formula>
    </cfRule>
    <cfRule type="expression" priority="548" dxfId="16">
      <formula>AV32="후보"</formula>
    </cfRule>
  </conditionalFormatting>
  <conditionalFormatting sqref="AC32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32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32">
    <cfRule type="expression" priority="538" dxfId="3">
      <formula>AND(IF(OR($Q32=1,$Q32=2),1,0),IF($X32&lt;=20,1,0))</formula>
    </cfRule>
    <cfRule type="expression" priority="539" dxfId="2">
      <formula>AND(IF($Q32=2,1,0),IF($X32&lt;30,1,0))</formula>
    </cfRule>
    <cfRule type="expression" priority="540" dxfId="1">
      <formula>AND(IF($Q32=3,1,0),IF($X32&lt;30,1,0))</formula>
    </cfRule>
    <cfRule type="expression" priority="541" dxfId="0">
      <formula>AND(IF($Q32=3,1,IF($Q32=4,1,0)),IF($F32&lt;=85,1,0))</formula>
    </cfRule>
  </conditionalFormatting>
  <conditionalFormatting sqref="X32">
    <cfRule type="expression" priority="534" dxfId="3">
      <formula>AND(IF(OR($Q32=1,$Q32=2),1,0),IF($X32&lt;=20,1,0))</formula>
    </cfRule>
    <cfRule type="expression" priority="535" dxfId="2">
      <formula>AND(IF($Q32=2,1,0),IF($X32&lt;30,1,0))</formula>
    </cfRule>
    <cfRule type="expression" priority="536" dxfId="1">
      <formula>AND(IF($Q32=3,1,0),IF($X32&lt;30,1,0))</formula>
    </cfRule>
    <cfRule type="expression" priority="537" dxfId="0">
      <formula>AND(IF($Q32=3,1,IF($Q32=4,1,0)),IF($F32&lt;=85,1,0))</formula>
    </cfRule>
  </conditionalFormatting>
  <conditionalFormatting sqref="AI32">
    <cfRule type="expression" priority="530" dxfId="3">
      <formula>AND(IF(OR($Q32=1,$Q32=2),1,0),IF($X32&lt;=20,1,0))</formula>
    </cfRule>
    <cfRule type="expression" priority="531" dxfId="2">
      <formula>AND(IF($Q32=2,1,0),IF($X32&lt;30,1,0))</formula>
    </cfRule>
    <cfRule type="expression" priority="532" dxfId="1">
      <formula>AND(IF($Q32=3,1,0),IF($X32&lt;30,1,0))</formula>
    </cfRule>
    <cfRule type="expression" priority="533" dxfId="0">
      <formula>AND(IF($Q32=3,1,IF($Q32=4,1,0)),IF($F32&lt;=85,1,0))</formula>
    </cfRule>
  </conditionalFormatting>
  <conditionalFormatting sqref="AV33">
    <cfRule type="expression" priority="528" dxfId="17">
      <formula>AV33="X"</formula>
    </cfRule>
    <cfRule type="expression" priority="529" dxfId="16">
      <formula>AV33="후보"</formula>
    </cfRule>
  </conditionalFormatting>
  <conditionalFormatting sqref="AC33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33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33">
    <cfRule type="expression" priority="519" dxfId="3">
      <formula>AND(IF(OR($Q33=1,$Q33=2),1,0),IF($X33&lt;=20,1,0))</formula>
    </cfRule>
    <cfRule type="expression" priority="520" dxfId="2">
      <formula>AND(IF($Q33=2,1,0),IF($X33&lt;30,1,0))</formula>
    </cfRule>
    <cfRule type="expression" priority="521" dxfId="1">
      <formula>AND(IF($Q33=3,1,0),IF($X33&lt;30,1,0))</formula>
    </cfRule>
    <cfRule type="expression" priority="522" dxfId="0">
      <formula>AND(IF($Q33=3,1,IF($Q33=4,1,0)),IF($F33&lt;=85,1,0))</formula>
    </cfRule>
  </conditionalFormatting>
  <conditionalFormatting sqref="X33">
    <cfRule type="expression" priority="515" dxfId="3">
      <formula>AND(IF(OR($Q33=1,$Q33=2),1,0),IF($X33&lt;=20,1,0))</formula>
    </cfRule>
    <cfRule type="expression" priority="516" dxfId="2">
      <formula>AND(IF($Q33=2,1,0),IF($X33&lt;30,1,0))</formula>
    </cfRule>
    <cfRule type="expression" priority="517" dxfId="1">
      <formula>AND(IF($Q33=3,1,0),IF($X33&lt;30,1,0))</formula>
    </cfRule>
    <cfRule type="expression" priority="518" dxfId="0">
      <formula>AND(IF($Q33=3,1,IF($Q33=4,1,0)),IF($F33&lt;=85,1,0))</formula>
    </cfRule>
  </conditionalFormatting>
  <conditionalFormatting sqref="AI33">
    <cfRule type="expression" priority="511" dxfId="3">
      <formula>AND(IF(OR($Q33=1,$Q33=2),1,0),IF($X33&lt;=20,1,0))</formula>
    </cfRule>
    <cfRule type="expression" priority="512" dxfId="2">
      <formula>AND(IF($Q33=2,1,0),IF($X33&lt;30,1,0))</formula>
    </cfRule>
    <cfRule type="expression" priority="513" dxfId="1">
      <formula>AND(IF($Q33=3,1,0),IF($X33&lt;30,1,0))</formula>
    </cfRule>
    <cfRule type="expression" priority="514" dxfId="0">
      <formula>AND(IF($Q33=3,1,IF($Q33=4,1,0)),IF($F33&lt;=85,1,0))</formula>
    </cfRule>
  </conditionalFormatting>
  <conditionalFormatting sqref="AV34">
    <cfRule type="expression" priority="509" dxfId="17">
      <formula>AV34="X"</formula>
    </cfRule>
    <cfRule type="expression" priority="510" dxfId="16">
      <formula>AV34="후보"</formula>
    </cfRule>
  </conditionalFormatting>
  <conditionalFormatting sqref="AC34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34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34">
    <cfRule type="expression" priority="500" dxfId="3">
      <formula>AND(IF(OR($Q34=1,$Q34=2),1,0),IF($X34&lt;=20,1,0))</formula>
    </cfRule>
    <cfRule type="expression" priority="501" dxfId="2">
      <formula>AND(IF($Q34=2,1,0),IF($X34&lt;30,1,0))</formula>
    </cfRule>
    <cfRule type="expression" priority="502" dxfId="1">
      <formula>AND(IF($Q34=3,1,0),IF($X34&lt;30,1,0))</formula>
    </cfRule>
    <cfRule type="expression" priority="503" dxfId="0">
      <formula>AND(IF($Q34=3,1,IF($Q34=4,1,0)),IF($F34&lt;=85,1,0))</formula>
    </cfRule>
  </conditionalFormatting>
  <conditionalFormatting sqref="X34">
    <cfRule type="expression" priority="496" dxfId="3">
      <formula>AND(IF(OR($Q34=1,$Q34=2),1,0),IF($X34&lt;=20,1,0))</formula>
    </cfRule>
    <cfRule type="expression" priority="497" dxfId="2">
      <formula>AND(IF($Q34=2,1,0),IF($X34&lt;30,1,0))</formula>
    </cfRule>
    <cfRule type="expression" priority="498" dxfId="1">
      <formula>AND(IF($Q34=3,1,0),IF($X34&lt;30,1,0))</formula>
    </cfRule>
    <cfRule type="expression" priority="499" dxfId="0">
      <formula>AND(IF($Q34=3,1,IF($Q34=4,1,0)),IF($F34&lt;=85,1,0))</formula>
    </cfRule>
  </conditionalFormatting>
  <conditionalFormatting sqref="AI34">
    <cfRule type="expression" priority="492" dxfId="3">
      <formula>AND(IF(OR($Q34=1,$Q34=2),1,0),IF($X34&lt;=20,1,0))</formula>
    </cfRule>
    <cfRule type="expression" priority="493" dxfId="2">
      <formula>AND(IF($Q34=2,1,0),IF($X34&lt;30,1,0))</formula>
    </cfRule>
    <cfRule type="expression" priority="494" dxfId="1">
      <formula>AND(IF($Q34=3,1,0),IF($X34&lt;30,1,0))</formula>
    </cfRule>
    <cfRule type="expression" priority="495" dxfId="0">
      <formula>AND(IF($Q34=3,1,IF($Q34=4,1,0)),IF($F34&lt;=85,1,0))</formula>
    </cfRule>
  </conditionalFormatting>
  <conditionalFormatting sqref="AV35">
    <cfRule type="expression" priority="490" dxfId="17">
      <formula>AV35="X"</formula>
    </cfRule>
    <cfRule type="expression" priority="491" dxfId="16">
      <formula>AV35="후보"</formula>
    </cfRule>
  </conditionalFormatting>
  <conditionalFormatting sqref="AC35 N35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AV36">
    <cfRule type="expression" priority="485" dxfId="17">
      <formula>AV36="X"</formula>
    </cfRule>
    <cfRule type="expression" priority="486" dxfId="16">
      <formula>AV36="후보"</formula>
    </cfRule>
  </conditionalFormatting>
  <conditionalFormatting sqref="AC36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36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36">
    <cfRule type="expression" priority="476" dxfId="3">
      <formula>AND(IF(OR($Q36=1,$Q36=2),1,0),IF($X36&lt;=20,1,0))</formula>
    </cfRule>
    <cfRule type="expression" priority="477" dxfId="2">
      <formula>AND(IF($Q36=2,1,0),IF($X36&lt;30,1,0))</formula>
    </cfRule>
    <cfRule type="expression" priority="478" dxfId="1">
      <formula>AND(IF($Q36=3,1,0),IF($X36&lt;30,1,0))</formula>
    </cfRule>
    <cfRule type="expression" priority="479" dxfId="0">
      <formula>AND(IF($Q36=3,1,IF($Q36=4,1,0)),IF($F36&lt;=85,1,0))</formula>
    </cfRule>
  </conditionalFormatting>
  <conditionalFormatting sqref="X36">
    <cfRule type="expression" priority="472" dxfId="3">
      <formula>AND(IF(OR($Q36=1,$Q36=2),1,0),IF($X36&lt;=20,1,0))</formula>
    </cfRule>
    <cfRule type="expression" priority="473" dxfId="2">
      <formula>AND(IF($Q36=2,1,0),IF($X36&lt;30,1,0))</formula>
    </cfRule>
    <cfRule type="expression" priority="474" dxfId="1">
      <formula>AND(IF($Q36=3,1,0),IF($X36&lt;30,1,0))</formula>
    </cfRule>
    <cfRule type="expression" priority="475" dxfId="0">
      <formula>AND(IF($Q36=3,1,IF($Q36=4,1,0)),IF($F36&lt;=85,1,0))</formula>
    </cfRule>
  </conditionalFormatting>
  <conditionalFormatting sqref="AI36">
    <cfRule type="expression" priority="468" dxfId="3">
      <formula>AND(IF(OR($Q36=1,$Q36=2),1,0),IF($X36&lt;=20,1,0))</formula>
    </cfRule>
    <cfRule type="expression" priority="469" dxfId="2">
      <formula>AND(IF($Q36=2,1,0),IF($X36&lt;30,1,0))</formula>
    </cfRule>
    <cfRule type="expression" priority="470" dxfId="1">
      <formula>AND(IF($Q36=3,1,0),IF($X36&lt;30,1,0))</formula>
    </cfRule>
    <cfRule type="expression" priority="471" dxfId="0">
      <formula>AND(IF($Q36=3,1,IF($Q36=4,1,0)),IF($F36&lt;=85,1,0))</formula>
    </cfRule>
  </conditionalFormatting>
  <conditionalFormatting sqref="AV37">
    <cfRule type="expression" priority="466" dxfId="17">
      <formula>AV37="X"</formula>
    </cfRule>
    <cfRule type="expression" priority="467" dxfId="16">
      <formula>AV37="후보"</formula>
    </cfRule>
  </conditionalFormatting>
  <conditionalFormatting sqref="AC37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7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37">
    <cfRule type="expression" priority="457" dxfId="3">
      <formula>AND(IF(OR($Q37=1,$Q37=2),1,0),IF($X37&lt;=20,1,0))</formula>
    </cfRule>
    <cfRule type="expression" priority="458" dxfId="2">
      <formula>AND(IF($Q37=2,1,0),IF($X37&lt;30,1,0))</formula>
    </cfRule>
    <cfRule type="expression" priority="459" dxfId="1">
      <formula>AND(IF($Q37=3,1,0),IF($X37&lt;30,1,0))</formula>
    </cfRule>
    <cfRule type="expression" priority="460" dxfId="0">
      <formula>AND(IF($Q37=3,1,IF($Q37=4,1,0)),IF($F37&lt;=85,1,0))</formula>
    </cfRule>
  </conditionalFormatting>
  <conditionalFormatting sqref="X37">
    <cfRule type="expression" priority="453" dxfId="3">
      <formula>AND(IF(OR($Q37=1,$Q37=2),1,0),IF($X37&lt;=20,1,0))</formula>
    </cfRule>
    <cfRule type="expression" priority="454" dxfId="2">
      <formula>AND(IF($Q37=2,1,0),IF($X37&lt;30,1,0))</formula>
    </cfRule>
    <cfRule type="expression" priority="455" dxfId="1">
      <formula>AND(IF($Q37=3,1,0),IF($X37&lt;30,1,0))</formula>
    </cfRule>
    <cfRule type="expression" priority="456" dxfId="0">
      <formula>AND(IF($Q37=3,1,IF($Q37=4,1,0)),IF($F37&lt;=85,1,0))</formula>
    </cfRule>
  </conditionalFormatting>
  <conditionalFormatting sqref="AI37">
    <cfRule type="expression" priority="449" dxfId="3">
      <formula>AND(IF(OR($Q37=1,$Q37=2),1,0),IF($X37&lt;=20,1,0))</formula>
    </cfRule>
    <cfRule type="expression" priority="450" dxfId="2">
      <formula>AND(IF($Q37=2,1,0),IF($X37&lt;30,1,0))</formula>
    </cfRule>
    <cfRule type="expression" priority="451" dxfId="1">
      <formula>AND(IF($Q37=3,1,0),IF($X37&lt;30,1,0))</formula>
    </cfRule>
    <cfRule type="expression" priority="452" dxfId="0">
      <formula>AND(IF($Q37=3,1,IF($Q37=4,1,0)),IF($F37&lt;=85,1,0))</formula>
    </cfRule>
  </conditionalFormatting>
  <conditionalFormatting sqref="AV38">
    <cfRule type="expression" priority="447" dxfId="17">
      <formula>AV38="X"</formula>
    </cfRule>
    <cfRule type="expression" priority="448" dxfId="16">
      <formula>AV38="후보"</formula>
    </cfRule>
  </conditionalFormatting>
  <conditionalFormatting sqref="AC38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38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38">
    <cfRule type="expression" priority="438" dxfId="3">
      <formula>AND(IF(OR($Q38=1,$Q38=2),1,0),IF($X38&lt;=20,1,0))</formula>
    </cfRule>
    <cfRule type="expression" priority="439" dxfId="2">
      <formula>AND(IF($Q38=2,1,0),IF($X38&lt;30,1,0))</formula>
    </cfRule>
    <cfRule type="expression" priority="440" dxfId="1">
      <formula>AND(IF($Q38=3,1,0),IF($X38&lt;30,1,0))</formula>
    </cfRule>
    <cfRule type="expression" priority="441" dxfId="0">
      <formula>AND(IF($Q38=3,1,IF($Q38=4,1,0)),IF($F38&lt;=85,1,0))</formula>
    </cfRule>
  </conditionalFormatting>
  <conditionalFormatting sqref="X38">
    <cfRule type="expression" priority="434" dxfId="3">
      <formula>AND(IF(OR($Q38=1,$Q38=2),1,0),IF($X38&lt;=20,1,0))</formula>
    </cfRule>
    <cfRule type="expression" priority="435" dxfId="2">
      <formula>AND(IF($Q38=2,1,0),IF($X38&lt;30,1,0))</formula>
    </cfRule>
    <cfRule type="expression" priority="436" dxfId="1">
      <formula>AND(IF($Q38=3,1,0),IF($X38&lt;30,1,0))</formula>
    </cfRule>
    <cfRule type="expression" priority="437" dxfId="0">
      <formula>AND(IF($Q38=3,1,IF($Q38=4,1,0)),IF($F38&lt;=85,1,0))</formula>
    </cfRule>
  </conditionalFormatting>
  <conditionalFormatting sqref="AI38">
    <cfRule type="expression" priority="430" dxfId="3">
      <formula>AND(IF(OR($Q38=1,$Q38=2),1,0),IF($X38&lt;=20,1,0))</formula>
    </cfRule>
    <cfRule type="expression" priority="431" dxfId="2">
      <formula>AND(IF($Q38=2,1,0),IF($X38&lt;30,1,0))</formula>
    </cfRule>
    <cfRule type="expression" priority="432" dxfId="1">
      <formula>AND(IF($Q38=3,1,0),IF($X38&lt;30,1,0))</formula>
    </cfRule>
    <cfRule type="expression" priority="433" dxfId="0">
      <formula>AND(IF($Q38=3,1,IF($Q38=4,1,0)),IF($F38&lt;=85,1,0))</formula>
    </cfRule>
  </conditionalFormatting>
  <conditionalFormatting sqref="AV39">
    <cfRule type="expression" priority="428" dxfId="17">
      <formula>AV39="X"</formula>
    </cfRule>
    <cfRule type="expression" priority="429" dxfId="16">
      <formula>AV39="후보"</formula>
    </cfRule>
  </conditionalFormatting>
  <conditionalFormatting sqref="AC39 N39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40">
    <cfRule type="expression" priority="423" dxfId="17">
      <formula>AV40="X"</formula>
    </cfRule>
    <cfRule type="expression" priority="424" dxfId="16">
      <formula>AV40="후보"</formula>
    </cfRule>
  </conditionalFormatting>
  <conditionalFormatting sqref="AC40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40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40">
    <cfRule type="expression" priority="414" dxfId="3">
      <formula>AND(IF(OR($Q40=1,$Q40=2),1,0),IF($X40&lt;=20,1,0))</formula>
    </cfRule>
    <cfRule type="expression" priority="415" dxfId="2">
      <formula>AND(IF($Q40=2,1,0),IF($X40&lt;30,1,0))</formula>
    </cfRule>
    <cfRule type="expression" priority="416" dxfId="1">
      <formula>AND(IF($Q40=3,1,0),IF($X40&lt;30,1,0))</formula>
    </cfRule>
    <cfRule type="expression" priority="417" dxfId="0">
      <formula>AND(IF($Q40=3,1,IF($Q40=4,1,0)),IF($F40&lt;=85,1,0))</formula>
    </cfRule>
  </conditionalFormatting>
  <conditionalFormatting sqref="X40">
    <cfRule type="expression" priority="410" dxfId="3">
      <formula>AND(IF(OR($Q40=1,$Q40=2),1,0),IF($X40&lt;=20,1,0))</formula>
    </cfRule>
    <cfRule type="expression" priority="411" dxfId="2">
      <formula>AND(IF($Q40=2,1,0),IF($X40&lt;30,1,0))</formula>
    </cfRule>
    <cfRule type="expression" priority="412" dxfId="1">
      <formula>AND(IF($Q40=3,1,0),IF($X40&lt;30,1,0))</formula>
    </cfRule>
    <cfRule type="expression" priority="413" dxfId="0">
      <formula>AND(IF($Q40=3,1,IF($Q40=4,1,0)),IF($F40&lt;=85,1,0))</formula>
    </cfRule>
  </conditionalFormatting>
  <conditionalFormatting sqref="AI40">
    <cfRule type="expression" priority="406" dxfId="3">
      <formula>AND(IF(OR($Q40=1,$Q40=2),1,0),IF($X40&lt;=20,1,0))</formula>
    </cfRule>
    <cfRule type="expression" priority="407" dxfId="2">
      <formula>AND(IF($Q40=2,1,0),IF($X40&lt;30,1,0))</formula>
    </cfRule>
    <cfRule type="expression" priority="408" dxfId="1">
      <formula>AND(IF($Q40=3,1,0),IF($X40&lt;30,1,0))</formula>
    </cfRule>
    <cfRule type="expression" priority="409" dxfId="0">
      <formula>AND(IF($Q40=3,1,IF($Q40=4,1,0)),IF($F40&lt;=85,1,0))</formula>
    </cfRule>
  </conditionalFormatting>
  <conditionalFormatting sqref="AV41">
    <cfRule type="expression" priority="404" dxfId="17">
      <formula>AV41="X"</formula>
    </cfRule>
    <cfRule type="expression" priority="405" dxfId="16">
      <formula>AV41="후보"</formula>
    </cfRule>
  </conditionalFormatting>
  <conditionalFormatting sqref="AC41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41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41">
    <cfRule type="expression" priority="395" dxfId="3">
      <formula>AND(IF(OR($Q41=1,$Q41=2),1,0),IF($X41&lt;=20,1,0))</formula>
    </cfRule>
    <cfRule type="expression" priority="396" dxfId="2">
      <formula>AND(IF($Q41=2,1,0),IF($X41&lt;30,1,0))</formula>
    </cfRule>
    <cfRule type="expression" priority="397" dxfId="1">
      <formula>AND(IF($Q41=3,1,0),IF($X41&lt;30,1,0))</formula>
    </cfRule>
    <cfRule type="expression" priority="398" dxfId="0">
      <formula>AND(IF($Q41=3,1,IF($Q41=4,1,0)),IF($F41&lt;=85,1,0))</formula>
    </cfRule>
  </conditionalFormatting>
  <conditionalFormatting sqref="X41">
    <cfRule type="expression" priority="391" dxfId="3">
      <formula>AND(IF(OR($Q41=1,$Q41=2),1,0),IF($X41&lt;=20,1,0))</formula>
    </cfRule>
    <cfRule type="expression" priority="392" dxfId="2">
      <formula>AND(IF($Q41=2,1,0),IF($X41&lt;30,1,0))</formula>
    </cfRule>
    <cfRule type="expression" priority="393" dxfId="1">
      <formula>AND(IF($Q41=3,1,0),IF($X41&lt;30,1,0))</formula>
    </cfRule>
    <cfRule type="expression" priority="394" dxfId="0">
      <formula>AND(IF($Q41=3,1,IF($Q41=4,1,0)),IF($F41&lt;=85,1,0))</formula>
    </cfRule>
  </conditionalFormatting>
  <conditionalFormatting sqref="AI41">
    <cfRule type="expression" priority="387" dxfId="3">
      <formula>AND(IF(OR($Q41=1,$Q41=2),1,0),IF($X41&lt;=20,1,0))</formula>
    </cfRule>
    <cfRule type="expression" priority="388" dxfId="2">
      <formula>AND(IF($Q41=2,1,0),IF($X41&lt;30,1,0))</formula>
    </cfRule>
    <cfRule type="expression" priority="389" dxfId="1">
      <formula>AND(IF($Q41=3,1,0),IF($X41&lt;30,1,0))</formula>
    </cfRule>
    <cfRule type="expression" priority="390" dxfId="0">
      <formula>AND(IF($Q41=3,1,IF($Q41=4,1,0)),IF($F41&lt;=85,1,0))</formula>
    </cfRule>
  </conditionalFormatting>
  <conditionalFormatting sqref="AV42">
    <cfRule type="expression" priority="385" dxfId="17">
      <formula>AV42="X"</formula>
    </cfRule>
    <cfRule type="expression" priority="386" dxfId="16">
      <formula>AV42="후보"</formula>
    </cfRule>
  </conditionalFormatting>
  <conditionalFormatting sqref="AC42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42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42">
    <cfRule type="expression" priority="376" dxfId="3">
      <formula>AND(IF(OR($Q42=1,$Q42=2),1,0),IF($X42&lt;=20,1,0))</formula>
    </cfRule>
    <cfRule type="expression" priority="377" dxfId="2">
      <formula>AND(IF($Q42=2,1,0),IF($X42&lt;30,1,0))</formula>
    </cfRule>
    <cfRule type="expression" priority="378" dxfId="1">
      <formula>AND(IF($Q42=3,1,0),IF($X42&lt;30,1,0))</formula>
    </cfRule>
    <cfRule type="expression" priority="379" dxfId="0">
      <formula>AND(IF($Q42=3,1,IF($Q42=4,1,0)),IF($F42&lt;=85,1,0))</formula>
    </cfRule>
  </conditionalFormatting>
  <conditionalFormatting sqref="X42">
    <cfRule type="expression" priority="372" dxfId="3">
      <formula>AND(IF(OR($Q42=1,$Q42=2),1,0),IF($X42&lt;=20,1,0))</formula>
    </cfRule>
    <cfRule type="expression" priority="373" dxfId="2">
      <formula>AND(IF($Q42=2,1,0),IF($X42&lt;30,1,0))</formula>
    </cfRule>
    <cfRule type="expression" priority="374" dxfId="1">
      <formula>AND(IF($Q42=3,1,0),IF($X42&lt;30,1,0))</formula>
    </cfRule>
    <cfRule type="expression" priority="375" dxfId="0">
      <formula>AND(IF($Q42=3,1,IF($Q42=4,1,0)),IF($F42&lt;=85,1,0))</formula>
    </cfRule>
  </conditionalFormatting>
  <conditionalFormatting sqref="AI42">
    <cfRule type="expression" priority="368" dxfId="3">
      <formula>AND(IF(OR($Q42=1,$Q42=2),1,0),IF($X42&lt;=20,1,0))</formula>
    </cfRule>
    <cfRule type="expression" priority="369" dxfId="2">
      <formula>AND(IF($Q42=2,1,0),IF($X42&lt;30,1,0))</formula>
    </cfRule>
    <cfRule type="expression" priority="370" dxfId="1">
      <formula>AND(IF($Q42=3,1,0),IF($X42&lt;30,1,0))</formula>
    </cfRule>
    <cfRule type="expression" priority="371" dxfId="0">
      <formula>AND(IF($Q42=3,1,IF($Q42=4,1,0)),IF($F42&lt;=85,1,0))</formula>
    </cfRule>
  </conditionalFormatting>
  <conditionalFormatting sqref="AV43">
    <cfRule type="expression" priority="366" dxfId="17">
      <formula>AV43="X"</formula>
    </cfRule>
    <cfRule type="expression" priority="367" dxfId="16">
      <formula>AV43="후보"</formula>
    </cfRule>
  </conditionalFormatting>
  <conditionalFormatting sqref="AC43 N43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AV44">
    <cfRule type="expression" priority="361" dxfId="17">
      <formula>AV44="X"</formula>
    </cfRule>
    <cfRule type="expression" priority="362" dxfId="16">
      <formula>AV44="후보"</formula>
    </cfRule>
  </conditionalFormatting>
  <conditionalFormatting sqref="AC44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44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44">
    <cfRule type="expression" priority="352" dxfId="3">
      <formula>AND(IF(OR($Q44=1,$Q44=2),1,0),IF($X44&lt;=20,1,0))</formula>
    </cfRule>
    <cfRule type="expression" priority="353" dxfId="2">
      <formula>AND(IF($Q44=2,1,0),IF($X44&lt;30,1,0))</formula>
    </cfRule>
    <cfRule type="expression" priority="354" dxfId="1">
      <formula>AND(IF($Q44=3,1,0),IF($X44&lt;30,1,0))</formula>
    </cfRule>
    <cfRule type="expression" priority="355" dxfId="0">
      <formula>AND(IF($Q44=3,1,IF($Q44=4,1,0)),IF($F44&lt;=85,1,0))</formula>
    </cfRule>
  </conditionalFormatting>
  <conditionalFormatting sqref="X44">
    <cfRule type="expression" priority="348" dxfId="3">
      <formula>AND(IF(OR($Q44=1,$Q44=2),1,0),IF($X44&lt;=20,1,0))</formula>
    </cfRule>
    <cfRule type="expression" priority="349" dxfId="2">
      <formula>AND(IF($Q44=2,1,0),IF($X44&lt;30,1,0))</formula>
    </cfRule>
    <cfRule type="expression" priority="350" dxfId="1">
      <formula>AND(IF($Q44=3,1,0),IF($X44&lt;30,1,0))</formula>
    </cfRule>
    <cfRule type="expression" priority="351" dxfId="0">
      <formula>AND(IF($Q44=3,1,IF($Q44=4,1,0)),IF($F44&lt;=85,1,0))</formula>
    </cfRule>
  </conditionalFormatting>
  <conditionalFormatting sqref="AI44">
    <cfRule type="expression" priority="344" dxfId="3">
      <formula>AND(IF(OR($Q44=1,$Q44=2),1,0),IF($X44&lt;=20,1,0))</formula>
    </cfRule>
    <cfRule type="expression" priority="345" dxfId="2">
      <formula>AND(IF($Q44=2,1,0),IF($X44&lt;30,1,0))</formula>
    </cfRule>
    <cfRule type="expression" priority="346" dxfId="1">
      <formula>AND(IF($Q44=3,1,0),IF($X44&lt;30,1,0))</formula>
    </cfRule>
    <cfRule type="expression" priority="347" dxfId="0">
      <formula>AND(IF($Q44=3,1,IF($Q44=4,1,0)),IF($F44&lt;=85,1,0))</formula>
    </cfRule>
  </conditionalFormatting>
  <conditionalFormatting sqref="AV45">
    <cfRule type="expression" priority="342" dxfId="17">
      <formula>AV45="X"</formula>
    </cfRule>
    <cfRule type="expression" priority="343" dxfId="16">
      <formula>AV45="후보"</formula>
    </cfRule>
  </conditionalFormatting>
  <conditionalFormatting sqref="AC4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4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45">
    <cfRule type="expression" priority="333" dxfId="3">
      <formula>AND(IF(OR($Q45=1,$Q45=2),1,0),IF($X45&lt;=20,1,0))</formula>
    </cfRule>
    <cfRule type="expression" priority="334" dxfId="2">
      <formula>AND(IF($Q45=2,1,0),IF($X45&lt;30,1,0))</formula>
    </cfRule>
    <cfRule type="expression" priority="335" dxfId="1">
      <formula>AND(IF($Q45=3,1,0),IF($X45&lt;30,1,0))</formula>
    </cfRule>
    <cfRule type="expression" priority="336" dxfId="0">
      <formula>AND(IF($Q45=3,1,IF($Q45=4,1,0)),IF($F45&lt;=85,1,0))</formula>
    </cfRule>
  </conditionalFormatting>
  <conditionalFormatting sqref="X45">
    <cfRule type="expression" priority="329" dxfId="3">
      <formula>AND(IF(OR($Q45=1,$Q45=2),1,0),IF($X45&lt;=20,1,0))</formula>
    </cfRule>
    <cfRule type="expression" priority="330" dxfId="2">
      <formula>AND(IF($Q45=2,1,0),IF($X45&lt;30,1,0))</formula>
    </cfRule>
    <cfRule type="expression" priority="331" dxfId="1">
      <formula>AND(IF($Q45=3,1,0),IF($X45&lt;30,1,0))</formula>
    </cfRule>
    <cfRule type="expression" priority="332" dxfId="0">
      <formula>AND(IF($Q45=3,1,IF($Q45=4,1,0)),IF($F45&lt;=85,1,0))</formula>
    </cfRule>
  </conditionalFormatting>
  <conditionalFormatting sqref="AI45">
    <cfRule type="expression" priority="325" dxfId="3">
      <formula>AND(IF(OR($Q45=1,$Q45=2),1,0),IF($X45&lt;=20,1,0))</formula>
    </cfRule>
    <cfRule type="expression" priority="326" dxfId="2">
      <formula>AND(IF($Q45=2,1,0),IF($X45&lt;30,1,0))</formula>
    </cfRule>
    <cfRule type="expression" priority="327" dxfId="1">
      <formula>AND(IF($Q45=3,1,0),IF($X45&lt;30,1,0))</formula>
    </cfRule>
    <cfRule type="expression" priority="328" dxfId="0">
      <formula>AND(IF($Q45=3,1,IF($Q45=4,1,0)),IF($F45&lt;=85,1,0))</formula>
    </cfRule>
  </conditionalFormatting>
  <conditionalFormatting sqref="AV46">
    <cfRule type="expression" priority="323" dxfId="17">
      <formula>AV46="X"</formula>
    </cfRule>
    <cfRule type="expression" priority="324" dxfId="16">
      <formula>AV46="후보"</formula>
    </cfRule>
  </conditionalFormatting>
  <conditionalFormatting sqref="AC46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46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46">
    <cfRule type="expression" priority="314" dxfId="3">
      <formula>AND(IF(OR($Q46=1,$Q46=2),1,0),IF($X46&lt;=20,1,0))</formula>
    </cfRule>
    <cfRule type="expression" priority="315" dxfId="2">
      <formula>AND(IF($Q46=2,1,0),IF($X46&lt;30,1,0))</formula>
    </cfRule>
    <cfRule type="expression" priority="316" dxfId="1">
      <formula>AND(IF($Q46=3,1,0),IF($X46&lt;30,1,0))</formula>
    </cfRule>
    <cfRule type="expression" priority="317" dxfId="0">
      <formula>AND(IF($Q46=3,1,IF($Q46=4,1,0)),IF($F46&lt;=85,1,0))</formula>
    </cfRule>
  </conditionalFormatting>
  <conditionalFormatting sqref="X46">
    <cfRule type="expression" priority="310" dxfId="3">
      <formula>AND(IF(OR($Q46=1,$Q46=2),1,0),IF($X46&lt;=20,1,0))</formula>
    </cfRule>
    <cfRule type="expression" priority="311" dxfId="2">
      <formula>AND(IF($Q46=2,1,0),IF($X46&lt;30,1,0))</formula>
    </cfRule>
    <cfRule type="expression" priority="312" dxfId="1">
      <formula>AND(IF($Q46=3,1,0),IF($X46&lt;30,1,0))</formula>
    </cfRule>
    <cfRule type="expression" priority="313" dxfId="0">
      <formula>AND(IF($Q46=3,1,IF($Q46=4,1,0)),IF($F46&lt;=85,1,0))</formula>
    </cfRule>
  </conditionalFormatting>
  <conditionalFormatting sqref="AI46">
    <cfRule type="expression" priority="306" dxfId="3">
      <formula>AND(IF(OR($Q46=1,$Q46=2),1,0),IF($X46&lt;=20,1,0))</formula>
    </cfRule>
    <cfRule type="expression" priority="307" dxfId="2">
      <formula>AND(IF($Q46=2,1,0),IF($X46&lt;30,1,0))</formula>
    </cfRule>
    <cfRule type="expression" priority="308" dxfId="1">
      <formula>AND(IF($Q46=3,1,0),IF($X46&lt;30,1,0))</formula>
    </cfRule>
    <cfRule type="expression" priority="309" dxfId="0">
      <formula>AND(IF($Q46=3,1,IF($Q46=4,1,0)),IF($F46&lt;=85,1,0))</formula>
    </cfRule>
  </conditionalFormatting>
  <conditionalFormatting sqref="AV47">
    <cfRule type="expression" priority="304" dxfId="17">
      <formula>AV47="X"</formula>
    </cfRule>
    <cfRule type="expression" priority="305" dxfId="16">
      <formula>AV47="후보"</formula>
    </cfRule>
  </conditionalFormatting>
  <conditionalFormatting sqref="AC4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7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47">
    <cfRule type="expression" priority="295" dxfId="3">
      <formula>AND(IF(OR($Q47=1,$Q47=2),1,0),IF($X47&lt;=20,1,0))</formula>
    </cfRule>
    <cfRule type="expression" priority="296" dxfId="2">
      <formula>AND(IF($Q47=2,1,0),IF($X47&lt;30,1,0))</formula>
    </cfRule>
    <cfRule type="expression" priority="297" dxfId="1">
      <formula>AND(IF($Q47=3,1,0),IF($X47&lt;30,1,0))</formula>
    </cfRule>
    <cfRule type="expression" priority="298" dxfId="0">
      <formula>AND(IF($Q47=3,1,IF($Q47=4,1,0)),IF($F47&lt;=85,1,0))</formula>
    </cfRule>
  </conditionalFormatting>
  <conditionalFormatting sqref="X47">
    <cfRule type="expression" priority="291" dxfId="3">
      <formula>AND(IF(OR($Q47=1,$Q47=2),1,0),IF($X47&lt;=20,1,0))</formula>
    </cfRule>
    <cfRule type="expression" priority="292" dxfId="2">
      <formula>AND(IF($Q47=2,1,0),IF($X47&lt;30,1,0))</formula>
    </cfRule>
    <cfRule type="expression" priority="293" dxfId="1">
      <formula>AND(IF($Q47=3,1,0),IF($X47&lt;30,1,0))</formula>
    </cfRule>
    <cfRule type="expression" priority="294" dxfId="0">
      <formula>AND(IF($Q47=3,1,IF($Q47=4,1,0)),IF($F47&lt;=85,1,0))</formula>
    </cfRule>
  </conditionalFormatting>
  <conditionalFormatting sqref="AI47">
    <cfRule type="expression" priority="287" dxfId="3">
      <formula>AND(IF(OR($Q47=1,$Q47=2),1,0),IF($X47&lt;=20,1,0))</formula>
    </cfRule>
    <cfRule type="expression" priority="288" dxfId="2">
      <formula>AND(IF($Q47=2,1,0),IF($X47&lt;30,1,0))</formula>
    </cfRule>
    <cfRule type="expression" priority="289" dxfId="1">
      <formula>AND(IF($Q47=3,1,0),IF($X47&lt;30,1,0))</formula>
    </cfRule>
    <cfRule type="expression" priority="290" dxfId="0">
      <formula>AND(IF($Q47=3,1,IF($Q47=4,1,0)),IF($F47&lt;=85,1,0))</formula>
    </cfRule>
  </conditionalFormatting>
  <conditionalFormatting sqref="AV48">
    <cfRule type="expression" priority="285" dxfId="17">
      <formula>AV48="X"</formula>
    </cfRule>
    <cfRule type="expression" priority="286" dxfId="16">
      <formula>AV48="후보"</formula>
    </cfRule>
  </conditionalFormatting>
  <conditionalFormatting sqref="AC48 N48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49">
    <cfRule type="expression" priority="280" dxfId="17">
      <formula>AV49="X"</formula>
    </cfRule>
    <cfRule type="expression" priority="281" dxfId="16">
      <formula>AV49="후보"</formula>
    </cfRule>
  </conditionalFormatting>
  <conditionalFormatting sqref="AC49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49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49">
    <cfRule type="expression" priority="271" dxfId="3">
      <formula>AND(IF(OR($Q49=1,$Q49=2),1,0),IF($X49&lt;=20,1,0))</formula>
    </cfRule>
    <cfRule type="expression" priority="272" dxfId="2">
      <formula>AND(IF($Q49=2,1,0),IF($X49&lt;30,1,0))</formula>
    </cfRule>
    <cfRule type="expression" priority="273" dxfId="1">
      <formula>AND(IF($Q49=3,1,0),IF($X49&lt;30,1,0))</formula>
    </cfRule>
    <cfRule type="expression" priority="274" dxfId="0">
      <formula>AND(IF($Q49=3,1,IF($Q49=4,1,0)),IF($F49&lt;=85,1,0))</formula>
    </cfRule>
  </conditionalFormatting>
  <conditionalFormatting sqref="X49">
    <cfRule type="expression" priority="267" dxfId="3">
      <formula>AND(IF(OR($Q49=1,$Q49=2),1,0),IF($X49&lt;=20,1,0))</formula>
    </cfRule>
    <cfRule type="expression" priority="268" dxfId="2">
      <formula>AND(IF($Q49=2,1,0),IF($X49&lt;30,1,0))</formula>
    </cfRule>
    <cfRule type="expression" priority="269" dxfId="1">
      <formula>AND(IF($Q49=3,1,0),IF($X49&lt;30,1,0))</formula>
    </cfRule>
    <cfRule type="expression" priority="270" dxfId="0">
      <formula>AND(IF($Q49=3,1,IF($Q49=4,1,0)),IF($F49&lt;=85,1,0))</formula>
    </cfRule>
  </conditionalFormatting>
  <conditionalFormatting sqref="AI49">
    <cfRule type="expression" priority="263" dxfId="3">
      <formula>AND(IF(OR($Q49=1,$Q49=2),1,0),IF($X49&lt;=20,1,0))</formula>
    </cfRule>
    <cfRule type="expression" priority="264" dxfId="2">
      <formula>AND(IF($Q49=2,1,0),IF($X49&lt;30,1,0))</formula>
    </cfRule>
    <cfRule type="expression" priority="265" dxfId="1">
      <formula>AND(IF($Q49=3,1,0),IF($X49&lt;30,1,0))</formula>
    </cfRule>
    <cfRule type="expression" priority="266" dxfId="0">
      <formula>AND(IF($Q49=3,1,IF($Q49=4,1,0)),IF($F49&lt;=85,1,0))</formula>
    </cfRule>
  </conditionalFormatting>
  <conditionalFormatting sqref="AV50">
    <cfRule type="expression" priority="261" dxfId="17">
      <formula>AV50="X"</formula>
    </cfRule>
    <cfRule type="expression" priority="262" dxfId="16">
      <formula>AV50="후보"</formula>
    </cfRule>
  </conditionalFormatting>
  <conditionalFormatting sqref="AC50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50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50">
    <cfRule type="expression" priority="252" dxfId="3">
      <formula>AND(IF(OR($Q50=1,$Q50=2),1,0),IF($X50&lt;=20,1,0))</formula>
    </cfRule>
    <cfRule type="expression" priority="253" dxfId="2">
      <formula>AND(IF($Q50=2,1,0),IF($X50&lt;30,1,0))</formula>
    </cfRule>
    <cfRule type="expression" priority="254" dxfId="1">
      <formula>AND(IF($Q50=3,1,0),IF($X50&lt;30,1,0))</formula>
    </cfRule>
    <cfRule type="expression" priority="255" dxfId="0">
      <formula>AND(IF($Q50=3,1,IF($Q50=4,1,0)),IF($F50&lt;=85,1,0))</formula>
    </cfRule>
  </conditionalFormatting>
  <conditionalFormatting sqref="X50">
    <cfRule type="expression" priority="248" dxfId="3">
      <formula>AND(IF(OR($Q50=1,$Q50=2),1,0),IF($X50&lt;=20,1,0))</formula>
    </cfRule>
    <cfRule type="expression" priority="249" dxfId="2">
      <formula>AND(IF($Q50=2,1,0),IF($X50&lt;30,1,0))</formula>
    </cfRule>
    <cfRule type="expression" priority="250" dxfId="1">
      <formula>AND(IF($Q50=3,1,0),IF($X50&lt;30,1,0))</formula>
    </cfRule>
    <cfRule type="expression" priority="251" dxfId="0">
      <formula>AND(IF($Q50=3,1,IF($Q50=4,1,0)),IF($F50&lt;=85,1,0))</formula>
    </cfRule>
  </conditionalFormatting>
  <conditionalFormatting sqref="AI50">
    <cfRule type="expression" priority="244" dxfId="3">
      <formula>AND(IF(OR($Q50=1,$Q50=2),1,0),IF($X50&lt;=20,1,0))</formula>
    </cfRule>
    <cfRule type="expression" priority="245" dxfId="2">
      <formula>AND(IF($Q50=2,1,0),IF($X50&lt;30,1,0))</formula>
    </cfRule>
    <cfRule type="expression" priority="246" dxfId="1">
      <formula>AND(IF($Q50=3,1,0),IF($X50&lt;30,1,0))</formula>
    </cfRule>
    <cfRule type="expression" priority="247" dxfId="0">
      <formula>AND(IF($Q50=3,1,IF($Q50=4,1,0)),IF($F50&lt;=85,1,0))</formula>
    </cfRule>
  </conditionalFormatting>
  <conditionalFormatting sqref="AV51">
    <cfRule type="expression" priority="242" dxfId="17">
      <formula>AV51="X"</formula>
    </cfRule>
    <cfRule type="expression" priority="243" dxfId="16">
      <formula>AV51="후보"</formula>
    </cfRule>
  </conditionalFormatting>
  <conditionalFormatting sqref="AC51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51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51">
    <cfRule type="expression" priority="233" dxfId="3">
      <formula>AND(IF(OR($Q51=1,$Q51=2),1,0),IF($X51&lt;=20,1,0))</formula>
    </cfRule>
    <cfRule type="expression" priority="234" dxfId="2">
      <formula>AND(IF($Q51=2,1,0),IF($X51&lt;30,1,0))</formula>
    </cfRule>
    <cfRule type="expression" priority="235" dxfId="1">
      <formula>AND(IF($Q51=3,1,0),IF($X51&lt;30,1,0))</formula>
    </cfRule>
    <cfRule type="expression" priority="236" dxfId="0">
      <formula>AND(IF($Q51=3,1,IF($Q51=4,1,0)),IF($F51&lt;=85,1,0))</formula>
    </cfRule>
  </conditionalFormatting>
  <conditionalFormatting sqref="X51">
    <cfRule type="expression" priority="229" dxfId="3">
      <formula>AND(IF(OR($Q51=1,$Q51=2),1,0),IF($X51&lt;=20,1,0))</formula>
    </cfRule>
    <cfRule type="expression" priority="230" dxfId="2">
      <formula>AND(IF($Q51=2,1,0),IF($X51&lt;30,1,0))</formula>
    </cfRule>
    <cfRule type="expression" priority="231" dxfId="1">
      <formula>AND(IF($Q51=3,1,0),IF($X51&lt;30,1,0))</formula>
    </cfRule>
    <cfRule type="expression" priority="232" dxfId="0">
      <formula>AND(IF($Q51=3,1,IF($Q51=4,1,0)),IF($F51&lt;=85,1,0))</formula>
    </cfRule>
  </conditionalFormatting>
  <conditionalFormatting sqref="AI51">
    <cfRule type="expression" priority="225" dxfId="3">
      <formula>AND(IF(OR($Q51=1,$Q51=2),1,0),IF($X51&lt;=20,1,0))</formula>
    </cfRule>
    <cfRule type="expression" priority="226" dxfId="2">
      <formula>AND(IF($Q51=2,1,0),IF($X51&lt;30,1,0))</formula>
    </cfRule>
    <cfRule type="expression" priority="227" dxfId="1">
      <formula>AND(IF($Q51=3,1,0),IF($X51&lt;30,1,0))</formula>
    </cfRule>
    <cfRule type="expression" priority="228" dxfId="0">
      <formula>AND(IF($Q51=3,1,IF($Q51=4,1,0)),IF($F51&lt;=85,1,0))</formula>
    </cfRule>
  </conditionalFormatting>
  <conditionalFormatting sqref="AV52">
    <cfRule type="expression" priority="223" dxfId="17">
      <formula>AV52="X"</formula>
    </cfRule>
    <cfRule type="expression" priority="224" dxfId="16">
      <formula>AV52="후보"</formula>
    </cfRule>
  </conditionalFormatting>
  <conditionalFormatting sqref="AC52 N52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53">
    <cfRule type="expression" priority="218" dxfId="17">
      <formula>AV53="X"</formula>
    </cfRule>
    <cfRule type="expression" priority="219" dxfId="16">
      <formula>AV53="후보"</formula>
    </cfRule>
  </conditionalFormatting>
  <conditionalFormatting sqref="AC53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53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53">
    <cfRule type="expression" priority="209" dxfId="3">
      <formula>AND(IF(OR($Q53=1,$Q53=2),1,0),IF($X53&lt;=20,1,0))</formula>
    </cfRule>
    <cfRule type="expression" priority="210" dxfId="2">
      <formula>AND(IF($Q53=2,1,0),IF($X53&lt;30,1,0))</formula>
    </cfRule>
    <cfRule type="expression" priority="211" dxfId="1">
      <formula>AND(IF($Q53=3,1,0),IF($X53&lt;30,1,0))</formula>
    </cfRule>
    <cfRule type="expression" priority="212" dxfId="0">
      <formula>AND(IF($Q53=3,1,IF($Q53=4,1,0)),IF($F53&lt;=85,1,0))</formula>
    </cfRule>
  </conditionalFormatting>
  <conditionalFormatting sqref="X53">
    <cfRule type="expression" priority="205" dxfId="3">
      <formula>AND(IF(OR($Q53=1,$Q53=2),1,0),IF($X53&lt;=20,1,0))</formula>
    </cfRule>
    <cfRule type="expression" priority="206" dxfId="2">
      <formula>AND(IF($Q53=2,1,0),IF($X53&lt;30,1,0))</formula>
    </cfRule>
    <cfRule type="expression" priority="207" dxfId="1">
      <formula>AND(IF($Q53=3,1,0),IF($X53&lt;30,1,0))</formula>
    </cfRule>
    <cfRule type="expression" priority="208" dxfId="0">
      <formula>AND(IF($Q53=3,1,IF($Q53=4,1,0)),IF($F53&lt;=85,1,0))</formula>
    </cfRule>
  </conditionalFormatting>
  <conditionalFormatting sqref="AI53">
    <cfRule type="expression" priority="201" dxfId="3">
      <formula>AND(IF(OR($Q53=1,$Q53=2),1,0),IF($X53&lt;=20,1,0))</formula>
    </cfRule>
    <cfRule type="expression" priority="202" dxfId="2">
      <formula>AND(IF($Q53=2,1,0),IF($X53&lt;30,1,0))</formula>
    </cfRule>
    <cfRule type="expression" priority="203" dxfId="1">
      <formula>AND(IF($Q53=3,1,0),IF($X53&lt;30,1,0))</formula>
    </cfRule>
    <cfRule type="expression" priority="204" dxfId="0">
      <formula>AND(IF($Q53=3,1,IF($Q53=4,1,0)),IF($F53&lt;=85,1,0))</formula>
    </cfRule>
  </conditionalFormatting>
  <conditionalFormatting sqref="AV54">
    <cfRule type="expression" priority="199" dxfId="17">
      <formula>AV54="X"</formula>
    </cfRule>
    <cfRule type="expression" priority="200" dxfId="16">
      <formula>AV54="후보"</formula>
    </cfRule>
  </conditionalFormatting>
  <conditionalFormatting sqref="AC54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54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54">
    <cfRule type="expression" priority="190" dxfId="3">
      <formula>AND(IF(OR($Q54=1,$Q54=2),1,0),IF($X54&lt;=20,1,0))</formula>
    </cfRule>
    <cfRule type="expression" priority="191" dxfId="2">
      <formula>AND(IF($Q54=2,1,0),IF($X54&lt;30,1,0))</formula>
    </cfRule>
    <cfRule type="expression" priority="192" dxfId="1">
      <formula>AND(IF($Q54=3,1,0),IF($X54&lt;30,1,0))</formula>
    </cfRule>
    <cfRule type="expression" priority="193" dxfId="0">
      <formula>AND(IF($Q54=3,1,IF($Q54=4,1,0)),IF($F54&lt;=85,1,0))</formula>
    </cfRule>
  </conditionalFormatting>
  <conditionalFormatting sqref="X54">
    <cfRule type="expression" priority="186" dxfId="3">
      <formula>AND(IF(OR($Q54=1,$Q54=2),1,0),IF($X54&lt;=20,1,0))</formula>
    </cfRule>
    <cfRule type="expression" priority="187" dxfId="2">
      <formula>AND(IF($Q54=2,1,0),IF($X54&lt;30,1,0))</formula>
    </cfRule>
    <cfRule type="expression" priority="188" dxfId="1">
      <formula>AND(IF($Q54=3,1,0),IF($X54&lt;30,1,0))</formula>
    </cfRule>
    <cfRule type="expression" priority="189" dxfId="0">
      <formula>AND(IF($Q54=3,1,IF($Q54=4,1,0)),IF($F54&lt;=85,1,0))</formula>
    </cfRule>
  </conditionalFormatting>
  <conditionalFormatting sqref="AI54">
    <cfRule type="expression" priority="182" dxfId="3">
      <formula>AND(IF(OR($Q54=1,$Q54=2),1,0),IF($X54&lt;=20,1,0))</formula>
    </cfRule>
    <cfRule type="expression" priority="183" dxfId="2">
      <formula>AND(IF($Q54=2,1,0),IF($X54&lt;30,1,0))</formula>
    </cfRule>
    <cfRule type="expression" priority="184" dxfId="1">
      <formula>AND(IF($Q54=3,1,0),IF($X54&lt;30,1,0))</formula>
    </cfRule>
    <cfRule type="expression" priority="185" dxfId="0">
      <formula>AND(IF($Q54=3,1,IF($Q54=4,1,0)),IF($F54&lt;=85,1,0))</formula>
    </cfRule>
  </conditionalFormatting>
  <conditionalFormatting sqref="AV55">
    <cfRule type="expression" priority="180" dxfId="17">
      <formula>AV55="X"</formula>
    </cfRule>
    <cfRule type="expression" priority="181" dxfId="16">
      <formula>AV55="후보"</formula>
    </cfRule>
  </conditionalFormatting>
  <conditionalFormatting sqref="AC55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5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55">
    <cfRule type="expression" priority="171" dxfId="3">
      <formula>AND(IF(OR($Q55=1,$Q55=2),1,0),IF($X55&lt;=20,1,0))</formula>
    </cfRule>
    <cfRule type="expression" priority="172" dxfId="2">
      <formula>AND(IF($Q55=2,1,0),IF($X55&lt;30,1,0))</formula>
    </cfRule>
    <cfRule type="expression" priority="173" dxfId="1">
      <formula>AND(IF($Q55=3,1,0),IF($X55&lt;30,1,0))</formula>
    </cfRule>
    <cfRule type="expression" priority="174" dxfId="0">
      <formula>AND(IF($Q55=3,1,IF($Q55=4,1,0)),IF($F55&lt;=85,1,0))</formula>
    </cfRule>
  </conditionalFormatting>
  <conditionalFormatting sqref="X55">
    <cfRule type="expression" priority="167" dxfId="3">
      <formula>AND(IF(OR($Q55=1,$Q55=2),1,0),IF($X55&lt;=20,1,0))</formula>
    </cfRule>
    <cfRule type="expression" priority="168" dxfId="2">
      <formula>AND(IF($Q55=2,1,0),IF($X55&lt;30,1,0))</formula>
    </cfRule>
    <cfRule type="expression" priority="169" dxfId="1">
      <formula>AND(IF($Q55=3,1,0),IF($X55&lt;30,1,0))</formula>
    </cfRule>
    <cfRule type="expression" priority="170" dxfId="0">
      <formula>AND(IF($Q55=3,1,IF($Q55=4,1,0)),IF($F55&lt;=85,1,0))</formula>
    </cfRule>
  </conditionalFormatting>
  <conditionalFormatting sqref="AI55">
    <cfRule type="expression" priority="163" dxfId="3">
      <formula>AND(IF(OR($Q55=1,$Q55=2),1,0),IF($X55&lt;=20,1,0))</formula>
    </cfRule>
    <cfRule type="expression" priority="164" dxfId="2">
      <formula>AND(IF($Q55=2,1,0),IF($X55&lt;30,1,0))</formula>
    </cfRule>
    <cfRule type="expression" priority="165" dxfId="1">
      <formula>AND(IF($Q55=3,1,0),IF($X55&lt;30,1,0))</formula>
    </cfRule>
    <cfRule type="expression" priority="166" dxfId="0">
      <formula>AND(IF($Q55=3,1,IF($Q55=4,1,0)),IF($F55&lt;=85,1,0))</formula>
    </cfRule>
  </conditionalFormatting>
  <conditionalFormatting sqref="AV56">
    <cfRule type="expression" priority="161" dxfId="17">
      <formula>AV56="X"</formula>
    </cfRule>
    <cfRule type="expression" priority="162" dxfId="16">
      <formula>AV56="후보"</formula>
    </cfRule>
  </conditionalFormatting>
  <conditionalFormatting sqref="AC56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6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6">
    <cfRule type="expression" priority="152" dxfId="3">
      <formula>AND(IF(OR($Q56=1,$Q56=2),1,0),IF($X56&lt;=20,1,0))</formula>
    </cfRule>
    <cfRule type="expression" priority="153" dxfId="2">
      <formula>AND(IF($Q56=2,1,0),IF($X56&lt;30,1,0))</formula>
    </cfRule>
    <cfRule type="expression" priority="154" dxfId="1">
      <formula>AND(IF($Q56=3,1,0),IF($X56&lt;30,1,0))</formula>
    </cfRule>
    <cfRule type="expression" priority="155" dxfId="0">
      <formula>AND(IF($Q56=3,1,IF($Q56=4,1,0)),IF($F56&lt;=85,1,0))</formula>
    </cfRule>
  </conditionalFormatting>
  <conditionalFormatting sqref="X56">
    <cfRule type="expression" priority="148" dxfId="3">
      <formula>AND(IF(OR($Q56=1,$Q56=2),1,0),IF($X56&lt;=20,1,0))</formula>
    </cfRule>
    <cfRule type="expression" priority="149" dxfId="2">
      <formula>AND(IF($Q56=2,1,0),IF($X56&lt;30,1,0))</formula>
    </cfRule>
    <cfRule type="expression" priority="150" dxfId="1">
      <formula>AND(IF($Q56=3,1,0),IF($X56&lt;30,1,0))</formula>
    </cfRule>
    <cfRule type="expression" priority="151" dxfId="0">
      <formula>AND(IF($Q56=3,1,IF($Q56=4,1,0)),IF($F56&lt;=85,1,0))</formula>
    </cfRule>
  </conditionalFormatting>
  <conditionalFormatting sqref="AI56">
    <cfRule type="expression" priority="144" dxfId="3">
      <formula>AND(IF(OR($Q56=1,$Q56=2),1,0),IF($X56&lt;=20,1,0))</formula>
    </cfRule>
    <cfRule type="expression" priority="145" dxfId="2">
      <formula>AND(IF($Q56=2,1,0),IF($X56&lt;30,1,0))</formula>
    </cfRule>
    <cfRule type="expression" priority="146" dxfId="1">
      <formula>AND(IF($Q56=3,1,0),IF($X56&lt;30,1,0))</formula>
    </cfRule>
    <cfRule type="expression" priority="147" dxfId="0">
      <formula>AND(IF($Q56=3,1,IF($Q56=4,1,0)),IF($F56&lt;=85,1,0))</formula>
    </cfRule>
  </conditionalFormatting>
  <conditionalFormatting sqref="AV57">
    <cfRule type="expression" priority="142" dxfId="17">
      <formula>AV57="X"</formula>
    </cfRule>
    <cfRule type="expression" priority="143" dxfId="16">
      <formula>AV57="후보"</formula>
    </cfRule>
  </conditionalFormatting>
  <conditionalFormatting sqref="AC5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7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57">
    <cfRule type="expression" priority="133" dxfId="3">
      <formula>AND(IF(OR($Q57=1,$Q57=2),1,0),IF($X57&lt;=20,1,0))</formula>
    </cfRule>
    <cfRule type="expression" priority="134" dxfId="2">
      <formula>AND(IF($Q57=2,1,0),IF($X57&lt;30,1,0))</formula>
    </cfRule>
    <cfRule type="expression" priority="135" dxfId="1">
      <formula>AND(IF($Q57=3,1,0),IF($X57&lt;30,1,0))</formula>
    </cfRule>
    <cfRule type="expression" priority="136" dxfId="0">
      <formula>AND(IF($Q57=3,1,IF($Q57=4,1,0)),IF($F57&lt;=85,1,0))</formula>
    </cfRule>
  </conditionalFormatting>
  <conditionalFormatting sqref="X57">
    <cfRule type="expression" priority="129" dxfId="3">
      <formula>AND(IF(OR($Q57=1,$Q57=2),1,0),IF($X57&lt;=20,1,0))</formula>
    </cfRule>
    <cfRule type="expression" priority="130" dxfId="2">
      <formula>AND(IF($Q57=2,1,0),IF($X57&lt;30,1,0))</formula>
    </cfRule>
    <cfRule type="expression" priority="131" dxfId="1">
      <formula>AND(IF($Q57=3,1,0),IF($X57&lt;30,1,0))</formula>
    </cfRule>
    <cfRule type="expression" priority="132" dxfId="0">
      <formula>AND(IF($Q57=3,1,IF($Q57=4,1,0)),IF($F57&lt;=85,1,0))</formula>
    </cfRule>
  </conditionalFormatting>
  <conditionalFormatting sqref="AI57">
    <cfRule type="expression" priority="125" dxfId="3">
      <formula>AND(IF(OR($Q57=1,$Q57=2),1,0),IF($X57&lt;=20,1,0))</formula>
    </cfRule>
    <cfRule type="expression" priority="126" dxfId="2">
      <formula>AND(IF($Q57=2,1,0),IF($X57&lt;30,1,0))</formula>
    </cfRule>
    <cfRule type="expression" priority="127" dxfId="1">
      <formula>AND(IF($Q57=3,1,0),IF($X57&lt;30,1,0))</formula>
    </cfRule>
    <cfRule type="expression" priority="128" dxfId="0">
      <formula>AND(IF($Q57=3,1,IF($Q57=4,1,0)),IF($F57&lt;=85,1,0))</formula>
    </cfRule>
  </conditionalFormatting>
  <conditionalFormatting sqref="AV58">
    <cfRule type="expression" priority="123" dxfId="17">
      <formula>AV58="X"</formula>
    </cfRule>
    <cfRule type="expression" priority="124" dxfId="16">
      <formula>AV58="후보"</formula>
    </cfRule>
  </conditionalFormatting>
  <conditionalFormatting sqref="AC5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5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58">
    <cfRule type="expression" priority="114" dxfId="3">
      <formula>AND(IF(OR($Q58=1,$Q58=2),1,0),IF($X58&lt;=20,1,0))</formula>
    </cfRule>
    <cfRule type="expression" priority="115" dxfId="2">
      <formula>AND(IF($Q58=2,1,0),IF($X58&lt;30,1,0))</formula>
    </cfRule>
    <cfRule type="expression" priority="116" dxfId="1">
      <formula>AND(IF($Q58=3,1,0),IF($X58&lt;30,1,0))</formula>
    </cfRule>
    <cfRule type="expression" priority="117" dxfId="0">
      <formula>AND(IF($Q58=3,1,IF($Q58=4,1,0)),IF($F58&lt;=85,1,0))</formula>
    </cfRule>
  </conditionalFormatting>
  <conditionalFormatting sqref="X58">
    <cfRule type="expression" priority="110" dxfId="3">
      <formula>AND(IF(OR($Q58=1,$Q58=2),1,0),IF($X58&lt;=20,1,0))</formula>
    </cfRule>
    <cfRule type="expression" priority="111" dxfId="2">
      <formula>AND(IF($Q58=2,1,0),IF($X58&lt;30,1,0))</formula>
    </cfRule>
    <cfRule type="expression" priority="112" dxfId="1">
      <formula>AND(IF($Q58=3,1,0),IF($X58&lt;30,1,0))</formula>
    </cfRule>
    <cfRule type="expression" priority="113" dxfId="0">
      <formula>AND(IF($Q58=3,1,IF($Q58=4,1,0)),IF($F58&lt;=85,1,0))</formula>
    </cfRule>
  </conditionalFormatting>
  <conditionalFormatting sqref="AI58">
    <cfRule type="expression" priority="106" dxfId="3">
      <formula>AND(IF(OR($Q58=1,$Q58=2),1,0),IF($X58&lt;=20,1,0))</formula>
    </cfRule>
    <cfRule type="expression" priority="107" dxfId="2">
      <formula>AND(IF($Q58=2,1,0),IF($X58&lt;30,1,0))</formula>
    </cfRule>
    <cfRule type="expression" priority="108" dxfId="1">
      <formula>AND(IF($Q58=3,1,0),IF($X58&lt;30,1,0))</formula>
    </cfRule>
    <cfRule type="expression" priority="109" dxfId="0">
      <formula>AND(IF($Q58=3,1,IF($Q58=4,1,0)),IF($F58&lt;=85,1,0))</formula>
    </cfRule>
  </conditionalFormatting>
  <conditionalFormatting sqref="AV59">
    <cfRule type="expression" priority="104" dxfId="17">
      <formula>AV59="X"</formula>
    </cfRule>
    <cfRule type="expression" priority="105" dxfId="16">
      <formula>AV59="후보"</formula>
    </cfRule>
  </conditionalFormatting>
  <conditionalFormatting sqref="AC59 N5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60">
    <cfRule type="expression" priority="99" dxfId="17">
      <formula>AV60="X"</formula>
    </cfRule>
    <cfRule type="expression" priority="100" dxfId="16">
      <formula>AV60="후보"</formula>
    </cfRule>
  </conditionalFormatting>
  <conditionalFormatting sqref="AC6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0">
    <cfRule type="expression" priority="90" dxfId="3">
      <formula>AND(IF(OR($Q60=1,$Q60=2),1,0),IF($X60&lt;=20,1,0))</formula>
    </cfRule>
    <cfRule type="expression" priority="91" dxfId="2">
      <formula>AND(IF($Q60=2,1,0),IF($X60&lt;30,1,0))</formula>
    </cfRule>
    <cfRule type="expression" priority="92" dxfId="1">
      <formula>AND(IF($Q60=3,1,0),IF($X60&lt;30,1,0))</formula>
    </cfRule>
    <cfRule type="expression" priority="93" dxfId="0">
      <formula>AND(IF($Q60=3,1,IF($Q60=4,1,0)),IF($F60&lt;=85,1,0))</formula>
    </cfRule>
  </conditionalFormatting>
  <conditionalFormatting sqref="X60">
    <cfRule type="expression" priority="86" dxfId="3">
      <formula>AND(IF(OR($Q60=1,$Q60=2),1,0),IF($X60&lt;=20,1,0))</formula>
    </cfRule>
    <cfRule type="expression" priority="87" dxfId="2">
      <formula>AND(IF($Q60=2,1,0),IF($X60&lt;30,1,0))</formula>
    </cfRule>
    <cfRule type="expression" priority="88" dxfId="1">
      <formula>AND(IF($Q60=3,1,0),IF($X60&lt;30,1,0))</formula>
    </cfRule>
    <cfRule type="expression" priority="89" dxfId="0">
      <formula>AND(IF($Q60=3,1,IF($Q60=4,1,0)),IF($F60&lt;=85,1,0))</formula>
    </cfRule>
  </conditionalFormatting>
  <conditionalFormatting sqref="AI60">
    <cfRule type="expression" priority="82" dxfId="3">
      <formula>AND(IF(OR($Q60=1,$Q60=2),1,0),IF($X60&lt;=20,1,0))</formula>
    </cfRule>
    <cfRule type="expression" priority="83" dxfId="2">
      <formula>AND(IF($Q60=2,1,0),IF($X60&lt;30,1,0))</formula>
    </cfRule>
    <cfRule type="expression" priority="84" dxfId="1">
      <formula>AND(IF($Q60=3,1,0),IF($X60&lt;30,1,0))</formula>
    </cfRule>
    <cfRule type="expression" priority="85" dxfId="0">
      <formula>AND(IF($Q60=3,1,IF($Q60=4,1,0)),IF($F60&lt;=85,1,0))</formula>
    </cfRule>
  </conditionalFormatting>
  <conditionalFormatting sqref="AV61">
    <cfRule type="expression" priority="80" dxfId="17">
      <formula>AV61="X"</formula>
    </cfRule>
    <cfRule type="expression" priority="81" dxfId="16">
      <formula>AV61="후보"</formula>
    </cfRule>
  </conditionalFormatting>
  <conditionalFormatting sqref="AC6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6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61">
    <cfRule type="expression" priority="71" dxfId="3">
      <formula>AND(IF(OR($Q61=1,$Q61=2),1,0),IF($X61&lt;=20,1,0))</formula>
    </cfRule>
    <cfRule type="expression" priority="72" dxfId="2">
      <formula>AND(IF($Q61=2,1,0),IF($X61&lt;30,1,0))</formula>
    </cfRule>
    <cfRule type="expression" priority="73" dxfId="1">
      <formula>AND(IF($Q61=3,1,0),IF($X61&lt;30,1,0))</formula>
    </cfRule>
    <cfRule type="expression" priority="74" dxfId="0">
      <formula>AND(IF($Q61=3,1,IF($Q61=4,1,0)),IF($F61&lt;=85,1,0))</formula>
    </cfRule>
  </conditionalFormatting>
  <conditionalFormatting sqref="X61">
    <cfRule type="expression" priority="67" dxfId="3">
      <formula>AND(IF(OR($Q61=1,$Q61=2),1,0),IF($X61&lt;=20,1,0))</formula>
    </cfRule>
    <cfRule type="expression" priority="68" dxfId="2">
      <formula>AND(IF($Q61=2,1,0),IF($X61&lt;30,1,0))</formula>
    </cfRule>
    <cfRule type="expression" priority="69" dxfId="1">
      <formula>AND(IF($Q61=3,1,0),IF($X61&lt;30,1,0))</formula>
    </cfRule>
    <cfRule type="expression" priority="70" dxfId="0">
      <formula>AND(IF($Q61=3,1,IF($Q61=4,1,0)),IF($F61&lt;=85,1,0))</formula>
    </cfRule>
  </conditionalFormatting>
  <conditionalFormatting sqref="AI61">
    <cfRule type="expression" priority="63" dxfId="3">
      <formula>AND(IF(OR($Q61=1,$Q61=2),1,0),IF($X61&lt;=20,1,0))</formula>
    </cfRule>
    <cfRule type="expression" priority="64" dxfId="2">
      <formula>AND(IF($Q61=2,1,0),IF($X61&lt;30,1,0))</formula>
    </cfRule>
    <cfRule type="expression" priority="65" dxfId="1">
      <formula>AND(IF($Q61=3,1,0),IF($X61&lt;30,1,0))</formula>
    </cfRule>
    <cfRule type="expression" priority="66" dxfId="0">
      <formula>AND(IF($Q61=3,1,IF($Q61=4,1,0)),IF($F61&lt;=85,1,0))</formula>
    </cfRule>
  </conditionalFormatting>
  <conditionalFormatting sqref="AV62">
    <cfRule type="expression" priority="61" dxfId="17">
      <formula>AV62="X"</formula>
    </cfRule>
    <cfRule type="expression" priority="62" dxfId="16">
      <formula>AV62="후보"</formula>
    </cfRule>
  </conditionalFormatting>
  <conditionalFormatting sqref="AC6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62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62">
    <cfRule type="expression" priority="52" dxfId="3">
      <formula>AND(IF(OR($Q62=1,$Q62=2),1,0),IF($X62&lt;=20,1,0))</formula>
    </cfRule>
    <cfRule type="expression" priority="53" dxfId="2">
      <formula>AND(IF($Q62=2,1,0),IF($X62&lt;30,1,0))</formula>
    </cfRule>
    <cfRule type="expression" priority="54" dxfId="1">
      <formula>AND(IF($Q62=3,1,0),IF($X62&lt;30,1,0))</formula>
    </cfRule>
    <cfRule type="expression" priority="55" dxfId="0">
      <formula>AND(IF($Q62=3,1,IF($Q62=4,1,0)),IF($F62&lt;=85,1,0))</formula>
    </cfRule>
  </conditionalFormatting>
  <conditionalFormatting sqref="X62">
    <cfRule type="expression" priority="48" dxfId="3">
      <formula>AND(IF(OR($Q62=1,$Q62=2),1,0),IF($X62&lt;=20,1,0))</formula>
    </cfRule>
    <cfRule type="expression" priority="49" dxfId="2">
      <formula>AND(IF($Q62=2,1,0),IF($X62&lt;30,1,0))</formula>
    </cfRule>
    <cfRule type="expression" priority="50" dxfId="1">
      <formula>AND(IF($Q62=3,1,0),IF($X62&lt;30,1,0))</formula>
    </cfRule>
    <cfRule type="expression" priority="51" dxfId="0">
      <formula>AND(IF($Q62=3,1,IF($Q62=4,1,0)),IF($F62&lt;=85,1,0))</formula>
    </cfRule>
  </conditionalFormatting>
  <conditionalFormatting sqref="AI62">
    <cfRule type="expression" priority="44" dxfId="3">
      <formula>AND(IF(OR($Q62=1,$Q62=2),1,0),IF($X62&lt;=20,1,0))</formula>
    </cfRule>
    <cfRule type="expression" priority="45" dxfId="2">
      <formula>AND(IF($Q62=2,1,0),IF($X62&lt;30,1,0))</formula>
    </cfRule>
    <cfRule type="expression" priority="46" dxfId="1">
      <formula>AND(IF($Q62=3,1,0),IF($X62&lt;30,1,0))</formula>
    </cfRule>
    <cfRule type="expression" priority="47" dxfId="0">
      <formula>AND(IF($Q62=3,1,IF($Q62=4,1,0)),IF($F62&lt;=85,1,0))</formula>
    </cfRule>
  </conditionalFormatting>
  <conditionalFormatting sqref="AV63">
    <cfRule type="expression" priority="42" dxfId="17">
      <formula>AV63="X"</formula>
    </cfRule>
    <cfRule type="expression" priority="43" dxfId="16">
      <formula>AV63="후보"</formula>
    </cfRule>
  </conditionalFormatting>
  <conditionalFormatting sqref="AC63 N6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64">
    <cfRule type="expression" priority="37" dxfId="17">
      <formula>AV64="X"</formula>
    </cfRule>
    <cfRule type="expression" priority="38" dxfId="16">
      <formula>AV64="후보"</formula>
    </cfRule>
  </conditionalFormatting>
  <conditionalFormatting sqref="AC6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4">
    <cfRule type="expression" priority="28" dxfId="3">
      <formula>AND(IF(OR($Q64=1,$Q64=2),1,0),IF($X64&lt;=20,1,0))</formula>
    </cfRule>
    <cfRule type="expression" priority="29" dxfId="2">
      <formula>AND(IF($Q64=2,1,0),IF($X64&lt;30,1,0))</formula>
    </cfRule>
    <cfRule type="expression" priority="30" dxfId="1">
      <formula>AND(IF($Q64=3,1,0),IF($X64&lt;30,1,0))</formula>
    </cfRule>
    <cfRule type="expression" priority="31" dxfId="0">
      <formula>AND(IF($Q64=3,1,IF($Q64=4,1,0)),IF($F64&lt;=85,1,0))</formula>
    </cfRule>
  </conditionalFormatting>
  <conditionalFormatting sqref="X64">
    <cfRule type="expression" priority="24" dxfId="3">
      <formula>AND(IF(OR($Q64=1,$Q64=2),1,0),IF($X64&lt;=20,1,0))</formula>
    </cfRule>
    <cfRule type="expression" priority="25" dxfId="2">
      <formula>AND(IF($Q64=2,1,0),IF($X64&lt;30,1,0))</formula>
    </cfRule>
    <cfRule type="expression" priority="26" dxfId="1">
      <formula>AND(IF($Q64=3,1,0),IF($X64&lt;30,1,0))</formula>
    </cfRule>
    <cfRule type="expression" priority="27" dxfId="0">
      <formula>AND(IF($Q64=3,1,IF($Q64=4,1,0)),IF($F64&lt;=85,1,0))</formula>
    </cfRule>
  </conditionalFormatting>
  <conditionalFormatting sqref="AI64">
    <cfRule type="expression" priority="20" dxfId="3">
      <formula>AND(IF(OR($Q64=1,$Q64=2),1,0),IF($X64&lt;=20,1,0))</formula>
    </cfRule>
    <cfRule type="expression" priority="21" dxfId="2">
      <formula>AND(IF($Q64=2,1,0),IF($X64&lt;30,1,0))</formula>
    </cfRule>
    <cfRule type="expression" priority="22" dxfId="1">
      <formula>AND(IF($Q64=3,1,0),IF($X64&lt;30,1,0))</formula>
    </cfRule>
    <cfRule type="expression" priority="23" dxfId="0">
      <formula>AND(IF($Q64=3,1,IF($Q64=4,1,0)),IF($F64&lt;=85,1,0))</formula>
    </cfRule>
  </conditionalFormatting>
  <conditionalFormatting sqref="AV65">
    <cfRule type="expression" priority="18" dxfId="17">
      <formula>AV65="X"</formula>
    </cfRule>
    <cfRule type="expression" priority="19" dxfId="16">
      <formula>AV65="후보"</formula>
    </cfRule>
  </conditionalFormatting>
  <conditionalFormatting sqref="AC6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5">
    <cfRule type="expression" priority="9" dxfId="3">
      <formula>AND(IF(OR($Q65=1,$Q65=2),1,0),IF($X65&lt;=20,1,0))</formula>
    </cfRule>
    <cfRule type="expression" priority="10" dxfId="2">
      <formula>AND(IF($Q65=2,1,0),IF($X65&lt;30,1,0))</formula>
    </cfRule>
    <cfRule type="expression" priority="11" dxfId="1">
      <formula>AND(IF($Q65=3,1,0),IF($X65&lt;30,1,0))</formula>
    </cfRule>
    <cfRule type="expression" priority="12" dxfId="0">
      <formula>AND(IF($Q65=3,1,IF($Q65=4,1,0)),IF($F65&lt;=85,1,0))</formula>
    </cfRule>
  </conditionalFormatting>
  <conditionalFormatting sqref="X65">
    <cfRule type="expression" priority="5" dxfId="3">
      <formula>AND(IF(OR($Q65=1,$Q65=2),1,0),IF($X65&lt;=20,1,0))</formula>
    </cfRule>
    <cfRule type="expression" priority="6" dxfId="2">
      <formula>AND(IF($Q65=2,1,0),IF($X65&lt;30,1,0))</formula>
    </cfRule>
    <cfRule type="expression" priority="7" dxfId="1">
      <formula>AND(IF($Q65=3,1,0),IF($X65&lt;30,1,0))</formula>
    </cfRule>
    <cfRule type="expression" priority="8" dxfId="0">
      <formula>AND(IF($Q65=3,1,IF($Q65=4,1,0)),IF($F65&lt;=85,1,0))</formula>
    </cfRule>
  </conditionalFormatting>
  <conditionalFormatting sqref="AI65">
    <cfRule type="expression" priority="1" dxfId="3">
      <formula>AND(IF(OR($Q65=1,$Q65=2),1,0),IF($X65&lt;=20,1,0))</formula>
    </cfRule>
    <cfRule type="expression" priority="2" dxfId="2">
      <formula>AND(IF($Q65=2,1,0),IF($X65&lt;30,1,0))</formula>
    </cfRule>
    <cfRule type="expression" priority="3" dxfId="1">
      <formula>AND(IF($Q65=3,1,0),IF($X65&lt;30,1,0))</formula>
    </cfRule>
    <cfRule type="expression" priority="4" dxfId="0">
      <formula>AND(IF($Q65=3,1,IF($Q65=4,1,0)),IF($F65&lt;=85,1,0))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사직동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푸르지오캐슬5단지</t>
        </is>
      </c>
      <c r="B6" s="16" t="inlineStr">
        <is>
          <t>'10.11.</t>
        </is>
      </c>
      <c r="C6" s="164" t="n">
        <v>548</v>
      </c>
      <c r="D6" s="161" t="n">
        <v>94.8</v>
      </c>
      <c r="E6" s="163" t="n">
        <v>29</v>
      </c>
      <c r="F6" s="161" t="n">
        <v>72.3</v>
      </c>
      <c r="G6" s="27" t="n">
        <v>22</v>
      </c>
      <c r="H6" s="164" t="n">
        <v>196</v>
      </c>
      <c r="I6" s="165" t="n">
        <v>27000</v>
      </c>
      <c r="J6" s="165" t="inlineStr">
        <is>
          <t>15</t>
        </is>
      </c>
      <c r="K6" s="165" t="n">
        <v>23500</v>
      </c>
      <c r="L6" s="165" t="inlineStr">
        <is>
          <t>10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94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푸르지오캐슬5단지</t>
        </is>
      </c>
      <c r="B7" s="16" t="inlineStr">
        <is>
          <t>'10.11.</t>
        </is>
      </c>
      <c r="C7" s="164" t="n">
        <v>548</v>
      </c>
      <c r="D7" s="161" t="n">
        <v>132.9</v>
      </c>
      <c r="E7" s="163" t="n">
        <v>40</v>
      </c>
      <c r="F7" s="161" t="n">
        <v>104</v>
      </c>
      <c r="G7" s="27" t="n">
        <v>31</v>
      </c>
      <c r="H7" s="164" t="n">
        <v>246</v>
      </c>
      <c r="I7" s="165" t="n">
        <v>35500</v>
      </c>
      <c r="J7" s="165" t="inlineStr">
        <is>
          <t>5</t>
        </is>
      </c>
      <c r="K7" s="165" t="n">
        <v>30000</v>
      </c>
      <c r="L7" s="165" t="inlineStr">
        <is>
          <t>고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132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푸르지오캐슬5단지</t>
        </is>
      </c>
      <c r="B8" s="16" t="inlineStr">
        <is>
          <t>'10.11.</t>
        </is>
      </c>
      <c r="C8" s="164" t="n">
        <v>548</v>
      </c>
      <c r="D8" s="161" t="n">
        <v>156.3</v>
      </c>
      <c r="E8" s="163" t="n">
        <v>47</v>
      </c>
      <c r="F8" s="161" t="n">
        <v>123.4</v>
      </c>
      <c r="G8" s="27" t="n">
        <v>37</v>
      </c>
      <c r="H8" s="164" t="n">
        <v>106</v>
      </c>
      <c r="I8" s="165" t="n">
        <v>42500</v>
      </c>
      <c r="J8" s="165" t="inlineStr">
        <is>
          <t>10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156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푸르지오캐슬4단지</t>
        </is>
      </c>
      <c r="B10" s="16" t="inlineStr">
        <is>
          <t>'10.11.</t>
        </is>
      </c>
      <c r="C10" s="164" t="n">
        <v>1219</v>
      </c>
      <c r="D10" s="161" t="n">
        <v>110.4</v>
      </c>
      <c r="E10" s="163" t="n">
        <v>33</v>
      </c>
      <c r="F10" s="161" t="n">
        <v>84.40000000000001</v>
      </c>
      <c r="G10" s="27" t="n">
        <v>26</v>
      </c>
      <c r="H10" s="164" t="n">
        <v>807</v>
      </c>
      <c r="I10" s="165" t="n">
        <v>29500</v>
      </c>
      <c r="J10" s="165" t="inlineStr">
        <is>
          <t>고</t>
        </is>
      </c>
      <c r="K10" s="165" t="n">
        <v>25000</v>
      </c>
      <c r="L10" s="165" t="inlineStr">
        <is>
          <t>8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110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푸르지오캐슬4단지</t>
        </is>
      </c>
      <c r="B11" s="16" t="inlineStr">
        <is>
          <t>'10.11.</t>
        </is>
      </c>
      <c r="C11" s="164" t="n">
        <v>1219</v>
      </c>
      <c r="D11" s="161" t="n">
        <v>132.7</v>
      </c>
      <c r="E11" s="163" t="n">
        <v>40</v>
      </c>
      <c r="F11" s="161" t="n">
        <v>104</v>
      </c>
      <c r="G11" s="27" t="n">
        <v>31</v>
      </c>
      <c r="H11" s="164" t="n">
        <v>304</v>
      </c>
      <c r="I11" s="165" t="n">
        <v>40000</v>
      </c>
      <c r="J11" s="165" t="inlineStr">
        <is>
          <t>11</t>
        </is>
      </c>
      <c r="K11" s="165" t="n">
        <v>33000</v>
      </c>
      <c r="L11" s="165" t="inlineStr">
        <is>
          <t>7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132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푸르지오캐슬4단지</t>
        </is>
      </c>
      <c r="B12" s="16" t="inlineStr">
        <is>
          <t>'10.11.</t>
        </is>
      </c>
      <c r="C12" s="164" t="n">
        <v>1219</v>
      </c>
      <c r="D12" s="161" t="n">
        <v>155.6</v>
      </c>
      <c r="E12" s="163" t="n">
        <v>47</v>
      </c>
      <c r="F12" s="161" t="n">
        <v>123.4</v>
      </c>
      <c r="G12" s="27" t="n">
        <v>37</v>
      </c>
      <c r="H12" s="164" t="n">
        <v>60</v>
      </c>
      <c r="I12" s="165" t="n">
        <v>46500</v>
      </c>
      <c r="J12" s="165" t="inlineStr">
        <is>
          <t>14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155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푸르지오캐슬4단지</t>
        </is>
      </c>
      <c r="B13" s="16" t="inlineStr">
        <is>
          <t>'10.11.</t>
        </is>
      </c>
      <c r="C13" s="164" t="n">
        <v>1219</v>
      </c>
      <c r="D13" s="161" t="n">
        <v>173.2</v>
      </c>
      <c r="E13" s="163" t="n">
        <v>52</v>
      </c>
      <c r="F13" s="161" t="n">
        <v>140</v>
      </c>
      <c r="G13" s="27" t="n">
        <v>42</v>
      </c>
      <c r="H13" s="164" t="n">
        <v>48</v>
      </c>
      <c r="I13" s="165" t="n">
        <v>52500</v>
      </c>
      <c r="J13" s="165" t="inlineStr">
        <is>
          <t>17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173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두산위브더제니스</t>
        </is>
      </c>
      <c r="B15" s="16" t="inlineStr">
        <is>
          <t>'09.07.</t>
        </is>
      </c>
      <c r="C15" s="164" t="n">
        <v>576</v>
      </c>
      <c r="D15" s="161" t="n">
        <v>130.1</v>
      </c>
      <c r="E15" s="163" t="n">
        <v>39</v>
      </c>
      <c r="F15" s="161" t="n">
        <v>97.7</v>
      </c>
      <c r="G15" s="27" t="n">
        <v>30</v>
      </c>
      <c r="H15" s="164" t="n">
        <v>78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130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두산위브더제니스</t>
        </is>
      </c>
      <c r="B16" s="16" t="inlineStr">
        <is>
          <t>'09.07.</t>
        </is>
      </c>
      <c r="C16" s="164" t="n">
        <v>576</v>
      </c>
      <c r="D16" s="161" t="n">
        <v>162.4</v>
      </c>
      <c r="E16" s="163" t="n">
        <v>49</v>
      </c>
      <c r="F16" s="161" t="n">
        <v>122.5</v>
      </c>
      <c r="G16" s="27" t="n">
        <v>37</v>
      </c>
      <c r="H16" s="164" t="n">
        <v>206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162B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두산위브더제니스</t>
        </is>
      </c>
      <c r="B17" s="16" t="inlineStr">
        <is>
          <t>'09.07.</t>
        </is>
      </c>
      <c r="C17" s="164" t="n">
        <v>576</v>
      </c>
      <c r="D17" s="161" t="n">
        <v>163.3</v>
      </c>
      <c r="E17" s="163" t="n">
        <v>49</v>
      </c>
      <c r="F17" s="161" t="n">
        <v>124.1</v>
      </c>
      <c r="G17" s="27" t="n">
        <v>38</v>
      </c>
      <c r="H17" s="164" t="n">
        <v>142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163A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두산위브더제니스</t>
        </is>
      </c>
      <c r="B18" s="16" t="inlineStr">
        <is>
          <t>'09.07.</t>
        </is>
      </c>
      <c r="C18" s="164" t="n">
        <v>576</v>
      </c>
      <c r="D18" s="161" t="n">
        <v>189.1</v>
      </c>
      <c r="E18" s="163" t="n">
        <v>57</v>
      </c>
      <c r="F18" s="161" t="n">
        <v>143.8</v>
      </c>
      <c r="G18" s="27" t="n">
        <v>44</v>
      </c>
      <c r="H18" s="164" t="n">
        <v>142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189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두산위브더제니스</t>
        </is>
      </c>
      <c r="B19" s="16" t="inlineStr">
        <is>
          <t>'09.07.</t>
        </is>
      </c>
      <c r="C19" s="164" t="n">
        <v>576</v>
      </c>
      <c r="D19" s="161" t="n">
        <v>258.6</v>
      </c>
      <c r="E19" s="163" t="n">
        <v>78</v>
      </c>
      <c r="F19" s="161" t="n">
        <v>196</v>
      </c>
      <c r="G19" s="27" t="n">
        <v>59</v>
      </c>
      <c r="H19" s="164" t="n">
        <v>8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258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덕희아파트</t>
        </is>
      </c>
      <c r="B21" s="16" t="inlineStr">
        <is>
          <t>'94.02.</t>
        </is>
      </c>
      <c r="C21" s="164" t="n">
        <v>203</v>
      </c>
      <c r="D21" s="161" t="n">
        <v>31.8</v>
      </c>
      <c r="E21" s="163" t="n">
        <v>10</v>
      </c>
      <c r="F21" s="161" t="n">
        <v>22.2</v>
      </c>
      <c r="G21" s="27" t="n">
        <v>7</v>
      </c>
      <c r="H21" s="164" t="n">
        <v>203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1</v>
      </c>
      <c r="R21" s="113" t="n">
        <v>1</v>
      </c>
      <c r="S21" s="113" t="inlineStr">
        <is>
          <t>복</t>
        </is>
      </c>
      <c r="T21" s="8" t="n">
        <v>31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푸르지오캐슬1,2,3단지</t>
        </is>
      </c>
      <c r="B23" s="16" t="inlineStr">
        <is>
          <t>'10.11.</t>
        </is>
      </c>
      <c r="C23" s="164" t="n">
        <v>1832</v>
      </c>
      <c r="D23" s="161" t="n">
        <v>83.09999999999999</v>
      </c>
      <c r="E23" s="163" t="n">
        <v>25</v>
      </c>
      <c r="F23" s="161" t="n">
        <v>59.7</v>
      </c>
      <c r="G23" s="27" t="n">
        <v>18</v>
      </c>
      <c r="H23" s="164" t="n">
        <v>230</v>
      </c>
      <c r="I23" s="165" t="n">
        <v>25000</v>
      </c>
      <c r="J23" s="165" t="inlineStr">
        <is>
          <t>9</t>
        </is>
      </c>
      <c r="K23" s="165" t="n">
        <v>24000</v>
      </c>
      <c r="L23" s="165" t="inlineStr">
        <is>
          <t>15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83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푸르지오캐슬1,2,3단지</t>
        </is>
      </c>
      <c r="B24" s="16" t="inlineStr">
        <is>
          <t>'10.11.</t>
        </is>
      </c>
      <c r="C24" s="164" t="n">
        <v>1832</v>
      </c>
      <c r="D24" s="161" t="n">
        <v>94.8</v>
      </c>
      <c r="E24" s="163" t="n">
        <v>29</v>
      </c>
      <c r="F24" s="161" t="n">
        <v>72.3</v>
      </c>
      <c r="G24" s="27" t="n">
        <v>22</v>
      </c>
      <c r="H24" s="164" t="n">
        <v>99</v>
      </c>
      <c r="I24" s="165" t="n">
        <v>29000</v>
      </c>
      <c r="J24" s="165" t="inlineStr">
        <is>
          <t>7</t>
        </is>
      </c>
      <c r="K24" s="165" t="n">
        <v>26000</v>
      </c>
      <c r="L24" s="165" t="inlineStr">
        <is>
          <t>9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94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푸르지오캐슬1,2,3단지</t>
        </is>
      </c>
      <c r="B25" s="16" t="inlineStr">
        <is>
          <t>'10.11.</t>
        </is>
      </c>
      <c r="C25" s="164" t="n">
        <v>1832</v>
      </c>
      <c r="D25" s="161" t="n">
        <v>110.3</v>
      </c>
      <c r="E25" s="163" t="n">
        <v>33</v>
      </c>
      <c r="F25" s="161" t="n">
        <v>84.40000000000001</v>
      </c>
      <c r="G25" s="27" t="n">
        <v>26</v>
      </c>
      <c r="H25" s="164" t="n">
        <v>1055</v>
      </c>
      <c r="I25" s="165" t="n">
        <v>31000</v>
      </c>
      <c r="J25" s="165" t="inlineStr">
        <is>
          <t>13</t>
        </is>
      </c>
      <c r="K25" s="165" t="n">
        <v>25000</v>
      </c>
      <c r="L25" s="165" t="inlineStr">
        <is>
          <t>11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복</t>
        </is>
      </c>
      <c r="T25" s="8" t="n">
        <v>110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푸르지오캐슬1,2,3단지</t>
        </is>
      </c>
      <c r="B26" s="16" t="inlineStr">
        <is>
          <t>'10.11.</t>
        </is>
      </c>
      <c r="C26" s="164" t="n">
        <v>1832</v>
      </c>
      <c r="D26" s="161" t="n">
        <v>132.7</v>
      </c>
      <c r="E26" s="163" t="n">
        <v>40</v>
      </c>
      <c r="F26" s="161" t="n">
        <v>104</v>
      </c>
      <c r="G26" s="27" t="n">
        <v>31</v>
      </c>
      <c r="H26" s="164" t="n">
        <v>144</v>
      </c>
      <c r="I26" s="165" t="n">
        <v>40000</v>
      </c>
      <c r="J26" s="165" t="inlineStr">
        <is>
          <t>12</t>
        </is>
      </c>
      <c r="K26" s="165" t="n">
        <v>30000</v>
      </c>
      <c r="L26" s="165" t="inlineStr">
        <is>
          <t>8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132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푸르지오캐슬1,2,3단지</t>
        </is>
      </c>
      <c r="B27" s="16" t="inlineStr">
        <is>
          <t>'10.11.</t>
        </is>
      </c>
      <c r="C27" s="164" t="n">
        <v>1832</v>
      </c>
      <c r="D27" s="161" t="n">
        <v>155.6</v>
      </c>
      <c r="E27" s="163" t="n">
        <v>47</v>
      </c>
      <c r="F27" s="161" t="n">
        <v>123.4</v>
      </c>
      <c r="G27" s="27" t="n">
        <v>37</v>
      </c>
      <c r="H27" s="164" t="n">
        <v>128</v>
      </c>
      <c r="I27" s="165" t="n">
        <v>42000</v>
      </c>
      <c r="J27" s="165" t="inlineStr">
        <is>
          <t>16</t>
        </is>
      </c>
      <c r="K27" s="165" t="n">
        <v>33500</v>
      </c>
      <c r="L27" s="165" t="inlineStr">
        <is>
          <t>5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n">
        <v>155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푸르지오캐슬1,2,3단지</t>
        </is>
      </c>
      <c r="B28" s="16" t="inlineStr">
        <is>
          <t>'10.11.</t>
        </is>
      </c>
      <c r="C28" s="164" t="n">
        <v>1832</v>
      </c>
      <c r="D28" s="161" t="n">
        <v>173.2</v>
      </c>
      <c r="E28" s="163" t="n">
        <v>52</v>
      </c>
      <c r="F28" s="161" t="n">
        <v>140</v>
      </c>
      <c r="G28" s="27" t="n">
        <v>42</v>
      </c>
      <c r="H28" s="164" t="n">
        <v>88</v>
      </c>
      <c r="I28" s="165" t="n">
        <v>52000</v>
      </c>
      <c r="J28" s="165" t="inlineStr">
        <is>
          <t>9</t>
        </is>
      </c>
      <c r="K28" s="165" t="n">
        <v>45000</v>
      </c>
      <c r="L28" s="165" t="inlineStr">
        <is>
          <t>중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173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푸르지오캐슬1,2,3단지</t>
        </is>
      </c>
      <c r="B29" s="16" t="inlineStr">
        <is>
          <t>'10.11.</t>
        </is>
      </c>
      <c r="C29" s="164" t="n">
        <v>1832</v>
      </c>
      <c r="D29" s="161" t="n">
        <v>217</v>
      </c>
      <c r="E29" s="163" t="n">
        <v>66</v>
      </c>
      <c r="F29" s="161" t="n">
        <v>176</v>
      </c>
      <c r="G29" s="27" t="n">
        <v>53</v>
      </c>
      <c r="H29" s="164" t="n">
        <v>88</v>
      </c>
      <c r="I29" s="165" t="n">
        <v>68000</v>
      </c>
      <c r="J29" s="165" t="inlineStr">
        <is>
          <t>12</t>
        </is>
      </c>
      <c r="K29" s="165" t="n">
        <v>45000</v>
      </c>
      <c r="L29" s="165" t="inlineStr">
        <is>
          <t>중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5</v>
      </c>
      <c r="R29" s="113" t="n">
        <v>2</v>
      </c>
      <c r="S29" s="113" t="inlineStr">
        <is>
          <t>계</t>
        </is>
      </c>
      <c r="T29" s="8" t="n">
        <v>216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401" dxfId="17">
      <formula>AV4="X"</formula>
    </cfRule>
    <cfRule type="expression" priority="402" dxfId="16">
      <formula>AV4="후보"</formula>
    </cfRule>
  </conditionalFormatting>
  <conditionalFormatting sqref="AC1:AC2 AC4:AC6 N4:N5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N1:N2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6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6">
    <cfRule type="expression" priority="390" dxfId="3">
      <formula>AND(IF(OR($Q6=1,$Q6=2),1,0),IF($X6&lt;=20,1,0))</formula>
    </cfRule>
    <cfRule type="expression" priority="391" dxfId="2">
      <formula>AND(IF($Q6=2,1,0),IF($X6&lt;30,1,0))</formula>
    </cfRule>
    <cfRule type="expression" priority="392" dxfId="1">
      <formula>AND(IF($Q6=3,1,0),IF($X6&lt;30,1,0))</formula>
    </cfRule>
    <cfRule type="expression" priority="393" dxfId="0">
      <formula>AND(IF($Q6=3,1,IF($Q6=4,1,0)),IF($F6&lt;=85,1,0))</formula>
    </cfRule>
  </conditionalFormatting>
  <conditionalFormatting sqref="X6">
    <cfRule type="expression" priority="386" dxfId="3">
      <formula>AND(IF(OR($Q6=1,$Q6=2),1,0),IF($X6&lt;=20,1,0))</formula>
    </cfRule>
    <cfRule type="expression" priority="387" dxfId="2">
      <formula>AND(IF($Q6=2,1,0),IF($X6&lt;30,1,0))</formula>
    </cfRule>
    <cfRule type="expression" priority="388" dxfId="1">
      <formula>AND(IF($Q6=3,1,0),IF($X6&lt;30,1,0))</formula>
    </cfRule>
    <cfRule type="expression" priority="389" dxfId="0">
      <formula>AND(IF($Q6=3,1,IF($Q6=4,1,0)),IF($F6&lt;=85,1,0))</formula>
    </cfRule>
  </conditionalFormatting>
  <conditionalFormatting sqref="AI6">
    <cfRule type="expression" priority="382" dxfId="3">
      <formula>AND(IF(OR($Q6=1,$Q6=2),1,0),IF($X6&lt;=20,1,0))</formula>
    </cfRule>
    <cfRule type="expression" priority="383" dxfId="2">
      <formula>AND(IF($Q6=2,1,0),IF($X6&lt;30,1,0))</formula>
    </cfRule>
    <cfRule type="expression" priority="384" dxfId="1">
      <formula>AND(IF($Q6=3,1,0),IF($X6&lt;30,1,0))</formula>
    </cfRule>
    <cfRule type="expression" priority="385" dxfId="0">
      <formula>AND(IF($Q6=3,1,IF($Q6=4,1,0)),IF($F6&lt;=85,1,0))</formula>
    </cfRule>
  </conditionalFormatting>
  <conditionalFormatting sqref="AV7">
    <cfRule type="expression" priority="380" dxfId="17">
      <formula>AV7="X"</formula>
    </cfRule>
    <cfRule type="expression" priority="381" dxfId="16">
      <formula>AV7="후보"</formula>
    </cfRule>
  </conditionalFormatting>
  <conditionalFormatting sqref="AC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7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7">
    <cfRule type="expression" priority="371" dxfId="3">
      <formula>AND(IF(OR($Q7=1,$Q7=2),1,0),IF($X7&lt;=20,1,0))</formula>
    </cfRule>
    <cfRule type="expression" priority="372" dxfId="2">
      <formula>AND(IF($Q7=2,1,0),IF($X7&lt;30,1,0))</formula>
    </cfRule>
    <cfRule type="expression" priority="373" dxfId="1">
      <formula>AND(IF($Q7=3,1,0),IF($X7&lt;30,1,0))</formula>
    </cfRule>
    <cfRule type="expression" priority="374" dxfId="0">
      <formula>AND(IF($Q7=3,1,IF($Q7=4,1,0)),IF($F7&lt;=85,1,0))</formula>
    </cfRule>
  </conditionalFormatting>
  <conditionalFormatting sqref="X7">
    <cfRule type="expression" priority="367" dxfId="3">
      <formula>AND(IF(OR($Q7=1,$Q7=2),1,0),IF($X7&lt;=20,1,0))</formula>
    </cfRule>
    <cfRule type="expression" priority="368" dxfId="2">
      <formula>AND(IF($Q7=2,1,0),IF($X7&lt;30,1,0))</formula>
    </cfRule>
    <cfRule type="expression" priority="369" dxfId="1">
      <formula>AND(IF($Q7=3,1,0),IF($X7&lt;30,1,0))</formula>
    </cfRule>
    <cfRule type="expression" priority="370" dxfId="0">
      <formula>AND(IF($Q7=3,1,IF($Q7=4,1,0)),IF($F7&lt;=85,1,0))</formula>
    </cfRule>
  </conditionalFormatting>
  <conditionalFormatting sqref="AI7">
    <cfRule type="expression" priority="363" dxfId="3">
      <formula>AND(IF(OR($Q7=1,$Q7=2),1,0),IF($X7&lt;=20,1,0))</formula>
    </cfRule>
    <cfRule type="expression" priority="364" dxfId="2">
      <formula>AND(IF($Q7=2,1,0),IF($X7&lt;30,1,0))</formula>
    </cfRule>
    <cfRule type="expression" priority="365" dxfId="1">
      <formula>AND(IF($Q7=3,1,0),IF($X7&lt;30,1,0))</formula>
    </cfRule>
    <cfRule type="expression" priority="366" dxfId="0">
      <formula>AND(IF($Q7=3,1,IF($Q7=4,1,0)),IF($F7&lt;=85,1,0))</formula>
    </cfRule>
  </conditionalFormatting>
  <conditionalFormatting sqref="AV8">
    <cfRule type="expression" priority="361" dxfId="17">
      <formula>AV8="X"</formula>
    </cfRule>
    <cfRule type="expression" priority="362" dxfId="16">
      <formula>AV8="후보"</formula>
    </cfRule>
  </conditionalFormatting>
  <conditionalFormatting sqref="AC8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8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8">
    <cfRule type="expression" priority="352" dxfId="3">
      <formula>AND(IF(OR($Q8=1,$Q8=2),1,0),IF($X8&lt;=20,1,0))</formula>
    </cfRule>
    <cfRule type="expression" priority="353" dxfId="2">
      <formula>AND(IF($Q8=2,1,0),IF($X8&lt;30,1,0))</formula>
    </cfRule>
    <cfRule type="expression" priority="354" dxfId="1">
      <formula>AND(IF($Q8=3,1,0),IF($X8&lt;30,1,0))</formula>
    </cfRule>
    <cfRule type="expression" priority="355" dxfId="0">
      <formula>AND(IF($Q8=3,1,IF($Q8=4,1,0)),IF($F8&lt;=85,1,0))</formula>
    </cfRule>
  </conditionalFormatting>
  <conditionalFormatting sqref="X8">
    <cfRule type="expression" priority="348" dxfId="3">
      <formula>AND(IF(OR($Q8=1,$Q8=2),1,0),IF($X8&lt;=20,1,0))</formula>
    </cfRule>
    <cfRule type="expression" priority="349" dxfId="2">
      <formula>AND(IF($Q8=2,1,0),IF($X8&lt;30,1,0))</formula>
    </cfRule>
    <cfRule type="expression" priority="350" dxfId="1">
      <formula>AND(IF($Q8=3,1,0),IF($X8&lt;30,1,0))</formula>
    </cfRule>
    <cfRule type="expression" priority="351" dxfId="0">
      <formula>AND(IF($Q8=3,1,IF($Q8=4,1,0)),IF($F8&lt;=85,1,0))</formula>
    </cfRule>
  </conditionalFormatting>
  <conditionalFormatting sqref="AI8">
    <cfRule type="expression" priority="344" dxfId="3">
      <formula>AND(IF(OR($Q8=1,$Q8=2),1,0),IF($X8&lt;=20,1,0))</formula>
    </cfRule>
    <cfRule type="expression" priority="345" dxfId="2">
      <formula>AND(IF($Q8=2,1,0),IF($X8&lt;30,1,0))</formula>
    </cfRule>
    <cfRule type="expression" priority="346" dxfId="1">
      <formula>AND(IF($Q8=3,1,0),IF($X8&lt;30,1,0))</formula>
    </cfRule>
    <cfRule type="expression" priority="347" dxfId="0">
      <formula>AND(IF($Q8=3,1,IF($Q8=4,1,0)),IF($F8&lt;=85,1,0))</formula>
    </cfRule>
  </conditionalFormatting>
  <conditionalFormatting sqref="AV9">
    <cfRule type="expression" priority="342" dxfId="17">
      <formula>AV9="X"</formula>
    </cfRule>
    <cfRule type="expression" priority="343" dxfId="16">
      <formula>AV9="후보"</formula>
    </cfRule>
  </conditionalFormatting>
  <conditionalFormatting sqref="AC9 N9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10">
    <cfRule type="expression" priority="337" dxfId="17">
      <formula>AV10="X"</formula>
    </cfRule>
    <cfRule type="expression" priority="338" dxfId="16">
      <formula>AV10="후보"</formula>
    </cfRule>
  </conditionalFormatting>
  <conditionalFormatting sqref="AC1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0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0">
    <cfRule type="expression" priority="328" dxfId="3">
      <formula>AND(IF(OR($Q10=1,$Q10=2),1,0),IF($X10&lt;=20,1,0))</formula>
    </cfRule>
    <cfRule type="expression" priority="329" dxfId="2">
      <formula>AND(IF($Q10=2,1,0),IF($X10&lt;30,1,0))</formula>
    </cfRule>
    <cfRule type="expression" priority="330" dxfId="1">
      <formula>AND(IF($Q10=3,1,0),IF($X10&lt;30,1,0))</formula>
    </cfRule>
    <cfRule type="expression" priority="331" dxfId="0">
      <formula>AND(IF($Q10=3,1,IF($Q10=4,1,0)),IF($F10&lt;=85,1,0))</formula>
    </cfRule>
  </conditionalFormatting>
  <conditionalFormatting sqref="X10">
    <cfRule type="expression" priority="324" dxfId="3">
      <formula>AND(IF(OR($Q10=1,$Q10=2),1,0),IF($X10&lt;=20,1,0))</formula>
    </cfRule>
    <cfRule type="expression" priority="325" dxfId="2">
      <formula>AND(IF($Q10=2,1,0),IF($X10&lt;30,1,0))</formula>
    </cfRule>
    <cfRule type="expression" priority="326" dxfId="1">
      <formula>AND(IF($Q10=3,1,0),IF($X10&lt;30,1,0))</formula>
    </cfRule>
    <cfRule type="expression" priority="327" dxfId="0">
      <formula>AND(IF($Q10=3,1,IF($Q10=4,1,0)),IF($F10&lt;=85,1,0))</formula>
    </cfRule>
  </conditionalFormatting>
  <conditionalFormatting sqref="AI10">
    <cfRule type="expression" priority="320" dxfId="3">
      <formula>AND(IF(OR($Q10=1,$Q10=2),1,0),IF($X10&lt;=20,1,0))</formula>
    </cfRule>
    <cfRule type="expression" priority="321" dxfId="2">
      <formula>AND(IF($Q10=2,1,0),IF($X10&lt;30,1,0))</formula>
    </cfRule>
    <cfRule type="expression" priority="322" dxfId="1">
      <formula>AND(IF($Q10=3,1,0),IF($X10&lt;30,1,0))</formula>
    </cfRule>
    <cfRule type="expression" priority="323" dxfId="0">
      <formula>AND(IF($Q10=3,1,IF($Q10=4,1,0)),IF($F10&lt;=85,1,0))</formula>
    </cfRule>
  </conditionalFormatting>
  <conditionalFormatting sqref="AV11">
    <cfRule type="expression" priority="318" dxfId="17">
      <formula>AV11="X"</formula>
    </cfRule>
    <cfRule type="expression" priority="319" dxfId="16">
      <formula>AV11="후보"</formula>
    </cfRule>
  </conditionalFormatting>
  <conditionalFormatting sqref="AC1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1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1">
    <cfRule type="expression" priority="309" dxfId="3">
      <formula>AND(IF(OR($Q11=1,$Q11=2),1,0),IF($X11&lt;=20,1,0))</formula>
    </cfRule>
    <cfRule type="expression" priority="310" dxfId="2">
      <formula>AND(IF($Q11=2,1,0),IF($X11&lt;30,1,0))</formula>
    </cfRule>
    <cfRule type="expression" priority="311" dxfId="1">
      <formula>AND(IF($Q11=3,1,0),IF($X11&lt;30,1,0))</formula>
    </cfRule>
    <cfRule type="expression" priority="312" dxfId="0">
      <formula>AND(IF($Q11=3,1,IF($Q11=4,1,0)),IF($F11&lt;=85,1,0))</formula>
    </cfRule>
  </conditionalFormatting>
  <conditionalFormatting sqref="X11">
    <cfRule type="expression" priority="305" dxfId="3">
      <formula>AND(IF(OR($Q11=1,$Q11=2),1,0),IF($X11&lt;=20,1,0))</formula>
    </cfRule>
    <cfRule type="expression" priority="306" dxfId="2">
      <formula>AND(IF($Q11=2,1,0),IF($X11&lt;30,1,0))</formula>
    </cfRule>
    <cfRule type="expression" priority="307" dxfId="1">
      <formula>AND(IF($Q11=3,1,0),IF($X11&lt;30,1,0))</formula>
    </cfRule>
    <cfRule type="expression" priority="308" dxfId="0">
      <formula>AND(IF($Q11=3,1,IF($Q11=4,1,0)),IF($F11&lt;=85,1,0))</formula>
    </cfRule>
  </conditionalFormatting>
  <conditionalFormatting sqref="AI11">
    <cfRule type="expression" priority="301" dxfId="3">
      <formula>AND(IF(OR($Q11=1,$Q11=2),1,0),IF($X11&lt;=20,1,0))</formula>
    </cfRule>
    <cfRule type="expression" priority="302" dxfId="2">
      <formula>AND(IF($Q11=2,1,0),IF($X11&lt;30,1,0))</formula>
    </cfRule>
    <cfRule type="expression" priority="303" dxfId="1">
      <formula>AND(IF($Q11=3,1,0),IF($X11&lt;30,1,0))</formula>
    </cfRule>
    <cfRule type="expression" priority="304" dxfId="0">
      <formula>AND(IF($Q11=3,1,IF($Q11=4,1,0)),IF($F11&lt;=85,1,0))</formula>
    </cfRule>
  </conditionalFormatting>
  <conditionalFormatting sqref="AV12">
    <cfRule type="expression" priority="299" dxfId="17">
      <formula>AV12="X"</formula>
    </cfRule>
    <cfRule type="expression" priority="300" dxfId="16">
      <formula>AV12="후보"</formula>
    </cfRule>
  </conditionalFormatting>
  <conditionalFormatting sqref="AC12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2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2">
    <cfRule type="expression" priority="290" dxfId="3">
      <formula>AND(IF(OR($Q12=1,$Q12=2),1,0),IF($X12&lt;=20,1,0))</formula>
    </cfRule>
    <cfRule type="expression" priority="291" dxfId="2">
      <formula>AND(IF($Q12=2,1,0),IF($X12&lt;30,1,0))</formula>
    </cfRule>
    <cfRule type="expression" priority="292" dxfId="1">
      <formula>AND(IF($Q12=3,1,0),IF($X12&lt;30,1,0))</formula>
    </cfRule>
    <cfRule type="expression" priority="293" dxfId="0">
      <formula>AND(IF($Q12=3,1,IF($Q12=4,1,0)),IF($F12&lt;=85,1,0))</formula>
    </cfRule>
  </conditionalFormatting>
  <conditionalFormatting sqref="X12">
    <cfRule type="expression" priority="286" dxfId="3">
      <formula>AND(IF(OR($Q12=1,$Q12=2),1,0),IF($X12&lt;=20,1,0))</formula>
    </cfRule>
    <cfRule type="expression" priority="287" dxfId="2">
      <formula>AND(IF($Q12=2,1,0),IF($X12&lt;30,1,0))</formula>
    </cfRule>
    <cfRule type="expression" priority="288" dxfId="1">
      <formula>AND(IF($Q12=3,1,0),IF($X12&lt;30,1,0))</formula>
    </cfRule>
    <cfRule type="expression" priority="289" dxfId="0">
      <formula>AND(IF($Q12=3,1,IF($Q12=4,1,0)),IF($F12&lt;=85,1,0))</formula>
    </cfRule>
  </conditionalFormatting>
  <conditionalFormatting sqref="AI12">
    <cfRule type="expression" priority="282" dxfId="3">
      <formula>AND(IF(OR($Q12=1,$Q12=2),1,0),IF($X12&lt;=20,1,0))</formula>
    </cfRule>
    <cfRule type="expression" priority="283" dxfId="2">
      <formula>AND(IF($Q12=2,1,0),IF($X12&lt;30,1,0))</formula>
    </cfRule>
    <cfRule type="expression" priority="284" dxfId="1">
      <formula>AND(IF($Q12=3,1,0),IF($X12&lt;30,1,0))</formula>
    </cfRule>
    <cfRule type="expression" priority="285" dxfId="0">
      <formula>AND(IF($Q12=3,1,IF($Q12=4,1,0)),IF($F12&lt;=85,1,0))</formula>
    </cfRule>
  </conditionalFormatting>
  <conditionalFormatting sqref="AV13">
    <cfRule type="expression" priority="280" dxfId="17">
      <formula>AV13="X"</formula>
    </cfRule>
    <cfRule type="expression" priority="281" dxfId="16">
      <formula>AV13="후보"</formula>
    </cfRule>
  </conditionalFormatting>
  <conditionalFormatting sqref="AC13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3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3">
    <cfRule type="expression" priority="271" dxfId="3">
      <formula>AND(IF(OR($Q13=1,$Q13=2),1,0),IF($X13&lt;=20,1,0))</formula>
    </cfRule>
    <cfRule type="expression" priority="272" dxfId="2">
      <formula>AND(IF($Q13=2,1,0),IF($X13&lt;30,1,0))</formula>
    </cfRule>
    <cfRule type="expression" priority="273" dxfId="1">
      <formula>AND(IF($Q13=3,1,0),IF($X13&lt;30,1,0))</formula>
    </cfRule>
    <cfRule type="expression" priority="274" dxfId="0">
      <formula>AND(IF($Q13=3,1,IF($Q13=4,1,0)),IF($F13&lt;=85,1,0))</formula>
    </cfRule>
  </conditionalFormatting>
  <conditionalFormatting sqref="X13">
    <cfRule type="expression" priority="267" dxfId="3">
      <formula>AND(IF(OR($Q13=1,$Q13=2),1,0),IF($X13&lt;=20,1,0))</formula>
    </cfRule>
    <cfRule type="expression" priority="268" dxfId="2">
      <formula>AND(IF($Q13=2,1,0),IF($X13&lt;30,1,0))</formula>
    </cfRule>
    <cfRule type="expression" priority="269" dxfId="1">
      <formula>AND(IF($Q13=3,1,0),IF($X13&lt;30,1,0))</formula>
    </cfRule>
    <cfRule type="expression" priority="270" dxfId="0">
      <formula>AND(IF($Q13=3,1,IF($Q13=4,1,0)),IF($F13&lt;=85,1,0))</formula>
    </cfRule>
  </conditionalFormatting>
  <conditionalFormatting sqref="AI13">
    <cfRule type="expression" priority="263" dxfId="3">
      <formula>AND(IF(OR($Q13=1,$Q13=2),1,0),IF($X13&lt;=20,1,0))</formula>
    </cfRule>
    <cfRule type="expression" priority="264" dxfId="2">
      <formula>AND(IF($Q13=2,1,0),IF($X13&lt;30,1,0))</formula>
    </cfRule>
    <cfRule type="expression" priority="265" dxfId="1">
      <formula>AND(IF($Q13=3,1,0),IF($X13&lt;30,1,0))</formula>
    </cfRule>
    <cfRule type="expression" priority="266" dxfId="0">
      <formula>AND(IF($Q13=3,1,IF($Q13=4,1,0)),IF($F13&lt;=85,1,0))</formula>
    </cfRule>
  </conditionalFormatting>
  <conditionalFormatting sqref="AV14">
    <cfRule type="expression" priority="261" dxfId="17">
      <formula>AV14="X"</formula>
    </cfRule>
    <cfRule type="expression" priority="262" dxfId="16">
      <formula>AV14="후보"</formula>
    </cfRule>
  </conditionalFormatting>
  <conditionalFormatting sqref="AC14 N1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15">
    <cfRule type="expression" priority="256" dxfId="17">
      <formula>AV15="X"</formula>
    </cfRule>
    <cfRule type="expression" priority="257" dxfId="16">
      <formula>AV15="후보"</formula>
    </cfRule>
  </conditionalFormatting>
  <conditionalFormatting sqref="AC1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5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5">
    <cfRule type="expression" priority="247" dxfId="3">
      <formula>AND(IF(OR($Q15=1,$Q15=2),1,0),IF($X15&lt;=20,1,0))</formula>
    </cfRule>
    <cfRule type="expression" priority="248" dxfId="2">
      <formula>AND(IF($Q15=2,1,0),IF($X15&lt;30,1,0))</formula>
    </cfRule>
    <cfRule type="expression" priority="249" dxfId="1">
      <formula>AND(IF($Q15=3,1,0),IF($X15&lt;30,1,0))</formula>
    </cfRule>
    <cfRule type="expression" priority="250" dxfId="0">
      <formula>AND(IF($Q15=3,1,IF($Q15=4,1,0)),IF($F15&lt;=85,1,0))</formula>
    </cfRule>
  </conditionalFormatting>
  <conditionalFormatting sqref="X15">
    <cfRule type="expression" priority="243" dxfId="3">
      <formula>AND(IF(OR($Q15=1,$Q15=2),1,0),IF($X15&lt;=20,1,0))</formula>
    </cfRule>
    <cfRule type="expression" priority="244" dxfId="2">
      <formula>AND(IF($Q15=2,1,0),IF($X15&lt;30,1,0))</formula>
    </cfRule>
    <cfRule type="expression" priority="245" dxfId="1">
      <formula>AND(IF($Q15=3,1,0),IF($X15&lt;30,1,0))</formula>
    </cfRule>
    <cfRule type="expression" priority="246" dxfId="0">
      <formula>AND(IF($Q15=3,1,IF($Q15=4,1,0)),IF($F15&lt;=85,1,0))</formula>
    </cfRule>
  </conditionalFormatting>
  <conditionalFormatting sqref="AI15">
    <cfRule type="expression" priority="239" dxfId="3">
      <formula>AND(IF(OR($Q15=1,$Q15=2),1,0),IF($X15&lt;=20,1,0))</formula>
    </cfRule>
    <cfRule type="expression" priority="240" dxfId="2">
      <formula>AND(IF($Q15=2,1,0),IF($X15&lt;30,1,0))</formula>
    </cfRule>
    <cfRule type="expression" priority="241" dxfId="1">
      <formula>AND(IF($Q15=3,1,0),IF($X15&lt;30,1,0))</formula>
    </cfRule>
    <cfRule type="expression" priority="242" dxfId="0">
      <formula>AND(IF($Q15=3,1,IF($Q15=4,1,0)),IF($F15&lt;=85,1,0))</formula>
    </cfRule>
  </conditionalFormatting>
  <conditionalFormatting sqref="AV16">
    <cfRule type="expression" priority="237" dxfId="17">
      <formula>AV16="X"</formula>
    </cfRule>
    <cfRule type="expression" priority="238" dxfId="16">
      <formula>AV16="후보"</formula>
    </cfRule>
  </conditionalFormatting>
  <conditionalFormatting sqref="AC1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6">
    <cfRule type="expression" priority="228" dxfId="3">
      <formula>AND(IF(OR($Q16=1,$Q16=2),1,0),IF($X16&lt;=20,1,0))</formula>
    </cfRule>
    <cfRule type="expression" priority="229" dxfId="2">
      <formula>AND(IF($Q16=2,1,0),IF($X16&lt;30,1,0))</formula>
    </cfRule>
    <cfRule type="expression" priority="230" dxfId="1">
      <formula>AND(IF($Q16=3,1,0),IF($X16&lt;30,1,0))</formula>
    </cfRule>
    <cfRule type="expression" priority="231" dxfId="0">
      <formula>AND(IF($Q16=3,1,IF($Q16=4,1,0)),IF($F16&lt;=85,1,0))</formula>
    </cfRule>
  </conditionalFormatting>
  <conditionalFormatting sqref="X16">
    <cfRule type="expression" priority="224" dxfId="3">
      <formula>AND(IF(OR($Q16=1,$Q16=2),1,0),IF($X16&lt;=20,1,0))</formula>
    </cfRule>
    <cfRule type="expression" priority="225" dxfId="2">
      <formula>AND(IF($Q16=2,1,0),IF($X16&lt;30,1,0))</formula>
    </cfRule>
    <cfRule type="expression" priority="226" dxfId="1">
      <formula>AND(IF($Q16=3,1,0),IF($X16&lt;30,1,0))</formula>
    </cfRule>
    <cfRule type="expression" priority="227" dxfId="0">
      <formula>AND(IF($Q16=3,1,IF($Q16=4,1,0)),IF($F16&lt;=85,1,0))</formula>
    </cfRule>
  </conditionalFormatting>
  <conditionalFormatting sqref="AI16">
    <cfRule type="expression" priority="220" dxfId="3">
      <formula>AND(IF(OR($Q16=1,$Q16=2),1,0),IF($X16&lt;=20,1,0))</formula>
    </cfRule>
    <cfRule type="expression" priority="221" dxfId="2">
      <formula>AND(IF($Q16=2,1,0),IF($X16&lt;30,1,0))</formula>
    </cfRule>
    <cfRule type="expression" priority="222" dxfId="1">
      <formula>AND(IF($Q16=3,1,0),IF($X16&lt;30,1,0))</formula>
    </cfRule>
    <cfRule type="expression" priority="223" dxfId="0">
      <formula>AND(IF($Q16=3,1,IF($Q16=4,1,0)),IF($F16&lt;=85,1,0))</formula>
    </cfRule>
  </conditionalFormatting>
  <conditionalFormatting sqref="AV17">
    <cfRule type="expression" priority="218" dxfId="17">
      <formula>AV17="X"</formula>
    </cfRule>
    <cfRule type="expression" priority="219" dxfId="16">
      <formula>AV17="후보"</formula>
    </cfRule>
  </conditionalFormatting>
  <conditionalFormatting sqref="AC1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7">
    <cfRule type="expression" priority="209" dxfId="3">
      <formula>AND(IF(OR($Q17=1,$Q17=2),1,0),IF($X17&lt;=20,1,0))</formula>
    </cfRule>
    <cfRule type="expression" priority="210" dxfId="2">
      <formula>AND(IF($Q17=2,1,0),IF($X17&lt;30,1,0))</formula>
    </cfRule>
    <cfRule type="expression" priority="211" dxfId="1">
      <formula>AND(IF($Q17=3,1,0),IF($X17&lt;30,1,0))</formula>
    </cfRule>
    <cfRule type="expression" priority="212" dxfId="0">
      <formula>AND(IF($Q17=3,1,IF($Q17=4,1,0)),IF($F17&lt;=85,1,0))</formula>
    </cfRule>
  </conditionalFormatting>
  <conditionalFormatting sqref="X17">
    <cfRule type="expression" priority="205" dxfId="3">
      <formula>AND(IF(OR($Q17=1,$Q17=2),1,0),IF($X17&lt;=20,1,0))</formula>
    </cfRule>
    <cfRule type="expression" priority="206" dxfId="2">
      <formula>AND(IF($Q17=2,1,0),IF($X17&lt;30,1,0))</formula>
    </cfRule>
    <cfRule type="expression" priority="207" dxfId="1">
      <formula>AND(IF($Q17=3,1,0),IF($X17&lt;30,1,0))</formula>
    </cfRule>
    <cfRule type="expression" priority="208" dxfId="0">
      <formula>AND(IF($Q17=3,1,IF($Q17=4,1,0)),IF($F17&lt;=85,1,0))</formula>
    </cfRule>
  </conditionalFormatting>
  <conditionalFormatting sqref="AI17">
    <cfRule type="expression" priority="201" dxfId="3">
      <formula>AND(IF(OR($Q17=1,$Q17=2),1,0),IF($X17&lt;=20,1,0))</formula>
    </cfRule>
    <cfRule type="expression" priority="202" dxfId="2">
      <formula>AND(IF($Q17=2,1,0),IF($X17&lt;30,1,0))</formula>
    </cfRule>
    <cfRule type="expression" priority="203" dxfId="1">
      <formula>AND(IF($Q17=3,1,0),IF($X17&lt;30,1,0))</formula>
    </cfRule>
    <cfRule type="expression" priority="204" dxfId="0">
      <formula>AND(IF($Q17=3,1,IF($Q17=4,1,0)),IF($F17&lt;=85,1,0))</formula>
    </cfRule>
  </conditionalFormatting>
  <conditionalFormatting sqref="AV18">
    <cfRule type="expression" priority="199" dxfId="17">
      <formula>AV18="X"</formula>
    </cfRule>
    <cfRule type="expression" priority="200" dxfId="16">
      <formula>AV18="후보"</formula>
    </cfRule>
  </conditionalFormatting>
  <conditionalFormatting sqref="AC1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8">
    <cfRule type="expression" priority="190" dxfId="3">
      <formula>AND(IF(OR($Q18=1,$Q18=2),1,0),IF($X18&lt;=20,1,0))</formula>
    </cfRule>
    <cfRule type="expression" priority="191" dxfId="2">
      <formula>AND(IF($Q18=2,1,0),IF($X18&lt;30,1,0))</formula>
    </cfRule>
    <cfRule type="expression" priority="192" dxfId="1">
      <formula>AND(IF($Q18=3,1,0),IF($X18&lt;30,1,0))</formula>
    </cfRule>
    <cfRule type="expression" priority="193" dxfId="0">
      <formula>AND(IF($Q18=3,1,IF($Q18=4,1,0)),IF($F18&lt;=85,1,0))</formula>
    </cfRule>
  </conditionalFormatting>
  <conditionalFormatting sqref="X18">
    <cfRule type="expression" priority="186" dxfId="3">
      <formula>AND(IF(OR($Q18=1,$Q18=2),1,0),IF($X18&lt;=20,1,0))</formula>
    </cfRule>
    <cfRule type="expression" priority="187" dxfId="2">
      <formula>AND(IF($Q18=2,1,0),IF($X18&lt;30,1,0))</formula>
    </cfRule>
    <cfRule type="expression" priority="188" dxfId="1">
      <formula>AND(IF($Q18=3,1,0),IF($X18&lt;30,1,0))</formula>
    </cfRule>
    <cfRule type="expression" priority="189" dxfId="0">
      <formula>AND(IF($Q18=3,1,IF($Q18=4,1,0)),IF($F18&lt;=85,1,0))</formula>
    </cfRule>
  </conditionalFormatting>
  <conditionalFormatting sqref="AI18">
    <cfRule type="expression" priority="182" dxfId="3">
      <formula>AND(IF(OR($Q18=1,$Q18=2),1,0),IF($X18&lt;=20,1,0))</formula>
    </cfRule>
    <cfRule type="expression" priority="183" dxfId="2">
      <formula>AND(IF($Q18=2,1,0),IF($X18&lt;30,1,0))</formula>
    </cfRule>
    <cfRule type="expression" priority="184" dxfId="1">
      <formula>AND(IF($Q18=3,1,0),IF($X18&lt;30,1,0))</formula>
    </cfRule>
    <cfRule type="expression" priority="185" dxfId="0">
      <formula>AND(IF($Q18=3,1,IF($Q18=4,1,0)),IF($F18&lt;=85,1,0))</formula>
    </cfRule>
  </conditionalFormatting>
  <conditionalFormatting sqref="AV19">
    <cfRule type="expression" priority="180" dxfId="17">
      <formula>AV19="X"</formula>
    </cfRule>
    <cfRule type="expression" priority="181" dxfId="16">
      <formula>AV19="후보"</formula>
    </cfRule>
  </conditionalFormatting>
  <conditionalFormatting sqref="AC1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9">
    <cfRule type="expression" priority="171" dxfId="3">
      <formula>AND(IF(OR($Q19=1,$Q19=2),1,0),IF($X19&lt;=20,1,0))</formula>
    </cfRule>
    <cfRule type="expression" priority="172" dxfId="2">
      <formula>AND(IF($Q19=2,1,0),IF($X19&lt;30,1,0))</formula>
    </cfRule>
    <cfRule type="expression" priority="173" dxfId="1">
      <formula>AND(IF($Q19=3,1,0),IF($X19&lt;30,1,0))</formula>
    </cfRule>
    <cfRule type="expression" priority="174" dxfId="0">
      <formula>AND(IF($Q19=3,1,IF($Q19=4,1,0)),IF($F19&lt;=85,1,0))</formula>
    </cfRule>
  </conditionalFormatting>
  <conditionalFormatting sqref="X19">
    <cfRule type="expression" priority="167" dxfId="3">
      <formula>AND(IF(OR($Q19=1,$Q19=2),1,0),IF($X19&lt;=20,1,0))</formula>
    </cfRule>
    <cfRule type="expression" priority="168" dxfId="2">
      <formula>AND(IF($Q19=2,1,0),IF($X19&lt;30,1,0))</formula>
    </cfRule>
    <cfRule type="expression" priority="169" dxfId="1">
      <formula>AND(IF($Q19=3,1,0),IF($X19&lt;30,1,0))</formula>
    </cfRule>
    <cfRule type="expression" priority="170" dxfId="0">
      <formula>AND(IF($Q19=3,1,IF($Q19=4,1,0)),IF($F19&lt;=85,1,0))</formula>
    </cfRule>
  </conditionalFormatting>
  <conditionalFormatting sqref="AI19">
    <cfRule type="expression" priority="163" dxfId="3">
      <formula>AND(IF(OR($Q19=1,$Q19=2),1,0),IF($X19&lt;=20,1,0))</formula>
    </cfRule>
    <cfRule type="expression" priority="164" dxfId="2">
      <formula>AND(IF($Q19=2,1,0),IF($X19&lt;30,1,0))</formula>
    </cfRule>
    <cfRule type="expression" priority="165" dxfId="1">
      <formula>AND(IF($Q19=3,1,0),IF($X19&lt;30,1,0))</formula>
    </cfRule>
    <cfRule type="expression" priority="166" dxfId="0">
      <formula>AND(IF($Q19=3,1,IF($Q19=4,1,0)),IF($F19&lt;=85,1,0))</formula>
    </cfRule>
  </conditionalFormatting>
  <conditionalFormatting sqref="AV20">
    <cfRule type="expression" priority="161" dxfId="17">
      <formula>AV20="X"</formula>
    </cfRule>
    <cfRule type="expression" priority="162" dxfId="16">
      <formula>AV20="후보"</formula>
    </cfRule>
  </conditionalFormatting>
  <conditionalFormatting sqref="AC20 N2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21">
    <cfRule type="expression" priority="156" dxfId="17">
      <formula>AV21="X"</formula>
    </cfRule>
    <cfRule type="expression" priority="157" dxfId="16">
      <formula>AV21="후보"</formula>
    </cfRule>
  </conditionalFormatting>
  <conditionalFormatting sqref="AC2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1">
    <cfRule type="expression" priority="147" dxfId="3">
      <formula>AND(IF(OR($Q21=1,$Q21=2),1,0),IF($X21&lt;=20,1,0))</formula>
    </cfRule>
    <cfRule type="expression" priority="148" dxfId="2">
      <formula>AND(IF($Q21=2,1,0),IF($X21&lt;30,1,0))</formula>
    </cfRule>
    <cfRule type="expression" priority="149" dxfId="1">
      <formula>AND(IF($Q21=3,1,0),IF($X21&lt;30,1,0))</formula>
    </cfRule>
    <cfRule type="expression" priority="150" dxfId="0">
      <formula>AND(IF($Q21=3,1,IF($Q21=4,1,0)),IF($F21&lt;=85,1,0))</formula>
    </cfRule>
  </conditionalFormatting>
  <conditionalFormatting sqref="X21">
    <cfRule type="expression" priority="143" dxfId="3">
      <formula>AND(IF(OR($Q21=1,$Q21=2),1,0),IF($X21&lt;=20,1,0))</formula>
    </cfRule>
    <cfRule type="expression" priority="144" dxfId="2">
      <formula>AND(IF($Q21=2,1,0),IF($X21&lt;30,1,0))</formula>
    </cfRule>
    <cfRule type="expression" priority="145" dxfId="1">
      <formula>AND(IF($Q21=3,1,0),IF($X21&lt;30,1,0))</formula>
    </cfRule>
    <cfRule type="expression" priority="146" dxfId="0">
      <formula>AND(IF($Q21=3,1,IF($Q21=4,1,0)),IF($F21&lt;=85,1,0))</formula>
    </cfRule>
  </conditionalFormatting>
  <conditionalFormatting sqref="AI21">
    <cfRule type="expression" priority="139" dxfId="3">
      <formula>AND(IF(OR($Q21=1,$Q21=2),1,0),IF($X21&lt;=20,1,0))</formula>
    </cfRule>
    <cfRule type="expression" priority="140" dxfId="2">
      <formula>AND(IF($Q21=2,1,0),IF($X21&lt;30,1,0))</formula>
    </cfRule>
    <cfRule type="expression" priority="141" dxfId="1">
      <formula>AND(IF($Q21=3,1,0),IF($X21&lt;30,1,0))</formula>
    </cfRule>
    <cfRule type="expression" priority="142" dxfId="0">
      <formula>AND(IF($Q21=3,1,IF($Q21=4,1,0)),IF($F21&lt;=85,1,0))</formula>
    </cfRule>
  </conditionalFormatting>
  <conditionalFormatting sqref="AV22">
    <cfRule type="expression" priority="137" dxfId="17">
      <formula>AV22="X"</formula>
    </cfRule>
    <cfRule type="expression" priority="138" dxfId="16">
      <formula>AV22="후보"</formula>
    </cfRule>
  </conditionalFormatting>
  <conditionalFormatting sqref="AC22 N2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23">
    <cfRule type="expression" priority="132" dxfId="17">
      <formula>AV23="X"</formula>
    </cfRule>
    <cfRule type="expression" priority="133" dxfId="16">
      <formula>AV23="후보"</formula>
    </cfRule>
  </conditionalFormatting>
  <conditionalFormatting sqref="AC2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3">
    <cfRule type="expression" priority="123" dxfId="3">
      <formula>AND(IF(OR($Q23=1,$Q23=2),1,0),IF($X23&lt;=20,1,0))</formula>
    </cfRule>
    <cfRule type="expression" priority="124" dxfId="2">
      <formula>AND(IF($Q23=2,1,0),IF($X23&lt;30,1,0))</formula>
    </cfRule>
    <cfRule type="expression" priority="125" dxfId="1">
      <formula>AND(IF($Q23=3,1,0),IF($X23&lt;30,1,0))</formula>
    </cfRule>
    <cfRule type="expression" priority="126" dxfId="0">
      <formula>AND(IF($Q23=3,1,IF($Q23=4,1,0)),IF($F23&lt;=85,1,0))</formula>
    </cfRule>
  </conditionalFormatting>
  <conditionalFormatting sqref="X23">
    <cfRule type="expression" priority="119" dxfId="3">
      <formula>AND(IF(OR($Q23=1,$Q23=2),1,0),IF($X23&lt;=20,1,0))</formula>
    </cfRule>
    <cfRule type="expression" priority="120" dxfId="2">
      <formula>AND(IF($Q23=2,1,0),IF($X23&lt;30,1,0))</formula>
    </cfRule>
    <cfRule type="expression" priority="121" dxfId="1">
      <formula>AND(IF($Q23=3,1,0),IF($X23&lt;30,1,0))</formula>
    </cfRule>
    <cfRule type="expression" priority="122" dxfId="0">
      <formula>AND(IF($Q23=3,1,IF($Q23=4,1,0)),IF($F23&lt;=85,1,0))</formula>
    </cfRule>
  </conditionalFormatting>
  <conditionalFormatting sqref="AI23">
    <cfRule type="expression" priority="115" dxfId="3">
      <formula>AND(IF(OR($Q23=1,$Q23=2),1,0),IF($X23&lt;=20,1,0))</formula>
    </cfRule>
    <cfRule type="expression" priority="116" dxfId="2">
      <formula>AND(IF($Q23=2,1,0),IF($X23&lt;30,1,0))</formula>
    </cfRule>
    <cfRule type="expression" priority="117" dxfId="1">
      <formula>AND(IF($Q23=3,1,0),IF($X23&lt;30,1,0))</formula>
    </cfRule>
    <cfRule type="expression" priority="118" dxfId="0">
      <formula>AND(IF($Q23=3,1,IF($Q23=4,1,0)),IF($F23&lt;=85,1,0))</formula>
    </cfRule>
  </conditionalFormatting>
  <conditionalFormatting sqref="AV24">
    <cfRule type="expression" priority="113" dxfId="17">
      <formula>AV24="X"</formula>
    </cfRule>
    <cfRule type="expression" priority="114" dxfId="16">
      <formula>AV24="후보"</formula>
    </cfRule>
  </conditionalFormatting>
  <conditionalFormatting sqref="AC2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4">
    <cfRule type="expression" priority="104" dxfId="3">
      <formula>AND(IF(OR($Q24=1,$Q24=2),1,0),IF($X24&lt;=20,1,0))</formula>
    </cfRule>
    <cfRule type="expression" priority="105" dxfId="2">
      <formula>AND(IF($Q24=2,1,0),IF($X24&lt;30,1,0))</formula>
    </cfRule>
    <cfRule type="expression" priority="106" dxfId="1">
      <formula>AND(IF($Q24=3,1,0),IF($X24&lt;30,1,0))</formula>
    </cfRule>
    <cfRule type="expression" priority="107" dxfId="0">
      <formula>AND(IF($Q24=3,1,IF($Q24=4,1,0)),IF($F24&lt;=85,1,0))</formula>
    </cfRule>
  </conditionalFormatting>
  <conditionalFormatting sqref="X24">
    <cfRule type="expression" priority="100" dxfId="3">
      <formula>AND(IF(OR($Q24=1,$Q24=2),1,0),IF($X24&lt;=20,1,0))</formula>
    </cfRule>
    <cfRule type="expression" priority="101" dxfId="2">
      <formula>AND(IF($Q24=2,1,0),IF($X24&lt;30,1,0))</formula>
    </cfRule>
    <cfRule type="expression" priority="102" dxfId="1">
      <formula>AND(IF($Q24=3,1,0),IF($X24&lt;30,1,0))</formula>
    </cfRule>
    <cfRule type="expression" priority="103" dxfId="0">
      <formula>AND(IF($Q24=3,1,IF($Q24=4,1,0)),IF($F24&lt;=85,1,0))</formula>
    </cfRule>
  </conditionalFormatting>
  <conditionalFormatting sqref="AI24">
    <cfRule type="expression" priority="96" dxfId="3">
      <formula>AND(IF(OR($Q24=1,$Q24=2),1,0),IF($X24&lt;=20,1,0))</formula>
    </cfRule>
    <cfRule type="expression" priority="97" dxfId="2">
      <formula>AND(IF($Q24=2,1,0),IF($X24&lt;30,1,0))</formula>
    </cfRule>
    <cfRule type="expression" priority="98" dxfId="1">
      <formula>AND(IF($Q24=3,1,0),IF($X24&lt;30,1,0))</formula>
    </cfRule>
    <cfRule type="expression" priority="99" dxfId="0">
      <formula>AND(IF($Q24=3,1,IF($Q24=4,1,0)),IF($F24&lt;=85,1,0))</formula>
    </cfRule>
  </conditionalFormatting>
  <conditionalFormatting sqref="AV25">
    <cfRule type="expression" priority="94" dxfId="17">
      <formula>AV25="X"</formula>
    </cfRule>
    <cfRule type="expression" priority="95" dxfId="16">
      <formula>AV25="후보"</formula>
    </cfRule>
  </conditionalFormatting>
  <conditionalFormatting sqref="AC2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5">
    <cfRule type="expression" priority="85" dxfId="3">
      <formula>AND(IF(OR($Q25=1,$Q25=2),1,0),IF($X25&lt;=20,1,0))</formula>
    </cfRule>
    <cfRule type="expression" priority="86" dxfId="2">
      <formula>AND(IF($Q25=2,1,0),IF($X25&lt;30,1,0))</formula>
    </cfRule>
    <cfRule type="expression" priority="87" dxfId="1">
      <formula>AND(IF($Q25=3,1,0),IF($X25&lt;30,1,0))</formula>
    </cfRule>
    <cfRule type="expression" priority="88" dxfId="0">
      <formula>AND(IF($Q25=3,1,IF($Q25=4,1,0)),IF($F25&lt;=85,1,0))</formula>
    </cfRule>
  </conditionalFormatting>
  <conditionalFormatting sqref="X25">
    <cfRule type="expression" priority="81" dxfId="3">
      <formula>AND(IF(OR($Q25=1,$Q25=2),1,0),IF($X25&lt;=20,1,0))</formula>
    </cfRule>
    <cfRule type="expression" priority="82" dxfId="2">
      <formula>AND(IF($Q25=2,1,0),IF($X25&lt;30,1,0))</formula>
    </cfRule>
    <cfRule type="expression" priority="83" dxfId="1">
      <formula>AND(IF($Q25=3,1,0),IF($X25&lt;30,1,0))</formula>
    </cfRule>
    <cfRule type="expression" priority="84" dxfId="0">
      <formula>AND(IF($Q25=3,1,IF($Q25=4,1,0)),IF($F25&lt;=85,1,0))</formula>
    </cfRule>
  </conditionalFormatting>
  <conditionalFormatting sqref="AI25">
    <cfRule type="expression" priority="77" dxfId="3">
      <formula>AND(IF(OR($Q25=1,$Q25=2),1,0),IF($X25&lt;=20,1,0))</formula>
    </cfRule>
    <cfRule type="expression" priority="78" dxfId="2">
      <formula>AND(IF($Q25=2,1,0),IF($X25&lt;30,1,0))</formula>
    </cfRule>
    <cfRule type="expression" priority="79" dxfId="1">
      <formula>AND(IF($Q25=3,1,0),IF($X25&lt;30,1,0))</formula>
    </cfRule>
    <cfRule type="expression" priority="80" dxfId="0">
      <formula>AND(IF($Q25=3,1,IF($Q25=4,1,0)),IF($F25&lt;=85,1,0))</formula>
    </cfRule>
  </conditionalFormatting>
  <conditionalFormatting sqref="AV26">
    <cfRule type="expression" priority="75" dxfId="17">
      <formula>AV26="X"</formula>
    </cfRule>
    <cfRule type="expression" priority="76" dxfId="16">
      <formula>AV26="후보"</formula>
    </cfRule>
  </conditionalFormatting>
  <conditionalFormatting sqref="AC2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17">
      <formula>AV27="X"</formula>
    </cfRule>
    <cfRule type="expression" priority="57" dxfId="16">
      <formula>AV27="후보"</formula>
    </cfRule>
  </conditionalFormatting>
  <conditionalFormatting sqref="AC2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17">
      <formula>AV28="X"</formula>
    </cfRule>
    <cfRule type="expression" priority="38" dxfId="16">
      <formula>AV28="후보"</formula>
    </cfRule>
  </conditionalFormatting>
  <conditionalFormatting sqref="AC2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17">
      <formula>AV29="X"</formula>
    </cfRule>
    <cfRule type="expression" priority="19" dxfId="16">
      <formula>AV29="후보"</formula>
    </cfRule>
  </conditionalFormatting>
  <conditionalFormatting sqref="AC2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사창동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대원칸타빌</t>
        </is>
      </c>
      <c r="B6" s="16" t="inlineStr">
        <is>
          <t>'08.06.</t>
        </is>
      </c>
      <c r="C6" s="164" t="n">
        <v>810</v>
      </c>
      <c r="D6" s="161" t="n">
        <v>86.90000000000001</v>
      </c>
      <c r="E6" s="163" t="n">
        <v>26</v>
      </c>
      <c r="F6" s="161" t="n">
        <v>60</v>
      </c>
      <c r="G6" s="27" t="n">
        <v>18</v>
      </c>
      <c r="H6" s="164" t="n">
        <v>296</v>
      </c>
      <c r="I6" s="165" t="n">
        <v>26000</v>
      </c>
      <c r="J6" s="165" t="inlineStr">
        <is>
          <t>고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86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대원칸타빌</t>
        </is>
      </c>
      <c r="B7" s="16" t="inlineStr">
        <is>
          <t>'08.06.</t>
        </is>
      </c>
      <c r="C7" s="164" t="n">
        <v>810</v>
      </c>
      <c r="D7" s="161" t="n">
        <v>114.6</v>
      </c>
      <c r="E7" s="163" t="n">
        <v>35</v>
      </c>
      <c r="F7" s="161" t="n">
        <v>85</v>
      </c>
      <c r="G7" s="27" t="n">
        <v>26</v>
      </c>
      <c r="H7" s="164" t="n">
        <v>247</v>
      </c>
      <c r="I7" s="165" t="n">
        <v>35800</v>
      </c>
      <c r="J7" s="165" t="inlineStr">
        <is>
          <t>7</t>
        </is>
      </c>
      <c r="K7" s="165" t="n">
        <v>27000</v>
      </c>
      <c r="L7" s="165" t="inlineStr">
        <is>
          <t>중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114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대원칸타빌</t>
        </is>
      </c>
      <c r="B8" s="16" t="inlineStr">
        <is>
          <t>'08.06.</t>
        </is>
      </c>
      <c r="C8" s="164" t="n">
        <v>810</v>
      </c>
      <c r="D8" s="161" t="n">
        <v>147.6</v>
      </c>
      <c r="E8" s="163" t="n">
        <v>45</v>
      </c>
      <c r="F8" s="161" t="n">
        <v>115.2</v>
      </c>
      <c r="G8" s="27" t="n">
        <v>35</v>
      </c>
      <c r="H8" s="164" t="n">
        <v>267</v>
      </c>
      <c r="I8" s="165" t="n">
        <v>39500</v>
      </c>
      <c r="J8" s="165" t="inlineStr">
        <is>
          <t>중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n">
        <v>147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현대(227-2)</t>
        </is>
      </c>
      <c r="B10" s="16" t="inlineStr">
        <is>
          <t>'88.12.</t>
        </is>
      </c>
      <c r="C10" s="164" t="n">
        <v>229</v>
      </c>
      <c r="D10" s="161" t="n">
        <v>89.5</v>
      </c>
      <c r="E10" s="163" t="n">
        <v>27</v>
      </c>
      <c r="F10" s="161" t="n">
        <v>71.59999999999999</v>
      </c>
      <c r="G10" s="27" t="n">
        <v>22</v>
      </c>
      <c r="H10" s="164" t="n">
        <v>68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1</v>
      </c>
      <c r="S10" s="113" t="inlineStr">
        <is>
          <t>계</t>
        </is>
      </c>
      <c r="T10" s="8" t="n">
        <v>89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현대(227-2)</t>
        </is>
      </c>
      <c r="B11" s="16" t="inlineStr">
        <is>
          <t>'88.12.</t>
        </is>
      </c>
      <c r="C11" s="164" t="n">
        <v>229</v>
      </c>
      <c r="D11" s="161" t="n">
        <v>106.4</v>
      </c>
      <c r="E11" s="163" t="n">
        <v>32</v>
      </c>
      <c r="F11" s="161" t="n">
        <v>84.90000000000001</v>
      </c>
      <c r="G11" s="27" t="n">
        <v>26</v>
      </c>
      <c r="H11" s="164" t="n">
        <v>106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106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현대(227-2)</t>
        </is>
      </c>
      <c r="B12" s="16" t="inlineStr">
        <is>
          <t>'88.12.</t>
        </is>
      </c>
      <c r="C12" s="164" t="n">
        <v>229</v>
      </c>
      <c r="D12" s="161" t="n">
        <v>157.1</v>
      </c>
      <c r="E12" s="163" t="n">
        <v>48</v>
      </c>
      <c r="F12" s="161" t="n">
        <v>127</v>
      </c>
      <c r="G12" s="27" t="n">
        <v>38</v>
      </c>
      <c r="H12" s="164" t="n">
        <v>55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157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17">
      <formula>AV4="X"</formula>
    </cfRule>
    <cfRule type="expression" priority="121" dxfId="16">
      <formula>AV4="후보"</formula>
    </cfRule>
  </conditionalFormatting>
  <conditionalFormatting sqref="AC1:AC2 AC4:AC6 N4:N5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1:N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17">
      <formula>AV7="X"</formula>
    </cfRule>
    <cfRule type="expression" priority="100" dxfId="16">
      <formula>AV7="후보"</formula>
    </cfRule>
  </conditionalFormatting>
  <conditionalFormatting sqref="AC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17">
      <formula>AV8="X"</formula>
    </cfRule>
    <cfRule type="expression" priority="81" dxfId="16">
      <formula>AV8="후보"</formula>
    </cfRule>
  </conditionalFormatting>
  <conditionalFormatting sqref="AC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17">
      <formula>AV9="X"</formula>
    </cfRule>
    <cfRule type="expression" priority="62" dxfId="16">
      <formula>AV9="후보"</formula>
    </cfRule>
  </conditionalFormatting>
  <conditionalFormatting sqref="AC9 N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0">
    <cfRule type="expression" priority="56" dxfId="17">
      <formula>AV10="X"</formula>
    </cfRule>
    <cfRule type="expression" priority="57" dxfId="16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7">
      <formula>AV11="X"</formula>
    </cfRule>
    <cfRule type="expression" priority="38" dxfId="16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7">
      <formula>AV12="X"</formula>
    </cfRule>
    <cfRule type="expression" priority="19" dxfId="16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산남동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대원칸타빌1단지</t>
        </is>
      </c>
      <c r="B6" s="16" t="inlineStr">
        <is>
          <t>'07.04.</t>
        </is>
      </c>
      <c r="C6" s="164" t="n">
        <v>600</v>
      </c>
      <c r="D6" s="161" t="n">
        <v>112.4</v>
      </c>
      <c r="E6" s="163" t="n">
        <v>34</v>
      </c>
      <c r="F6" s="161" t="n">
        <v>85</v>
      </c>
      <c r="G6" s="27" t="n">
        <v>26</v>
      </c>
      <c r="H6" s="164" t="n">
        <v>576</v>
      </c>
      <c r="I6" s="165" t="n">
        <v>32000</v>
      </c>
      <c r="J6" s="165" t="inlineStr">
        <is>
          <t>중</t>
        </is>
      </c>
      <c r="K6" s="165" t="n">
        <v>25000</v>
      </c>
      <c r="L6" s="165" t="inlineStr">
        <is>
          <t>5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112A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대원칸타빌1단지</t>
        </is>
      </c>
      <c r="B7" s="16" t="inlineStr">
        <is>
          <t>'07.04.</t>
        </is>
      </c>
      <c r="C7" s="164" t="n">
        <v>600</v>
      </c>
      <c r="D7" s="161" t="n">
        <v>113</v>
      </c>
      <c r="E7" s="163" t="n">
        <v>34</v>
      </c>
      <c r="F7" s="161" t="n">
        <v>85</v>
      </c>
      <c r="G7" s="27" t="n">
        <v>26</v>
      </c>
      <c r="H7" s="164" t="n">
        <v>24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113B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계룡리슈빌</t>
        </is>
      </c>
      <c r="B9" s="16" t="inlineStr">
        <is>
          <t>'07.02.</t>
        </is>
      </c>
      <c r="C9" s="164" t="n">
        <v>551</v>
      </c>
      <c r="D9" s="161" t="n">
        <v>131</v>
      </c>
      <c r="E9" s="163" t="n">
        <v>40</v>
      </c>
      <c r="F9" s="161" t="n">
        <v>105.8</v>
      </c>
      <c r="G9" s="27" t="n">
        <v>32</v>
      </c>
      <c r="H9" s="164" t="n">
        <v>112</v>
      </c>
      <c r="I9" s="165" t="n">
        <v>52000</v>
      </c>
      <c r="J9" s="165" t="inlineStr">
        <is>
          <t>12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130A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계룡리슈빌</t>
        </is>
      </c>
      <c r="B10" s="16" t="inlineStr">
        <is>
          <t>'07.02.</t>
        </is>
      </c>
      <c r="C10" s="164" t="n">
        <v>551</v>
      </c>
      <c r="D10" s="161" t="n">
        <v>131</v>
      </c>
      <c r="E10" s="163" t="n">
        <v>40</v>
      </c>
      <c r="F10" s="161" t="n">
        <v>106</v>
      </c>
      <c r="G10" s="27" t="n">
        <v>32</v>
      </c>
      <c r="H10" s="164" t="n">
        <v>98</v>
      </c>
      <c r="I10" s="165" t="n">
        <v>47000</v>
      </c>
      <c r="J10" s="165" t="inlineStr">
        <is>
          <t>5</t>
        </is>
      </c>
      <c r="K10" s="165" t="n">
        <v>38000</v>
      </c>
      <c r="L10" s="165" t="inlineStr">
        <is>
          <t>5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131B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계룡리슈빌</t>
        </is>
      </c>
      <c r="B11" s="16" t="inlineStr">
        <is>
          <t>'07.02.</t>
        </is>
      </c>
      <c r="C11" s="164" t="n">
        <v>551</v>
      </c>
      <c r="D11" s="161" t="n">
        <v>162.1</v>
      </c>
      <c r="E11" s="163" t="n">
        <v>49</v>
      </c>
      <c r="F11" s="161" t="n">
        <v>132.1</v>
      </c>
      <c r="G11" s="27" t="n">
        <v>40</v>
      </c>
      <c r="H11" s="164" t="n">
        <v>60</v>
      </c>
      <c r="I11" s="165" t="n">
        <v>60000</v>
      </c>
      <c r="J11" s="165" t="inlineStr">
        <is>
          <t>5</t>
        </is>
      </c>
      <c r="K11" s="165" t="n">
        <v>50000</v>
      </c>
      <c r="L11" s="165" t="inlineStr">
        <is>
          <t>중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162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계룡리슈빌</t>
        </is>
      </c>
      <c r="B12" s="16" t="inlineStr">
        <is>
          <t>'07.02.</t>
        </is>
      </c>
      <c r="C12" s="164" t="n">
        <v>551</v>
      </c>
      <c r="D12" s="161" t="n">
        <v>163.9</v>
      </c>
      <c r="E12" s="163" t="n">
        <v>50</v>
      </c>
      <c r="F12" s="161" t="n">
        <v>133.7</v>
      </c>
      <c r="G12" s="27" t="n">
        <v>40</v>
      </c>
      <c r="H12" s="164" t="n">
        <v>161</v>
      </c>
      <c r="I12" s="165" t="n">
        <v>59000</v>
      </c>
      <c r="J12" s="165" t="inlineStr">
        <is>
          <t>7</t>
        </is>
      </c>
      <c r="K12" s="165" t="n">
        <v>48000</v>
      </c>
      <c r="L12" s="165" t="inlineStr">
        <is>
          <t>6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163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계룡리슈빌</t>
        </is>
      </c>
      <c r="B13" s="16" t="inlineStr">
        <is>
          <t>'07.02.</t>
        </is>
      </c>
      <c r="C13" s="164" t="n">
        <v>551</v>
      </c>
      <c r="D13" s="161" t="n">
        <v>174.5</v>
      </c>
      <c r="E13" s="163" t="n">
        <v>53</v>
      </c>
      <c r="F13" s="161" t="n">
        <v>140.9</v>
      </c>
      <c r="G13" s="27" t="n">
        <v>43</v>
      </c>
      <c r="H13" s="164" t="n">
        <v>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174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계룡리슈빌</t>
        </is>
      </c>
      <c r="B14" s="16" t="inlineStr">
        <is>
          <t>'07.02.</t>
        </is>
      </c>
      <c r="C14" s="164" t="n">
        <v>551</v>
      </c>
      <c r="D14" s="161" t="n">
        <v>197.1</v>
      </c>
      <c r="E14" s="163" t="n">
        <v>60</v>
      </c>
      <c r="F14" s="161" t="n">
        <v>166.9</v>
      </c>
      <c r="G14" s="27" t="n">
        <v>50</v>
      </c>
      <c r="H14" s="164" t="n">
        <v>112</v>
      </c>
      <c r="I14" s="165" t="n">
        <v>71000</v>
      </c>
      <c r="J14" s="165" t="inlineStr">
        <is>
          <t>고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n">
        <v>197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산남퀸덤</t>
        </is>
      </c>
      <c r="B16" s="16" t="inlineStr">
        <is>
          <t>'07.01.</t>
        </is>
      </c>
      <c r="C16" s="164" t="n">
        <v>570</v>
      </c>
      <c r="D16" s="161" t="n">
        <v>112.4</v>
      </c>
      <c r="E16" s="163" t="n">
        <v>34</v>
      </c>
      <c r="F16" s="161" t="n">
        <v>84.90000000000001</v>
      </c>
      <c r="G16" s="27" t="n">
        <v>26</v>
      </c>
      <c r="H16" s="164" t="n">
        <v>570</v>
      </c>
      <c r="I16" s="165" t="n">
        <v>30500</v>
      </c>
      <c r="J16" s="165" t="inlineStr">
        <is>
          <t>13</t>
        </is>
      </c>
      <c r="K16" s="165" t="n">
        <v>25000</v>
      </c>
      <c r="L16" s="165" t="inlineStr">
        <is>
          <t>11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복</t>
        </is>
      </c>
      <c r="T16" s="8" t="n">
        <v>112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부영사랑으로</t>
        </is>
      </c>
      <c r="B18" s="16" t="inlineStr">
        <is>
          <t>'07.04.</t>
        </is>
      </c>
      <c r="C18" s="164" t="n">
        <v>985</v>
      </c>
      <c r="D18" s="161" t="n">
        <v>88.5</v>
      </c>
      <c r="E18" s="163" t="n">
        <v>27</v>
      </c>
      <c r="F18" s="161" t="n">
        <v>59.9</v>
      </c>
      <c r="G18" s="27" t="n">
        <v>18</v>
      </c>
      <c r="H18" s="164" t="n">
        <v>985</v>
      </c>
      <c r="I18" s="165" t="n">
        <v>19000</v>
      </c>
      <c r="J18" s="165" t="inlineStr">
        <is>
          <t>5</t>
        </is>
      </c>
      <c r="K18" s="165" t="n">
        <v>18000</v>
      </c>
      <c r="L18" s="165" t="inlineStr">
        <is>
          <t>13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88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유승한내들</t>
        </is>
      </c>
      <c r="B20" s="16" t="inlineStr">
        <is>
          <t>'07.07.</t>
        </is>
      </c>
      <c r="C20" s="164" t="n">
        <v>464</v>
      </c>
      <c r="D20" s="161" t="n">
        <v>85.59999999999999</v>
      </c>
      <c r="E20" s="163" t="n">
        <v>26</v>
      </c>
      <c r="F20" s="161" t="n">
        <v>59.9</v>
      </c>
      <c r="G20" s="27" t="n">
        <v>18</v>
      </c>
      <c r="H20" s="164" t="n">
        <v>464</v>
      </c>
      <c r="I20" s="165" t="n">
        <v>19000</v>
      </c>
      <c r="J20" s="165" t="inlineStr">
        <is>
          <t>7</t>
        </is>
      </c>
      <c r="K20" s="165" t="n">
        <v>17000</v>
      </c>
      <c r="L20" s="165" t="inlineStr">
        <is>
          <t>7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85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1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2" t="n"/>
      <c r="P21" s="162" t="n"/>
      <c r="Q21" s="163" t="n"/>
      <c r="R21" s="163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0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청주현진에버빌</t>
        </is>
      </c>
      <c r="B22" s="16" t="inlineStr">
        <is>
          <t>'06.12.</t>
        </is>
      </c>
      <c r="C22" s="164" t="n">
        <v>477</v>
      </c>
      <c r="D22" s="161" t="n">
        <v>110.4</v>
      </c>
      <c r="E22" s="163" t="n">
        <v>33</v>
      </c>
      <c r="F22" s="161" t="n">
        <v>85</v>
      </c>
      <c r="G22" s="27" t="n">
        <v>26</v>
      </c>
      <c r="H22" s="164" t="n">
        <v>219</v>
      </c>
      <c r="I22" s="165" t="n">
        <v>30000</v>
      </c>
      <c r="J22" s="165" t="inlineStr">
        <is>
          <t>10</t>
        </is>
      </c>
      <c r="K22" s="165" t="n">
        <v>25000</v>
      </c>
      <c r="L22" s="165" t="inlineStr">
        <is>
          <t>10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110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청주현진에버빌</t>
        </is>
      </c>
      <c r="B23" s="16" t="inlineStr">
        <is>
          <t>'06.12.</t>
        </is>
      </c>
      <c r="C23" s="164" t="n">
        <v>477</v>
      </c>
      <c r="D23" s="161" t="n">
        <v>113.1</v>
      </c>
      <c r="E23" s="163" t="n">
        <v>34</v>
      </c>
      <c r="F23" s="161" t="n">
        <v>85</v>
      </c>
      <c r="G23" s="27" t="n">
        <v>26</v>
      </c>
      <c r="H23" s="164" t="n">
        <v>119</v>
      </c>
      <c r="I23" s="165" t="n">
        <v>36900</v>
      </c>
      <c r="J23" s="165" t="inlineStr">
        <is>
          <t>15</t>
        </is>
      </c>
      <c r="K23" s="165" t="n">
        <v>30000</v>
      </c>
      <c r="L23" s="165" t="inlineStr">
        <is>
          <t>13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113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청주현진에버빌</t>
        </is>
      </c>
      <c r="B24" s="16" t="inlineStr">
        <is>
          <t>'06.12.</t>
        </is>
      </c>
      <c r="C24" s="164" t="n">
        <v>477</v>
      </c>
      <c r="D24" s="161" t="n">
        <v>116</v>
      </c>
      <c r="E24" s="163" t="n">
        <v>35</v>
      </c>
      <c r="F24" s="161" t="n">
        <v>85</v>
      </c>
      <c r="G24" s="27" t="n">
        <v>26</v>
      </c>
      <c r="H24" s="164" t="n">
        <v>139</v>
      </c>
      <c r="I24" s="165" t="n">
        <v>30000</v>
      </c>
      <c r="J24" s="165" t="inlineStr">
        <is>
          <t>6</t>
        </is>
      </c>
      <c r="K24" s="165" t="n">
        <v>29000</v>
      </c>
      <c r="L24" s="165" t="inlineStr">
        <is>
          <t>9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115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청주산남푸르지오</t>
        </is>
      </c>
      <c r="B26" s="16" t="inlineStr">
        <is>
          <t>'07.04.</t>
        </is>
      </c>
      <c r="C26" s="164" t="n">
        <v>760</v>
      </c>
      <c r="D26" s="161" t="n">
        <v>96.09999999999999</v>
      </c>
      <c r="E26" s="163" t="n">
        <v>29</v>
      </c>
      <c r="F26" s="161" t="n">
        <v>75.5</v>
      </c>
      <c r="G26" s="27" t="n">
        <v>23</v>
      </c>
      <c r="H26" s="164" t="n">
        <v>144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96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청주산남푸르지오</t>
        </is>
      </c>
      <c r="B27" s="16" t="inlineStr">
        <is>
          <t>'07.04.</t>
        </is>
      </c>
      <c r="C27" s="164" t="n">
        <v>760</v>
      </c>
      <c r="D27" s="161" t="n">
        <v>111</v>
      </c>
      <c r="E27" s="163" t="n">
        <v>34</v>
      </c>
      <c r="F27" s="161" t="n">
        <v>85</v>
      </c>
      <c r="G27" s="27" t="n">
        <v>26</v>
      </c>
      <c r="H27" s="164" t="n">
        <v>90</v>
      </c>
      <c r="I27" s="165" t="n">
        <v>33000</v>
      </c>
      <c r="J27" s="165" t="inlineStr">
        <is>
          <t>7</t>
        </is>
      </c>
      <c r="K27" s="165" t="n">
        <v>24000</v>
      </c>
      <c r="L27" s="165" t="inlineStr">
        <is>
          <t>12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110B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청주산남푸르지오</t>
        </is>
      </c>
      <c r="B28" s="16" t="inlineStr">
        <is>
          <t>'07.04.</t>
        </is>
      </c>
      <c r="C28" s="164" t="n">
        <v>760</v>
      </c>
      <c r="D28" s="161" t="n">
        <v>111.1</v>
      </c>
      <c r="E28" s="163" t="n">
        <v>34</v>
      </c>
      <c r="F28" s="161" t="n">
        <v>85</v>
      </c>
      <c r="G28" s="27" t="n">
        <v>26</v>
      </c>
      <c r="H28" s="164" t="n">
        <v>526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111A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대원칸타빌2단지</t>
        </is>
      </c>
      <c r="B30" s="16" t="inlineStr">
        <is>
          <t>'07.04.</t>
        </is>
      </c>
      <c r="C30" s="164" t="n">
        <v>518</v>
      </c>
      <c r="D30" s="161" t="n">
        <v>113.5</v>
      </c>
      <c r="E30" s="163" t="n">
        <v>34</v>
      </c>
      <c r="F30" s="161" t="n">
        <v>85</v>
      </c>
      <c r="G30" s="27" t="n">
        <v>26</v>
      </c>
      <c r="H30" s="164" t="n">
        <v>316</v>
      </c>
      <c r="I30" s="165" t="n">
        <v>33000</v>
      </c>
      <c r="J30" s="165" t="inlineStr">
        <is>
          <t>6</t>
        </is>
      </c>
      <c r="K30" s="165" t="n">
        <v>24000</v>
      </c>
      <c r="L30" s="165" t="inlineStr">
        <is>
          <t>6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113A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대원칸타빌2단지</t>
        </is>
      </c>
      <c r="B31" s="16" t="inlineStr">
        <is>
          <t>'07.04.</t>
        </is>
      </c>
      <c r="C31" s="164" t="n">
        <v>518</v>
      </c>
      <c r="D31" s="161" t="n">
        <v>114.2</v>
      </c>
      <c r="E31" s="163" t="n">
        <v>35</v>
      </c>
      <c r="F31" s="161" t="n">
        <v>85</v>
      </c>
      <c r="G31" s="27" t="n">
        <v>26</v>
      </c>
      <c r="H31" s="164" t="n">
        <v>168</v>
      </c>
      <c r="I31" s="165" t="n">
        <v>32000</v>
      </c>
      <c r="J31" s="165" t="inlineStr">
        <is>
          <t>12</t>
        </is>
      </c>
      <c r="K31" s="165" t="n">
        <v>25000</v>
      </c>
      <c r="L31" s="165" t="inlineStr">
        <is>
          <t>10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114C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대원칸타빌2단지</t>
        </is>
      </c>
      <c r="B32" s="16" t="inlineStr">
        <is>
          <t>'07.04.</t>
        </is>
      </c>
      <c r="C32" s="164" t="n">
        <v>518</v>
      </c>
      <c r="D32" s="161" t="n">
        <v>115.2</v>
      </c>
      <c r="E32" s="163" t="n">
        <v>35</v>
      </c>
      <c r="F32" s="161" t="n">
        <v>85</v>
      </c>
      <c r="G32" s="27" t="n">
        <v>26</v>
      </c>
      <c r="H32" s="164" t="n">
        <v>34</v>
      </c>
      <c r="I32" s="165" t="n">
        <v>34000</v>
      </c>
      <c r="J32" s="165" t="inlineStr">
        <is>
          <t>7</t>
        </is>
      </c>
      <c r="K32" s="165" t="n">
        <v>30000</v>
      </c>
      <c r="L32" s="165" t="inlineStr">
        <is>
          <t>8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115B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416" dxfId="17">
      <formula>AV4="X"</formula>
    </cfRule>
    <cfRule type="expression" priority="417" dxfId="16">
      <formula>AV4="후보"</formula>
    </cfRule>
  </conditionalFormatting>
  <conditionalFormatting sqref="AC1:AC2 AC4:AC6 N4:N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N1:N2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6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6">
    <cfRule type="expression" priority="405" dxfId="3">
      <formula>AND(IF(OR($Q6=1,$Q6=2),1,0),IF($X6&lt;=20,1,0))</formula>
    </cfRule>
    <cfRule type="expression" priority="406" dxfId="2">
      <formula>AND(IF($Q6=2,1,0),IF($X6&lt;30,1,0))</formula>
    </cfRule>
    <cfRule type="expression" priority="407" dxfId="1">
      <formula>AND(IF($Q6=3,1,0),IF($X6&lt;30,1,0))</formula>
    </cfRule>
    <cfRule type="expression" priority="408" dxfId="0">
      <formula>AND(IF($Q6=3,1,IF($Q6=4,1,0)),IF($F6&lt;=85,1,0))</formula>
    </cfRule>
  </conditionalFormatting>
  <conditionalFormatting sqref="X6">
    <cfRule type="expression" priority="401" dxfId="3">
      <formula>AND(IF(OR($Q6=1,$Q6=2),1,0),IF($X6&lt;=20,1,0))</formula>
    </cfRule>
    <cfRule type="expression" priority="402" dxfId="2">
      <formula>AND(IF($Q6=2,1,0),IF($X6&lt;30,1,0))</formula>
    </cfRule>
    <cfRule type="expression" priority="403" dxfId="1">
      <formula>AND(IF($Q6=3,1,0),IF($X6&lt;30,1,0))</formula>
    </cfRule>
    <cfRule type="expression" priority="404" dxfId="0">
      <formula>AND(IF($Q6=3,1,IF($Q6=4,1,0)),IF($F6&lt;=85,1,0))</formula>
    </cfRule>
  </conditionalFormatting>
  <conditionalFormatting sqref="AI6">
    <cfRule type="expression" priority="397" dxfId="3">
      <formula>AND(IF(OR($Q6=1,$Q6=2),1,0),IF($X6&lt;=20,1,0))</formula>
    </cfRule>
    <cfRule type="expression" priority="398" dxfId="2">
      <formula>AND(IF($Q6=2,1,0),IF($X6&lt;30,1,0))</formula>
    </cfRule>
    <cfRule type="expression" priority="399" dxfId="1">
      <formula>AND(IF($Q6=3,1,0),IF($X6&lt;30,1,0))</formula>
    </cfRule>
    <cfRule type="expression" priority="400" dxfId="0">
      <formula>AND(IF($Q6=3,1,IF($Q6=4,1,0)),IF($F6&lt;=85,1,0))</formula>
    </cfRule>
  </conditionalFormatting>
  <conditionalFormatting sqref="AV7">
    <cfRule type="expression" priority="395" dxfId="17">
      <formula>AV7="X"</formula>
    </cfRule>
    <cfRule type="expression" priority="396" dxfId="16">
      <formula>AV7="후보"</formula>
    </cfRule>
  </conditionalFormatting>
  <conditionalFormatting sqref="AC7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N7">
    <cfRule type="cellIs" priority="390" operator="greaterThan" dxfId="13">
      <formula>0.9</formula>
    </cfRule>
    <cfRule type="cellIs" priority="391" operator="greaterThan" dxfId="12">
      <formula>0.85</formula>
    </cfRule>
  </conditionalFormatting>
  <conditionalFormatting sqref="E7">
    <cfRule type="expression" priority="386" dxfId="3">
      <formula>AND(IF(OR($Q7=1,$Q7=2),1,0),IF($X7&lt;=20,1,0))</formula>
    </cfRule>
    <cfRule type="expression" priority="387" dxfId="2">
      <formula>AND(IF($Q7=2,1,0),IF($X7&lt;30,1,0))</formula>
    </cfRule>
    <cfRule type="expression" priority="388" dxfId="1">
      <formula>AND(IF($Q7=3,1,0),IF($X7&lt;30,1,0))</formula>
    </cfRule>
    <cfRule type="expression" priority="389" dxfId="0">
      <formula>AND(IF($Q7=3,1,IF($Q7=4,1,0)),IF($F7&lt;=85,1,0))</formula>
    </cfRule>
  </conditionalFormatting>
  <conditionalFormatting sqref="X7">
    <cfRule type="expression" priority="382" dxfId="3">
      <formula>AND(IF(OR($Q7=1,$Q7=2),1,0),IF($X7&lt;=20,1,0))</formula>
    </cfRule>
    <cfRule type="expression" priority="383" dxfId="2">
      <formula>AND(IF($Q7=2,1,0),IF($X7&lt;30,1,0))</formula>
    </cfRule>
    <cfRule type="expression" priority="384" dxfId="1">
      <formula>AND(IF($Q7=3,1,0),IF($X7&lt;30,1,0))</formula>
    </cfRule>
    <cfRule type="expression" priority="385" dxfId="0">
      <formula>AND(IF($Q7=3,1,IF($Q7=4,1,0)),IF($F7&lt;=85,1,0))</formula>
    </cfRule>
  </conditionalFormatting>
  <conditionalFormatting sqref="AI7">
    <cfRule type="expression" priority="378" dxfId="3">
      <formula>AND(IF(OR($Q7=1,$Q7=2),1,0),IF($X7&lt;=20,1,0))</formula>
    </cfRule>
    <cfRule type="expression" priority="379" dxfId="2">
      <formula>AND(IF($Q7=2,1,0),IF($X7&lt;30,1,0))</formula>
    </cfRule>
    <cfRule type="expression" priority="380" dxfId="1">
      <formula>AND(IF($Q7=3,1,0),IF($X7&lt;30,1,0))</formula>
    </cfRule>
    <cfRule type="expression" priority="381" dxfId="0">
      <formula>AND(IF($Q7=3,1,IF($Q7=4,1,0)),IF($F7&lt;=85,1,0))</formula>
    </cfRule>
  </conditionalFormatting>
  <conditionalFormatting sqref="AV8">
    <cfRule type="expression" priority="376" dxfId="17">
      <formula>AV8="X"</formula>
    </cfRule>
    <cfRule type="expression" priority="377" dxfId="16">
      <formula>AV8="후보"</formula>
    </cfRule>
  </conditionalFormatting>
  <conditionalFormatting sqref="AC8 N8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AV9">
    <cfRule type="expression" priority="371" dxfId="17">
      <formula>AV9="X"</formula>
    </cfRule>
    <cfRule type="expression" priority="372" dxfId="16">
      <formula>AV9="후보"</formula>
    </cfRule>
  </conditionalFormatting>
  <conditionalFormatting sqref="AC9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9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9">
    <cfRule type="expression" priority="362" dxfId="3">
      <formula>AND(IF(OR($Q9=1,$Q9=2),1,0),IF($X9&lt;=20,1,0))</formula>
    </cfRule>
    <cfRule type="expression" priority="363" dxfId="2">
      <formula>AND(IF($Q9=2,1,0),IF($X9&lt;30,1,0))</formula>
    </cfRule>
    <cfRule type="expression" priority="364" dxfId="1">
      <formula>AND(IF($Q9=3,1,0),IF($X9&lt;30,1,0))</formula>
    </cfRule>
    <cfRule type="expression" priority="365" dxfId="0">
      <formula>AND(IF($Q9=3,1,IF($Q9=4,1,0)),IF($F9&lt;=85,1,0))</formula>
    </cfRule>
  </conditionalFormatting>
  <conditionalFormatting sqref="X9">
    <cfRule type="expression" priority="358" dxfId="3">
      <formula>AND(IF(OR($Q9=1,$Q9=2),1,0),IF($X9&lt;=20,1,0))</formula>
    </cfRule>
    <cfRule type="expression" priority="359" dxfId="2">
      <formula>AND(IF($Q9=2,1,0),IF($X9&lt;30,1,0))</formula>
    </cfRule>
    <cfRule type="expression" priority="360" dxfId="1">
      <formula>AND(IF($Q9=3,1,0),IF($X9&lt;30,1,0))</formula>
    </cfRule>
    <cfRule type="expression" priority="361" dxfId="0">
      <formula>AND(IF($Q9=3,1,IF($Q9=4,1,0)),IF($F9&lt;=85,1,0))</formula>
    </cfRule>
  </conditionalFormatting>
  <conditionalFormatting sqref="AI9">
    <cfRule type="expression" priority="354" dxfId="3">
      <formula>AND(IF(OR($Q9=1,$Q9=2),1,0),IF($X9&lt;=20,1,0))</formula>
    </cfRule>
    <cfRule type="expression" priority="355" dxfId="2">
      <formula>AND(IF($Q9=2,1,0),IF($X9&lt;30,1,0))</formula>
    </cfRule>
    <cfRule type="expression" priority="356" dxfId="1">
      <formula>AND(IF($Q9=3,1,0),IF($X9&lt;30,1,0))</formula>
    </cfRule>
    <cfRule type="expression" priority="357" dxfId="0">
      <formula>AND(IF($Q9=3,1,IF($Q9=4,1,0)),IF($F9&lt;=85,1,0))</formula>
    </cfRule>
  </conditionalFormatting>
  <conditionalFormatting sqref="AV10">
    <cfRule type="expression" priority="352" dxfId="17">
      <formula>AV10="X"</formula>
    </cfRule>
    <cfRule type="expression" priority="353" dxfId="16">
      <formula>AV10="후보"</formula>
    </cfRule>
  </conditionalFormatting>
  <conditionalFormatting sqref="AC10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10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10">
    <cfRule type="expression" priority="343" dxfId="3">
      <formula>AND(IF(OR($Q10=1,$Q10=2),1,0),IF($X10&lt;=20,1,0))</formula>
    </cfRule>
    <cfRule type="expression" priority="344" dxfId="2">
      <formula>AND(IF($Q10=2,1,0),IF($X10&lt;30,1,0))</formula>
    </cfRule>
    <cfRule type="expression" priority="345" dxfId="1">
      <formula>AND(IF($Q10=3,1,0),IF($X10&lt;30,1,0))</formula>
    </cfRule>
    <cfRule type="expression" priority="346" dxfId="0">
      <formula>AND(IF($Q10=3,1,IF($Q10=4,1,0)),IF($F10&lt;=85,1,0))</formula>
    </cfRule>
  </conditionalFormatting>
  <conditionalFormatting sqref="X10">
    <cfRule type="expression" priority="339" dxfId="3">
      <formula>AND(IF(OR($Q10=1,$Q10=2),1,0),IF($X10&lt;=20,1,0))</formula>
    </cfRule>
    <cfRule type="expression" priority="340" dxfId="2">
      <formula>AND(IF($Q10=2,1,0),IF($X10&lt;30,1,0))</formula>
    </cfRule>
    <cfRule type="expression" priority="341" dxfId="1">
      <formula>AND(IF($Q10=3,1,0),IF($X10&lt;30,1,0))</formula>
    </cfRule>
    <cfRule type="expression" priority="342" dxfId="0">
      <formula>AND(IF($Q10=3,1,IF($Q10=4,1,0)),IF($F10&lt;=85,1,0))</formula>
    </cfRule>
  </conditionalFormatting>
  <conditionalFormatting sqref="AI10">
    <cfRule type="expression" priority="335" dxfId="3">
      <formula>AND(IF(OR($Q10=1,$Q10=2),1,0),IF($X10&lt;=20,1,0))</formula>
    </cfRule>
    <cfRule type="expression" priority="336" dxfId="2">
      <formula>AND(IF($Q10=2,1,0),IF($X10&lt;30,1,0))</formula>
    </cfRule>
    <cfRule type="expression" priority="337" dxfId="1">
      <formula>AND(IF($Q10=3,1,0),IF($X10&lt;30,1,0))</formula>
    </cfRule>
    <cfRule type="expression" priority="338" dxfId="0">
      <formula>AND(IF($Q10=3,1,IF($Q10=4,1,0)),IF($F10&lt;=85,1,0))</formula>
    </cfRule>
  </conditionalFormatting>
  <conditionalFormatting sqref="AV11">
    <cfRule type="expression" priority="333" dxfId="17">
      <formula>AV11="X"</formula>
    </cfRule>
    <cfRule type="expression" priority="334" dxfId="16">
      <formula>AV11="후보"</formula>
    </cfRule>
  </conditionalFormatting>
  <conditionalFormatting sqref="AC11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11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11">
    <cfRule type="expression" priority="324" dxfId="3">
      <formula>AND(IF(OR($Q11=1,$Q11=2),1,0),IF($X11&lt;=20,1,0))</formula>
    </cfRule>
    <cfRule type="expression" priority="325" dxfId="2">
      <formula>AND(IF($Q11=2,1,0),IF($X11&lt;30,1,0))</formula>
    </cfRule>
    <cfRule type="expression" priority="326" dxfId="1">
      <formula>AND(IF($Q11=3,1,0),IF($X11&lt;30,1,0))</formula>
    </cfRule>
    <cfRule type="expression" priority="327" dxfId="0">
      <formula>AND(IF($Q11=3,1,IF($Q11=4,1,0)),IF($F11&lt;=85,1,0))</formula>
    </cfRule>
  </conditionalFormatting>
  <conditionalFormatting sqref="X11">
    <cfRule type="expression" priority="320" dxfId="3">
      <formula>AND(IF(OR($Q11=1,$Q11=2),1,0),IF($X11&lt;=20,1,0))</formula>
    </cfRule>
    <cfRule type="expression" priority="321" dxfId="2">
      <formula>AND(IF($Q11=2,1,0),IF($X11&lt;30,1,0))</formula>
    </cfRule>
    <cfRule type="expression" priority="322" dxfId="1">
      <formula>AND(IF($Q11=3,1,0),IF($X11&lt;30,1,0))</formula>
    </cfRule>
    <cfRule type="expression" priority="323" dxfId="0">
      <formula>AND(IF($Q11=3,1,IF($Q11=4,1,0)),IF($F11&lt;=85,1,0))</formula>
    </cfRule>
  </conditionalFormatting>
  <conditionalFormatting sqref="AI11">
    <cfRule type="expression" priority="316" dxfId="3">
      <formula>AND(IF(OR($Q11=1,$Q11=2),1,0),IF($X11&lt;=20,1,0))</formula>
    </cfRule>
    <cfRule type="expression" priority="317" dxfId="2">
      <formula>AND(IF($Q11=2,1,0),IF($X11&lt;30,1,0))</formula>
    </cfRule>
    <cfRule type="expression" priority="318" dxfId="1">
      <formula>AND(IF($Q11=3,1,0),IF($X11&lt;30,1,0))</formula>
    </cfRule>
    <cfRule type="expression" priority="319" dxfId="0">
      <formula>AND(IF($Q11=3,1,IF($Q11=4,1,0)),IF($F11&lt;=85,1,0))</formula>
    </cfRule>
  </conditionalFormatting>
  <conditionalFormatting sqref="AV12">
    <cfRule type="expression" priority="314" dxfId="17">
      <formula>AV12="X"</formula>
    </cfRule>
    <cfRule type="expression" priority="315" dxfId="16">
      <formula>AV12="후보"</formula>
    </cfRule>
  </conditionalFormatting>
  <conditionalFormatting sqref="AC12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12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12">
    <cfRule type="expression" priority="305" dxfId="3">
      <formula>AND(IF(OR($Q12=1,$Q12=2),1,0),IF($X12&lt;=20,1,0))</formula>
    </cfRule>
    <cfRule type="expression" priority="306" dxfId="2">
      <formula>AND(IF($Q12=2,1,0),IF($X12&lt;30,1,0))</formula>
    </cfRule>
    <cfRule type="expression" priority="307" dxfId="1">
      <formula>AND(IF($Q12=3,1,0),IF($X12&lt;30,1,0))</formula>
    </cfRule>
    <cfRule type="expression" priority="308" dxfId="0">
      <formula>AND(IF($Q12=3,1,IF($Q12=4,1,0)),IF($F12&lt;=85,1,0))</formula>
    </cfRule>
  </conditionalFormatting>
  <conditionalFormatting sqref="X12">
    <cfRule type="expression" priority="301" dxfId="3">
      <formula>AND(IF(OR($Q12=1,$Q12=2),1,0),IF($X12&lt;=20,1,0))</formula>
    </cfRule>
    <cfRule type="expression" priority="302" dxfId="2">
      <formula>AND(IF($Q12=2,1,0),IF($X12&lt;30,1,0))</formula>
    </cfRule>
    <cfRule type="expression" priority="303" dxfId="1">
      <formula>AND(IF($Q12=3,1,0),IF($X12&lt;30,1,0))</formula>
    </cfRule>
    <cfRule type="expression" priority="304" dxfId="0">
      <formula>AND(IF($Q12=3,1,IF($Q12=4,1,0)),IF($F12&lt;=85,1,0))</formula>
    </cfRule>
  </conditionalFormatting>
  <conditionalFormatting sqref="AI12">
    <cfRule type="expression" priority="297" dxfId="3">
      <formula>AND(IF(OR($Q12=1,$Q12=2),1,0),IF($X12&lt;=20,1,0))</formula>
    </cfRule>
    <cfRule type="expression" priority="298" dxfId="2">
      <formula>AND(IF($Q12=2,1,0),IF($X12&lt;30,1,0))</formula>
    </cfRule>
    <cfRule type="expression" priority="299" dxfId="1">
      <formula>AND(IF($Q12=3,1,0),IF($X12&lt;30,1,0))</formula>
    </cfRule>
    <cfRule type="expression" priority="300" dxfId="0">
      <formula>AND(IF($Q12=3,1,IF($Q12=4,1,0)),IF($F12&lt;=85,1,0))</formula>
    </cfRule>
  </conditionalFormatting>
  <conditionalFormatting sqref="AV13">
    <cfRule type="expression" priority="295" dxfId="17">
      <formula>AV13="X"</formula>
    </cfRule>
    <cfRule type="expression" priority="296" dxfId="16">
      <formula>AV13="후보"</formula>
    </cfRule>
  </conditionalFormatting>
  <conditionalFormatting sqref="AC13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N13">
    <cfRule type="cellIs" priority="290" operator="greaterThan" dxfId="13">
      <formula>0.9</formula>
    </cfRule>
    <cfRule type="cellIs" priority="291" operator="greaterThan" dxfId="12">
      <formula>0.85</formula>
    </cfRule>
  </conditionalFormatting>
  <conditionalFormatting sqref="E13">
    <cfRule type="expression" priority="286" dxfId="3">
      <formula>AND(IF(OR($Q13=1,$Q13=2),1,0),IF($X13&lt;=20,1,0))</formula>
    </cfRule>
    <cfRule type="expression" priority="287" dxfId="2">
      <formula>AND(IF($Q13=2,1,0),IF($X13&lt;30,1,0))</formula>
    </cfRule>
    <cfRule type="expression" priority="288" dxfId="1">
      <formula>AND(IF($Q13=3,1,0),IF($X13&lt;30,1,0))</formula>
    </cfRule>
    <cfRule type="expression" priority="289" dxfId="0">
      <formula>AND(IF($Q13=3,1,IF($Q13=4,1,0)),IF($F13&lt;=85,1,0))</formula>
    </cfRule>
  </conditionalFormatting>
  <conditionalFormatting sqref="X13">
    <cfRule type="expression" priority="282" dxfId="3">
      <formula>AND(IF(OR($Q13=1,$Q13=2),1,0),IF($X13&lt;=20,1,0))</formula>
    </cfRule>
    <cfRule type="expression" priority="283" dxfId="2">
      <formula>AND(IF($Q13=2,1,0),IF($X13&lt;30,1,0))</formula>
    </cfRule>
    <cfRule type="expression" priority="284" dxfId="1">
      <formula>AND(IF($Q13=3,1,0),IF($X13&lt;30,1,0))</formula>
    </cfRule>
    <cfRule type="expression" priority="285" dxfId="0">
      <formula>AND(IF($Q13=3,1,IF($Q13=4,1,0)),IF($F13&lt;=85,1,0))</formula>
    </cfRule>
  </conditionalFormatting>
  <conditionalFormatting sqref="AI13">
    <cfRule type="expression" priority="278" dxfId="3">
      <formula>AND(IF(OR($Q13=1,$Q13=2),1,0),IF($X13&lt;=20,1,0))</formula>
    </cfRule>
    <cfRule type="expression" priority="279" dxfId="2">
      <formula>AND(IF($Q13=2,1,0),IF($X13&lt;30,1,0))</formula>
    </cfRule>
    <cfRule type="expression" priority="280" dxfId="1">
      <formula>AND(IF($Q13=3,1,0),IF($X13&lt;30,1,0))</formula>
    </cfRule>
    <cfRule type="expression" priority="281" dxfId="0">
      <formula>AND(IF($Q13=3,1,IF($Q13=4,1,0)),IF($F13&lt;=85,1,0))</formula>
    </cfRule>
  </conditionalFormatting>
  <conditionalFormatting sqref="AV14">
    <cfRule type="expression" priority="276" dxfId="17">
      <formula>AV14="X"</formula>
    </cfRule>
    <cfRule type="expression" priority="277" dxfId="16">
      <formula>AV14="후보"</formula>
    </cfRule>
  </conditionalFormatting>
  <conditionalFormatting sqref="AC14">
    <cfRule type="cellIs" priority="273" operator="greaterThan" dxfId="13">
      <formula>0.9</formula>
    </cfRule>
    <cfRule type="cellIs" priority="274" operator="greaterThan" dxfId="12">
      <formula>0.85</formula>
    </cfRule>
  </conditionalFormatting>
  <conditionalFormatting sqref="N14">
    <cfRule type="cellIs" priority="271" operator="greaterThan" dxfId="13">
      <formula>0.9</formula>
    </cfRule>
    <cfRule type="cellIs" priority="272" operator="greaterThan" dxfId="12">
      <formula>0.85</formula>
    </cfRule>
  </conditionalFormatting>
  <conditionalFormatting sqref="E14">
    <cfRule type="expression" priority="267" dxfId="3">
      <formula>AND(IF(OR($Q14=1,$Q14=2),1,0),IF($X14&lt;=20,1,0))</formula>
    </cfRule>
    <cfRule type="expression" priority="268" dxfId="2">
      <formula>AND(IF($Q14=2,1,0),IF($X14&lt;30,1,0))</formula>
    </cfRule>
    <cfRule type="expression" priority="269" dxfId="1">
      <formula>AND(IF($Q14=3,1,0),IF($X14&lt;30,1,0))</formula>
    </cfRule>
    <cfRule type="expression" priority="270" dxfId="0">
      <formula>AND(IF($Q14=3,1,IF($Q14=4,1,0)),IF($F14&lt;=85,1,0))</formula>
    </cfRule>
  </conditionalFormatting>
  <conditionalFormatting sqref="X14">
    <cfRule type="expression" priority="263" dxfId="3">
      <formula>AND(IF(OR($Q14=1,$Q14=2),1,0),IF($X14&lt;=20,1,0))</formula>
    </cfRule>
    <cfRule type="expression" priority="264" dxfId="2">
      <formula>AND(IF($Q14=2,1,0),IF($X14&lt;30,1,0))</formula>
    </cfRule>
    <cfRule type="expression" priority="265" dxfId="1">
      <formula>AND(IF($Q14=3,1,0),IF($X14&lt;30,1,0))</formula>
    </cfRule>
    <cfRule type="expression" priority="266" dxfId="0">
      <formula>AND(IF($Q14=3,1,IF($Q14=4,1,0)),IF($F14&lt;=85,1,0))</formula>
    </cfRule>
  </conditionalFormatting>
  <conditionalFormatting sqref="AI14">
    <cfRule type="expression" priority="259" dxfId="3">
      <formula>AND(IF(OR($Q14=1,$Q14=2),1,0),IF($X14&lt;=20,1,0))</formula>
    </cfRule>
    <cfRule type="expression" priority="260" dxfId="2">
      <formula>AND(IF($Q14=2,1,0),IF($X14&lt;30,1,0))</formula>
    </cfRule>
    <cfRule type="expression" priority="261" dxfId="1">
      <formula>AND(IF($Q14=3,1,0),IF($X14&lt;30,1,0))</formula>
    </cfRule>
    <cfRule type="expression" priority="262" dxfId="0">
      <formula>AND(IF($Q14=3,1,IF($Q14=4,1,0)),IF($F14&lt;=85,1,0))</formula>
    </cfRule>
  </conditionalFormatting>
  <conditionalFormatting sqref="AV15">
    <cfRule type="expression" priority="257" dxfId="17">
      <formula>AV15="X"</formula>
    </cfRule>
    <cfRule type="expression" priority="258" dxfId="16">
      <formula>AV15="후보"</formula>
    </cfRule>
  </conditionalFormatting>
  <conditionalFormatting sqref="AC15 N15">
    <cfRule type="cellIs" priority="254" operator="greaterThan" dxfId="13">
      <formula>0.9</formula>
    </cfRule>
    <cfRule type="cellIs" priority="255" operator="greaterThan" dxfId="12">
      <formula>0.85</formula>
    </cfRule>
  </conditionalFormatting>
  <conditionalFormatting sqref="AV16">
    <cfRule type="expression" priority="252" dxfId="17">
      <formula>AV16="X"</formula>
    </cfRule>
    <cfRule type="expression" priority="253" dxfId="16">
      <formula>AV16="후보"</formula>
    </cfRule>
  </conditionalFormatting>
  <conditionalFormatting sqref="AC16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16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16">
    <cfRule type="expression" priority="243" dxfId="3">
      <formula>AND(IF(OR($Q16=1,$Q16=2),1,0),IF($X16&lt;=20,1,0))</formula>
    </cfRule>
    <cfRule type="expression" priority="244" dxfId="2">
      <formula>AND(IF($Q16=2,1,0),IF($X16&lt;30,1,0))</formula>
    </cfRule>
    <cfRule type="expression" priority="245" dxfId="1">
      <formula>AND(IF($Q16=3,1,0),IF($X16&lt;30,1,0))</formula>
    </cfRule>
    <cfRule type="expression" priority="246" dxfId="0">
      <formula>AND(IF($Q16=3,1,IF($Q16=4,1,0)),IF($F16&lt;=85,1,0))</formula>
    </cfRule>
  </conditionalFormatting>
  <conditionalFormatting sqref="X16">
    <cfRule type="expression" priority="239" dxfId="3">
      <formula>AND(IF(OR($Q16=1,$Q16=2),1,0),IF($X16&lt;=20,1,0))</formula>
    </cfRule>
    <cfRule type="expression" priority="240" dxfId="2">
      <formula>AND(IF($Q16=2,1,0),IF($X16&lt;30,1,0))</formula>
    </cfRule>
    <cfRule type="expression" priority="241" dxfId="1">
      <formula>AND(IF($Q16=3,1,0),IF($X16&lt;30,1,0))</formula>
    </cfRule>
    <cfRule type="expression" priority="242" dxfId="0">
      <formula>AND(IF($Q16=3,1,IF($Q16=4,1,0)),IF($F16&lt;=85,1,0))</formula>
    </cfRule>
  </conditionalFormatting>
  <conditionalFormatting sqref="AI16">
    <cfRule type="expression" priority="235" dxfId="3">
      <formula>AND(IF(OR($Q16=1,$Q16=2),1,0),IF($X16&lt;=20,1,0))</formula>
    </cfRule>
    <cfRule type="expression" priority="236" dxfId="2">
      <formula>AND(IF($Q16=2,1,0),IF($X16&lt;30,1,0))</formula>
    </cfRule>
    <cfRule type="expression" priority="237" dxfId="1">
      <formula>AND(IF($Q16=3,1,0),IF($X16&lt;30,1,0))</formula>
    </cfRule>
    <cfRule type="expression" priority="238" dxfId="0">
      <formula>AND(IF($Q16=3,1,IF($Q16=4,1,0)),IF($F16&lt;=85,1,0))</formula>
    </cfRule>
  </conditionalFormatting>
  <conditionalFormatting sqref="AV17">
    <cfRule type="expression" priority="233" dxfId="17">
      <formula>AV17="X"</formula>
    </cfRule>
    <cfRule type="expression" priority="234" dxfId="16">
      <formula>AV17="후보"</formula>
    </cfRule>
  </conditionalFormatting>
  <conditionalFormatting sqref="AC17 N17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AV18">
    <cfRule type="expression" priority="228" dxfId="17">
      <formula>AV18="X"</formula>
    </cfRule>
    <cfRule type="expression" priority="229" dxfId="16">
      <formula>AV18="후보"</formula>
    </cfRule>
  </conditionalFormatting>
  <conditionalFormatting sqref="AC18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8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8">
    <cfRule type="expression" priority="219" dxfId="3">
      <formula>AND(IF(OR($Q18=1,$Q18=2),1,0),IF($X18&lt;=20,1,0))</formula>
    </cfRule>
    <cfRule type="expression" priority="220" dxfId="2">
      <formula>AND(IF($Q18=2,1,0),IF($X18&lt;30,1,0))</formula>
    </cfRule>
    <cfRule type="expression" priority="221" dxfId="1">
      <formula>AND(IF($Q18=3,1,0),IF($X18&lt;30,1,0))</formula>
    </cfRule>
    <cfRule type="expression" priority="222" dxfId="0">
      <formula>AND(IF($Q18=3,1,IF($Q18=4,1,0)),IF($F18&lt;=85,1,0))</formula>
    </cfRule>
  </conditionalFormatting>
  <conditionalFormatting sqref="X18">
    <cfRule type="expression" priority="215" dxfId="3">
      <formula>AND(IF(OR($Q18=1,$Q18=2),1,0),IF($X18&lt;=20,1,0))</formula>
    </cfRule>
    <cfRule type="expression" priority="216" dxfId="2">
      <formula>AND(IF($Q18=2,1,0),IF($X18&lt;30,1,0))</formula>
    </cfRule>
    <cfRule type="expression" priority="217" dxfId="1">
      <formula>AND(IF($Q18=3,1,0),IF($X18&lt;30,1,0))</formula>
    </cfRule>
    <cfRule type="expression" priority="218" dxfId="0">
      <formula>AND(IF($Q18=3,1,IF($Q18=4,1,0)),IF($F18&lt;=85,1,0))</formula>
    </cfRule>
  </conditionalFormatting>
  <conditionalFormatting sqref="AI18">
    <cfRule type="expression" priority="211" dxfId="3">
      <formula>AND(IF(OR($Q18=1,$Q18=2),1,0),IF($X18&lt;=20,1,0))</formula>
    </cfRule>
    <cfRule type="expression" priority="212" dxfId="2">
      <formula>AND(IF($Q18=2,1,0),IF($X18&lt;30,1,0))</formula>
    </cfRule>
    <cfRule type="expression" priority="213" dxfId="1">
      <formula>AND(IF($Q18=3,1,0),IF($X18&lt;30,1,0))</formula>
    </cfRule>
    <cfRule type="expression" priority="214" dxfId="0">
      <formula>AND(IF($Q18=3,1,IF($Q18=4,1,0)),IF($F18&lt;=85,1,0))</formula>
    </cfRule>
  </conditionalFormatting>
  <conditionalFormatting sqref="AV19">
    <cfRule type="expression" priority="209" dxfId="17">
      <formula>AV19="X"</formula>
    </cfRule>
    <cfRule type="expression" priority="210" dxfId="16">
      <formula>AV19="후보"</formula>
    </cfRule>
  </conditionalFormatting>
  <conditionalFormatting sqref="AC19 N19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20">
    <cfRule type="expression" priority="204" dxfId="17">
      <formula>AV20="X"</formula>
    </cfRule>
    <cfRule type="expression" priority="205" dxfId="16">
      <formula>AV20="후보"</formula>
    </cfRule>
  </conditionalFormatting>
  <conditionalFormatting sqref="AC20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0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0">
    <cfRule type="expression" priority="195" dxfId="3">
      <formula>AND(IF(OR($Q20=1,$Q20=2),1,0),IF($X20&lt;=20,1,0))</formula>
    </cfRule>
    <cfRule type="expression" priority="196" dxfId="2">
      <formula>AND(IF($Q20=2,1,0),IF($X20&lt;30,1,0))</formula>
    </cfRule>
    <cfRule type="expression" priority="197" dxfId="1">
      <formula>AND(IF($Q20=3,1,0),IF($X20&lt;30,1,0))</formula>
    </cfRule>
    <cfRule type="expression" priority="198" dxfId="0">
      <formula>AND(IF($Q20=3,1,IF($Q20=4,1,0)),IF($F20&lt;=85,1,0))</formula>
    </cfRule>
  </conditionalFormatting>
  <conditionalFormatting sqref="X20">
    <cfRule type="expression" priority="191" dxfId="3">
      <formula>AND(IF(OR($Q20=1,$Q20=2),1,0),IF($X20&lt;=20,1,0))</formula>
    </cfRule>
    <cfRule type="expression" priority="192" dxfId="2">
      <formula>AND(IF($Q20=2,1,0),IF($X20&lt;30,1,0))</formula>
    </cfRule>
    <cfRule type="expression" priority="193" dxfId="1">
      <formula>AND(IF($Q20=3,1,0),IF($X20&lt;30,1,0))</formula>
    </cfRule>
    <cfRule type="expression" priority="194" dxfId="0">
      <formula>AND(IF($Q20=3,1,IF($Q20=4,1,0)),IF($F20&lt;=85,1,0))</formula>
    </cfRule>
  </conditionalFormatting>
  <conditionalFormatting sqref="AI20">
    <cfRule type="expression" priority="187" dxfId="3">
      <formula>AND(IF(OR($Q20=1,$Q20=2),1,0),IF($X20&lt;=20,1,0))</formula>
    </cfRule>
    <cfRule type="expression" priority="188" dxfId="2">
      <formula>AND(IF($Q20=2,1,0),IF($X20&lt;30,1,0))</formula>
    </cfRule>
    <cfRule type="expression" priority="189" dxfId="1">
      <formula>AND(IF($Q20=3,1,0),IF($X20&lt;30,1,0))</formula>
    </cfRule>
    <cfRule type="expression" priority="190" dxfId="0">
      <formula>AND(IF($Q20=3,1,IF($Q20=4,1,0)),IF($F20&lt;=85,1,0))</formula>
    </cfRule>
  </conditionalFormatting>
  <conditionalFormatting sqref="AV21">
    <cfRule type="expression" priority="185" dxfId="17">
      <formula>AV21="X"</formula>
    </cfRule>
    <cfRule type="expression" priority="186" dxfId="16">
      <formula>AV21="후보"</formula>
    </cfRule>
  </conditionalFormatting>
  <conditionalFormatting sqref="AC21 N21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22">
    <cfRule type="expression" priority="180" dxfId="17">
      <formula>AV22="X"</formula>
    </cfRule>
    <cfRule type="expression" priority="181" dxfId="16">
      <formula>AV22="후보"</formula>
    </cfRule>
  </conditionalFormatting>
  <conditionalFormatting sqref="AC2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2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2">
    <cfRule type="expression" priority="171" dxfId="3">
      <formula>AND(IF(OR($Q22=1,$Q22=2),1,0),IF($X22&lt;=20,1,0))</formula>
    </cfRule>
    <cfRule type="expression" priority="172" dxfId="2">
      <formula>AND(IF($Q22=2,1,0),IF($X22&lt;30,1,0))</formula>
    </cfRule>
    <cfRule type="expression" priority="173" dxfId="1">
      <formula>AND(IF($Q22=3,1,0),IF($X22&lt;30,1,0))</formula>
    </cfRule>
    <cfRule type="expression" priority="174" dxfId="0">
      <formula>AND(IF($Q22=3,1,IF($Q22=4,1,0)),IF($F22&lt;=85,1,0))</formula>
    </cfRule>
  </conditionalFormatting>
  <conditionalFormatting sqref="X22">
    <cfRule type="expression" priority="167" dxfId="3">
      <formula>AND(IF(OR($Q22=1,$Q22=2),1,0),IF($X22&lt;=20,1,0))</formula>
    </cfRule>
    <cfRule type="expression" priority="168" dxfId="2">
      <formula>AND(IF($Q22=2,1,0),IF($X22&lt;30,1,0))</formula>
    </cfRule>
    <cfRule type="expression" priority="169" dxfId="1">
      <formula>AND(IF($Q22=3,1,0),IF($X22&lt;30,1,0))</formula>
    </cfRule>
    <cfRule type="expression" priority="170" dxfId="0">
      <formula>AND(IF($Q22=3,1,IF($Q22=4,1,0)),IF($F22&lt;=85,1,0))</formula>
    </cfRule>
  </conditionalFormatting>
  <conditionalFormatting sqref="AI22">
    <cfRule type="expression" priority="163" dxfId="3">
      <formula>AND(IF(OR($Q22=1,$Q22=2),1,0),IF($X22&lt;=20,1,0))</formula>
    </cfRule>
    <cfRule type="expression" priority="164" dxfId="2">
      <formula>AND(IF($Q22=2,1,0),IF($X22&lt;30,1,0))</formula>
    </cfRule>
    <cfRule type="expression" priority="165" dxfId="1">
      <formula>AND(IF($Q22=3,1,0),IF($X22&lt;30,1,0))</formula>
    </cfRule>
    <cfRule type="expression" priority="166" dxfId="0">
      <formula>AND(IF($Q22=3,1,IF($Q22=4,1,0)),IF($F22&lt;=85,1,0))</formula>
    </cfRule>
  </conditionalFormatting>
  <conditionalFormatting sqref="AV23">
    <cfRule type="expression" priority="161" dxfId="17">
      <formula>AV23="X"</formula>
    </cfRule>
    <cfRule type="expression" priority="162" dxfId="16">
      <formula>AV23="후보"</formula>
    </cfRule>
  </conditionalFormatting>
  <conditionalFormatting sqref="AC23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3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3">
    <cfRule type="expression" priority="152" dxfId="3">
      <formula>AND(IF(OR($Q23=1,$Q23=2),1,0),IF($X23&lt;=20,1,0))</formula>
    </cfRule>
    <cfRule type="expression" priority="153" dxfId="2">
      <formula>AND(IF($Q23=2,1,0),IF($X23&lt;30,1,0))</formula>
    </cfRule>
    <cfRule type="expression" priority="154" dxfId="1">
      <formula>AND(IF($Q23=3,1,0),IF($X23&lt;30,1,0))</formula>
    </cfRule>
    <cfRule type="expression" priority="155" dxfId="0">
      <formula>AND(IF($Q23=3,1,IF($Q23=4,1,0)),IF($F23&lt;=85,1,0))</formula>
    </cfRule>
  </conditionalFormatting>
  <conditionalFormatting sqref="X23">
    <cfRule type="expression" priority="148" dxfId="3">
      <formula>AND(IF(OR($Q23=1,$Q23=2),1,0),IF($X23&lt;=20,1,0))</formula>
    </cfRule>
    <cfRule type="expression" priority="149" dxfId="2">
      <formula>AND(IF($Q23=2,1,0),IF($X23&lt;30,1,0))</formula>
    </cfRule>
    <cfRule type="expression" priority="150" dxfId="1">
      <formula>AND(IF($Q23=3,1,0),IF($X23&lt;30,1,0))</formula>
    </cfRule>
    <cfRule type="expression" priority="151" dxfId="0">
      <formula>AND(IF($Q23=3,1,IF($Q23=4,1,0)),IF($F23&lt;=85,1,0))</formula>
    </cfRule>
  </conditionalFormatting>
  <conditionalFormatting sqref="AI23">
    <cfRule type="expression" priority="144" dxfId="3">
      <formula>AND(IF(OR($Q23=1,$Q23=2),1,0),IF($X23&lt;=20,1,0))</formula>
    </cfRule>
    <cfRule type="expression" priority="145" dxfId="2">
      <formula>AND(IF($Q23=2,1,0),IF($X23&lt;30,1,0))</formula>
    </cfRule>
    <cfRule type="expression" priority="146" dxfId="1">
      <formula>AND(IF($Q23=3,1,0),IF($X23&lt;30,1,0))</formula>
    </cfRule>
    <cfRule type="expression" priority="147" dxfId="0">
      <formula>AND(IF($Q23=3,1,IF($Q23=4,1,0)),IF($F23&lt;=85,1,0))</formula>
    </cfRule>
  </conditionalFormatting>
  <conditionalFormatting sqref="AV24">
    <cfRule type="expression" priority="142" dxfId="17">
      <formula>AV24="X"</formula>
    </cfRule>
    <cfRule type="expression" priority="143" dxfId="16">
      <formula>AV24="후보"</formula>
    </cfRule>
  </conditionalFormatting>
  <conditionalFormatting sqref="AC24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4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4">
    <cfRule type="expression" priority="133" dxfId="3">
      <formula>AND(IF(OR($Q24=1,$Q24=2),1,0),IF($X24&lt;=20,1,0))</formula>
    </cfRule>
    <cfRule type="expression" priority="134" dxfId="2">
      <formula>AND(IF($Q24=2,1,0),IF($X24&lt;30,1,0))</formula>
    </cfRule>
    <cfRule type="expression" priority="135" dxfId="1">
      <formula>AND(IF($Q24=3,1,0),IF($X24&lt;30,1,0))</formula>
    </cfRule>
    <cfRule type="expression" priority="136" dxfId="0">
      <formula>AND(IF($Q24=3,1,IF($Q24=4,1,0)),IF($F24&lt;=85,1,0))</formula>
    </cfRule>
  </conditionalFormatting>
  <conditionalFormatting sqref="X24">
    <cfRule type="expression" priority="129" dxfId="3">
      <formula>AND(IF(OR($Q24=1,$Q24=2),1,0),IF($X24&lt;=20,1,0))</formula>
    </cfRule>
    <cfRule type="expression" priority="130" dxfId="2">
      <formula>AND(IF($Q24=2,1,0),IF($X24&lt;30,1,0))</formula>
    </cfRule>
    <cfRule type="expression" priority="131" dxfId="1">
      <formula>AND(IF($Q24=3,1,0),IF($X24&lt;30,1,0))</formula>
    </cfRule>
    <cfRule type="expression" priority="132" dxfId="0">
      <formula>AND(IF($Q24=3,1,IF($Q24=4,1,0)),IF($F24&lt;=85,1,0))</formula>
    </cfRule>
  </conditionalFormatting>
  <conditionalFormatting sqref="AI24">
    <cfRule type="expression" priority="125" dxfId="3">
      <formula>AND(IF(OR($Q24=1,$Q24=2),1,0),IF($X24&lt;=20,1,0))</formula>
    </cfRule>
    <cfRule type="expression" priority="126" dxfId="2">
      <formula>AND(IF($Q24=2,1,0),IF($X24&lt;30,1,0))</formula>
    </cfRule>
    <cfRule type="expression" priority="127" dxfId="1">
      <formula>AND(IF($Q24=3,1,0),IF($X24&lt;30,1,0))</formula>
    </cfRule>
    <cfRule type="expression" priority="128" dxfId="0">
      <formula>AND(IF($Q24=3,1,IF($Q24=4,1,0)),IF($F24&lt;=85,1,0))</formula>
    </cfRule>
  </conditionalFormatting>
  <conditionalFormatting sqref="AV25">
    <cfRule type="expression" priority="123" dxfId="17">
      <formula>AV25="X"</formula>
    </cfRule>
    <cfRule type="expression" priority="124" dxfId="16">
      <formula>AV25="후보"</formula>
    </cfRule>
  </conditionalFormatting>
  <conditionalFormatting sqref="AC25 N25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26">
    <cfRule type="expression" priority="118" dxfId="17">
      <formula>AV26="X"</formula>
    </cfRule>
    <cfRule type="expression" priority="119" dxfId="16">
      <formula>AV26="후보"</formula>
    </cfRule>
  </conditionalFormatting>
  <conditionalFormatting sqref="AC2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6">
    <cfRule type="expression" priority="109" dxfId="3">
      <formula>AND(IF(OR($Q26=1,$Q26=2),1,0),IF($X26&lt;=20,1,0))</formula>
    </cfRule>
    <cfRule type="expression" priority="110" dxfId="2">
      <formula>AND(IF($Q26=2,1,0),IF($X26&lt;30,1,0))</formula>
    </cfRule>
    <cfRule type="expression" priority="111" dxfId="1">
      <formula>AND(IF($Q26=3,1,0),IF($X26&lt;30,1,0))</formula>
    </cfRule>
    <cfRule type="expression" priority="112" dxfId="0">
      <formula>AND(IF($Q26=3,1,IF($Q26=4,1,0)),IF($F26&lt;=85,1,0))</formula>
    </cfRule>
  </conditionalFormatting>
  <conditionalFormatting sqref="X26">
    <cfRule type="expression" priority="105" dxfId="3">
      <formula>AND(IF(OR($Q26=1,$Q26=2),1,0),IF($X26&lt;=20,1,0))</formula>
    </cfRule>
    <cfRule type="expression" priority="106" dxfId="2">
      <formula>AND(IF($Q26=2,1,0),IF($X26&lt;30,1,0))</formula>
    </cfRule>
    <cfRule type="expression" priority="107" dxfId="1">
      <formula>AND(IF($Q26=3,1,0),IF($X26&lt;30,1,0))</formula>
    </cfRule>
    <cfRule type="expression" priority="108" dxfId="0">
      <formula>AND(IF($Q26=3,1,IF($Q26=4,1,0)),IF($F26&lt;=85,1,0))</formula>
    </cfRule>
  </conditionalFormatting>
  <conditionalFormatting sqref="AI26">
    <cfRule type="expression" priority="101" dxfId="3">
      <formula>AND(IF(OR($Q26=1,$Q26=2),1,0),IF($X26&lt;=20,1,0))</formula>
    </cfRule>
    <cfRule type="expression" priority="102" dxfId="2">
      <formula>AND(IF($Q26=2,1,0),IF($X26&lt;30,1,0))</formula>
    </cfRule>
    <cfRule type="expression" priority="103" dxfId="1">
      <formula>AND(IF($Q26=3,1,0),IF($X26&lt;30,1,0))</formula>
    </cfRule>
    <cfRule type="expression" priority="104" dxfId="0">
      <formula>AND(IF($Q26=3,1,IF($Q26=4,1,0)),IF($F26&lt;=85,1,0))</formula>
    </cfRule>
  </conditionalFormatting>
  <conditionalFormatting sqref="AV27">
    <cfRule type="expression" priority="99" dxfId="17">
      <formula>AV27="X"</formula>
    </cfRule>
    <cfRule type="expression" priority="100" dxfId="16">
      <formula>AV27="후보"</formula>
    </cfRule>
  </conditionalFormatting>
  <conditionalFormatting sqref="AC2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7">
    <cfRule type="expression" priority="90" dxfId="3">
      <formula>AND(IF(OR($Q27=1,$Q27=2),1,0),IF($X27&lt;=20,1,0))</formula>
    </cfRule>
    <cfRule type="expression" priority="91" dxfId="2">
      <formula>AND(IF($Q27=2,1,0),IF($X27&lt;30,1,0))</formula>
    </cfRule>
    <cfRule type="expression" priority="92" dxfId="1">
      <formula>AND(IF($Q27=3,1,0),IF($X27&lt;30,1,0))</formula>
    </cfRule>
    <cfRule type="expression" priority="93" dxfId="0">
      <formula>AND(IF($Q27=3,1,IF($Q27=4,1,0)),IF($F27&lt;=85,1,0))</formula>
    </cfRule>
  </conditionalFormatting>
  <conditionalFormatting sqref="X27">
    <cfRule type="expression" priority="86" dxfId="3">
      <formula>AND(IF(OR($Q27=1,$Q27=2),1,0),IF($X27&lt;=20,1,0))</formula>
    </cfRule>
    <cfRule type="expression" priority="87" dxfId="2">
      <formula>AND(IF($Q27=2,1,0),IF($X27&lt;30,1,0))</formula>
    </cfRule>
    <cfRule type="expression" priority="88" dxfId="1">
      <formula>AND(IF($Q27=3,1,0),IF($X27&lt;30,1,0))</formula>
    </cfRule>
    <cfRule type="expression" priority="89" dxfId="0">
      <formula>AND(IF($Q27=3,1,IF($Q27=4,1,0)),IF($F27&lt;=85,1,0))</formula>
    </cfRule>
  </conditionalFormatting>
  <conditionalFormatting sqref="AI27">
    <cfRule type="expression" priority="82" dxfId="3">
      <formula>AND(IF(OR($Q27=1,$Q27=2),1,0),IF($X27&lt;=20,1,0))</formula>
    </cfRule>
    <cfRule type="expression" priority="83" dxfId="2">
      <formula>AND(IF($Q27=2,1,0),IF($X27&lt;30,1,0))</formula>
    </cfRule>
    <cfRule type="expression" priority="84" dxfId="1">
      <formula>AND(IF($Q27=3,1,0),IF($X27&lt;30,1,0))</formula>
    </cfRule>
    <cfRule type="expression" priority="85" dxfId="0">
      <formula>AND(IF($Q27=3,1,IF($Q27=4,1,0)),IF($F27&lt;=85,1,0))</formula>
    </cfRule>
  </conditionalFormatting>
  <conditionalFormatting sqref="AV28">
    <cfRule type="expression" priority="80" dxfId="17">
      <formula>AV28="X"</formula>
    </cfRule>
    <cfRule type="expression" priority="81" dxfId="16">
      <formula>AV28="후보"</formula>
    </cfRule>
  </conditionalFormatting>
  <conditionalFormatting sqref="AC2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8">
    <cfRule type="expression" priority="71" dxfId="3">
      <formula>AND(IF(OR($Q28=1,$Q28=2),1,0),IF($X28&lt;=20,1,0))</formula>
    </cfRule>
    <cfRule type="expression" priority="72" dxfId="2">
      <formula>AND(IF($Q28=2,1,0),IF($X28&lt;30,1,0))</formula>
    </cfRule>
    <cfRule type="expression" priority="73" dxfId="1">
      <formula>AND(IF($Q28=3,1,0),IF($X28&lt;30,1,0))</formula>
    </cfRule>
    <cfRule type="expression" priority="74" dxfId="0">
      <formula>AND(IF($Q28=3,1,IF($Q28=4,1,0)),IF($F28&lt;=85,1,0))</formula>
    </cfRule>
  </conditionalFormatting>
  <conditionalFormatting sqref="X28">
    <cfRule type="expression" priority="67" dxfId="3">
      <formula>AND(IF(OR($Q28=1,$Q28=2),1,0),IF($X28&lt;=20,1,0))</formula>
    </cfRule>
    <cfRule type="expression" priority="68" dxfId="2">
      <formula>AND(IF($Q28=2,1,0),IF($X28&lt;30,1,0))</formula>
    </cfRule>
    <cfRule type="expression" priority="69" dxfId="1">
      <formula>AND(IF($Q28=3,1,0),IF($X28&lt;30,1,0))</formula>
    </cfRule>
    <cfRule type="expression" priority="70" dxfId="0">
      <formula>AND(IF($Q28=3,1,IF($Q28=4,1,0)),IF($F28&lt;=85,1,0))</formula>
    </cfRule>
  </conditionalFormatting>
  <conditionalFormatting sqref="AI28">
    <cfRule type="expression" priority="63" dxfId="3">
      <formula>AND(IF(OR($Q28=1,$Q28=2),1,0),IF($X28&lt;=20,1,0))</formula>
    </cfRule>
    <cfRule type="expression" priority="64" dxfId="2">
      <formula>AND(IF($Q28=2,1,0),IF($X28&lt;30,1,0))</formula>
    </cfRule>
    <cfRule type="expression" priority="65" dxfId="1">
      <formula>AND(IF($Q28=3,1,0),IF($X28&lt;30,1,0))</formula>
    </cfRule>
    <cfRule type="expression" priority="66" dxfId="0">
      <formula>AND(IF($Q28=3,1,IF($Q28=4,1,0)),IF($F28&lt;=85,1,0))</formula>
    </cfRule>
  </conditionalFormatting>
  <conditionalFormatting sqref="AV29">
    <cfRule type="expression" priority="61" dxfId="17">
      <formula>AV29="X"</formula>
    </cfRule>
    <cfRule type="expression" priority="62" dxfId="16">
      <formula>AV29="후보"</formula>
    </cfRule>
  </conditionalFormatting>
  <conditionalFormatting sqref="AC29 N2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0">
    <cfRule type="expression" priority="56" dxfId="17">
      <formula>AV30="X"</formula>
    </cfRule>
    <cfRule type="expression" priority="57" dxfId="16">
      <formula>AV30="후보"</formula>
    </cfRule>
  </conditionalFormatting>
  <conditionalFormatting sqref="AC3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0">
    <cfRule type="expression" priority="47" dxfId="3">
      <formula>AND(IF(OR($Q30=1,$Q30=2),1,0),IF($X30&lt;=20,1,0))</formula>
    </cfRule>
    <cfRule type="expression" priority="48" dxfId="2">
      <formula>AND(IF($Q30=2,1,0),IF($X30&lt;30,1,0))</formula>
    </cfRule>
    <cfRule type="expression" priority="49" dxfId="1">
      <formula>AND(IF($Q30=3,1,0),IF($X30&lt;30,1,0))</formula>
    </cfRule>
    <cfRule type="expression" priority="50" dxfId="0">
      <formula>AND(IF($Q30=3,1,IF($Q30=4,1,0)),IF($F30&lt;=85,1,0))</formula>
    </cfRule>
  </conditionalFormatting>
  <conditionalFormatting sqref="X30">
    <cfRule type="expression" priority="43" dxfId="3">
      <formula>AND(IF(OR($Q30=1,$Q30=2),1,0),IF($X30&lt;=20,1,0))</formula>
    </cfRule>
    <cfRule type="expression" priority="44" dxfId="2">
      <formula>AND(IF($Q30=2,1,0),IF($X30&lt;30,1,0))</formula>
    </cfRule>
    <cfRule type="expression" priority="45" dxfId="1">
      <formula>AND(IF($Q30=3,1,0),IF($X30&lt;30,1,0))</formula>
    </cfRule>
    <cfRule type="expression" priority="46" dxfId="0">
      <formula>AND(IF($Q30=3,1,IF($Q30=4,1,0)),IF($F30&lt;=85,1,0))</formula>
    </cfRule>
  </conditionalFormatting>
  <conditionalFormatting sqref="AI30">
    <cfRule type="expression" priority="39" dxfId="3">
      <formula>AND(IF(OR($Q30=1,$Q30=2),1,0),IF($X30&lt;=20,1,0))</formula>
    </cfRule>
    <cfRule type="expression" priority="40" dxfId="2">
      <formula>AND(IF($Q30=2,1,0),IF($X30&lt;30,1,0))</formula>
    </cfRule>
    <cfRule type="expression" priority="41" dxfId="1">
      <formula>AND(IF($Q30=3,1,0),IF($X30&lt;30,1,0))</formula>
    </cfRule>
    <cfRule type="expression" priority="42" dxfId="0">
      <formula>AND(IF($Q30=3,1,IF($Q30=4,1,0)),IF($F30&lt;=85,1,0))</formula>
    </cfRule>
  </conditionalFormatting>
  <conditionalFormatting sqref="AV31">
    <cfRule type="expression" priority="37" dxfId="17">
      <formula>AV31="X"</formula>
    </cfRule>
    <cfRule type="expression" priority="38" dxfId="16">
      <formula>AV31="후보"</formula>
    </cfRule>
  </conditionalFormatting>
  <conditionalFormatting sqref="AC3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1">
    <cfRule type="expression" priority="28" dxfId="3">
      <formula>AND(IF(OR($Q31=1,$Q31=2),1,0),IF($X31&lt;=20,1,0))</formula>
    </cfRule>
    <cfRule type="expression" priority="29" dxfId="2">
      <formula>AND(IF($Q31=2,1,0),IF($X31&lt;30,1,0))</formula>
    </cfRule>
    <cfRule type="expression" priority="30" dxfId="1">
      <formula>AND(IF($Q31=3,1,0),IF($X31&lt;30,1,0))</formula>
    </cfRule>
    <cfRule type="expression" priority="31" dxfId="0">
      <formula>AND(IF($Q31=3,1,IF($Q31=4,1,0)),IF($F31&lt;=85,1,0))</formula>
    </cfRule>
  </conditionalFormatting>
  <conditionalFormatting sqref="X31">
    <cfRule type="expression" priority="24" dxfId="3">
      <formula>AND(IF(OR($Q31=1,$Q31=2),1,0),IF($X31&lt;=20,1,0))</formula>
    </cfRule>
    <cfRule type="expression" priority="25" dxfId="2">
      <formula>AND(IF($Q31=2,1,0),IF($X31&lt;30,1,0))</formula>
    </cfRule>
    <cfRule type="expression" priority="26" dxfId="1">
      <formula>AND(IF($Q31=3,1,0),IF($X31&lt;30,1,0))</formula>
    </cfRule>
    <cfRule type="expression" priority="27" dxfId="0">
      <formula>AND(IF($Q31=3,1,IF($Q31=4,1,0)),IF($F31&lt;=85,1,0))</formula>
    </cfRule>
  </conditionalFormatting>
  <conditionalFormatting sqref="AI31">
    <cfRule type="expression" priority="20" dxfId="3">
      <formula>AND(IF(OR($Q31=1,$Q31=2),1,0),IF($X31&lt;=20,1,0))</formula>
    </cfRule>
    <cfRule type="expression" priority="21" dxfId="2">
      <formula>AND(IF($Q31=2,1,0),IF($X31&lt;30,1,0))</formula>
    </cfRule>
    <cfRule type="expression" priority="22" dxfId="1">
      <formula>AND(IF($Q31=3,1,0),IF($X31&lt;30,1,0))</formula>
    </cfRule>
    <cfRule type="expression" priority="23" dxfId="0">
      <formula>AND(IF($Q31=3,1,IF($Q31=4,1,0)),IF($F31&lt;=85,1,0))</formula>
    </cfRule>
  </conditionalFormatting>
  <conditionalFormatting sqref="AV32">
    <cfRule type="expression" priority="18" dxfId="17">
      <formula>AV32="X"</formula>
    </cfRule>
    <cfRule type="expression" priority="19" dxfId="16">
      <formula>AV32="후보"</formula>
    </cfRule>
  </conditionalFormatting>
  <conditionalFormatting sqref="AC3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성화동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구룡산휴먼시아3단지</t>
        </is>
      </c>
      <c r="B6" s="16" t="inlineStr">
        <is>
          <t>'09.05.</t>
        </is>
      </c>
      <c r="C6" s="164" t="n">
        <v>470</v>
      </c>
      <c r="D6" s="161" t="n">
        <v>106.4</v>
      </c>
      <c r="E6" s="163" t="n">
        <v>32</v>
      </c>
      <c r="F6" s="161" t="n">
        <v>84.7</v>
      </c>
      <c r="G6" s="27" t="n">
        <v>26</v>
      </c>
      <c r="H6" s="164" t="n">
        <v>442</v>
      </c>
      <c r="I6" s="165" t="n">
        <v>25500</v>
      </c>
      <c r="J6" s="165" t="inlineStr">
        <is>
          <t>8</t>
        </is>
      </c>
      <c r="K6" s="165" t="n">
        <v>23000</v>
      </c>
      <c r="L6" s="165" t="inlineStr">
        <is>
          <t>7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106A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구룡산휴먼시아3단지</t>
        </is>
      </c>
      <c r="B7" s="16" t="inlineStr">
        <is>
          <t>'09.05.</t>
        </is>
      </c>
      <c r="C7" s="164" t="n">
        <v>470</v>
      </c>
      <c r="D7" s="161" t="n">
        <v>106.6</v>
      </c>
      <c r="E7" s="163" t="n">
        <v>32</v>
      </c>
      <c r="F7" s="161" t="n">
        <v>84.90000000000001</v>
      </c>
      <c r="G7" s="27" t="n">
        <v>26</v>
      </c>
      <c r="H7" s="164" t="n">
        <v>28</v>
      </c>
      <c r="I7" s="165" t="n">
        <v>33000</v>
      </c>
      <c r="J7" s="165" t="inlineStr">
        <is>
          <t>고</t>
        </is>
      </c>
      <c r="K7" s="165" t="n">
        <v>25000</v>
      </c>
      <c r="L7" s="165" t="inlineStr">
        <is>
          <t>5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106B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남양휴튼</t>
        </is>
      </c>
      <c r="B9" s="16" t="inlineStr">
        <is>
          <t>'08.08.</t>
        </is>
      </c>
      <c r="C9" s="164" t="n">
        <v>577</v>
      </c>
      <c r="D9" s="161" t="n">
        <v>129.9</v>
      </c>
      <c r="E9" s="163" t="n">
        <v>39</v>
      </c>
      <c r="F9" s="161" t="n">
        <v>102.5</v>
      </c>
      <c r="G9" s="27" t="n">
        <v>31</v>
      </c>
      <c r="H9" s="164" t="n">
        <v>168</v>
      </c>
      <c r="I9" s="165" t="n">
        <v>39000</v>
      </c>
      <c r="J9" s="165" t="inlineStr">
        <is>
          <t>5</t>
        </is>
      </c>
      <c r="K9" s="165" t="n">
        <v>37500</v>
      </c>
      <c r="L9" s="165" t="inlineStr">
        <is>
          <t>10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129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남양휴튼</t>
        </is>
      </c>
      <c r="B10" s="16" t="inlineStr">
        <is>
          <t>'08.08.</t>
        </is>
      </c>
      <c r="C10" s="164" t="n">
        <v>577</v>
      </c>
      <c r="D10" s="161" t="n">
        <v>146.1</v>
      </c>
      <c r="E10" s="163" t="n">
        <v>44</v>
      </c>
      <c r="F10" s="161" t="n">
        <v>119.3</v>
      </c>
      <c r="G10" s="27" t="n">
        <v>36</v>
      </c>
      <c r="H10" s="164" t="n">
        <v>116</v>
      </c>
      <c r="I10" s="165" t="n">
        <v>48000</v>
      </c>
      <c r="J10" s="165" t="inlineStr">
        <is>
          <t>11</t>
        </is>
      </c>
      <c r="K10" s="165" t="n">
        <v>39000</v>
      </c>
      <c r="L10" s="165" t="inlineStr">
        <is>
          <t>18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inlineStr">
        <is>
          <t>146B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남양휴튼</t>
        </is>
      </c>
      <c r="B11" s="16" t="inlineStr">
        <is>
          <t>'08.08.</t>
        </is>
      </c>
      <c r="C11" s="164" t="n">
        <v>577</v>
      </c>
      <c r="D11" s="161" t="n">
        <v>146.3</v>
      </c>
      <c r="E11" s="163" t="n">
        <v>44</v>
      </c>
      <c r="F11" s="161" t="n">
        <v>119.8</v>
      </c>
      <c r="G11" s="27" t="n">
        <v>36</v>
      </c>
      <c r="H11" s="164" t="n">
        <v>59</v>
      </c>
      <c r="I11" s="165" t="n">
        <v>43500</v>
      </c>
      <c r="J11" s="165" t="inlineStr">
        <is>
          <t>5</t>
        </is>
      </c>
      <c r="K11" s="165" t="n">
        <v>36000</v>
      </c>
      <c r="L11" s="165" t="inlineStr">
        <is>
          <t>5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inlineStr">
        <is>
          <t>146A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남양휴튼</t>
        </is>
      </c>
      <c r="B12" s="16" t="inlineStr">
        <is>
          <t>'08.08.</t>
        </is>
      </c>
      <c r="C12" s="164" t="n">
        <v>577</v>
      </c>
      <c r="D12" s="161" t="n">
        <v>158.8</v>
      </c>
      <c r="E12" s="163" t="n">
        <v>48</v>
      </c>
      <c r="F12" s="161" t="n">
        <v>130.6</v>
      </c>
      <c r="G12" s="27" t="n">
        <v>40</v>
      </c>
      <c r="H12" s="164" t="n">
        <v>166</v>
      </c>
      <c r="I12" s="165" t="n">
        <v>48000</v>
      </c>
      <c r="J12" s="165" t="inlineStr">
        <is>
          <t>12</t>
        </is>
      </c>
      <c r="K12" s="165" t="n">
        <v>42000</v>
      </c>
      <c r="L12" s="165" t="inlineStr">
        <is>
          <t>중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158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남양휴튼</t>
        </is>
      </c>
      <c r="B13" s="16" t="inlineStr">
        <is>
          <t>'08.08.</t>
        </is>
      </c>
      <c r="C13" s="164" t="n">
        <v>577</v>
      </c>
      <c r="D13" s="161" t="n">
        <v>186.6</v>
      </c>
      <c r="E13" s="163" t="n">
        <v>56</v>
      </c>
      <c r="F13" s="161" t="n">
        <v>158.5</v>
      </c>
      <c r="G13" s="27" t="n">
        <v>48</v>
      </c>
      <c r="H13" s="164" t="n">
        <v>68</v>
      </c>
      <c r="I13" s="165" t="n">
        <v>60000</v>
      </c>
      <c r="J13" s="165" t="inlineStr">
        <is>
          <t>5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186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청주성화2다안채6단지</t>
        </is>
      </c>
      <c r="B15" s="16" t="inlineStr">
        <is>
          <t>'13.02.</t>
        </is>
      </c>
      <c r="C15" s="164" t="n">
        <v>533</v>
      </c>
      <c r="D15" s="161" t="n">
        <v>111</v>
      </c>
      <c r="E15" s="163" t="n">
        <v>34</v>
      </c>
      <c r="F15" s="161" t="n">
        <v>85</v>
      </c>
      <c r="G15" s="27" t="n">
        <v>26</v>
      </c>
      <c r="H15" s="164" t="n">
        <v>57</v>
      </c>
      <c r="I15" s="165" t="n">
        <v>35000</v>
      </c>
      <c r="J15" s="165" t="inlineStr">
        <is>
          <t>고</t>
        </is>
      </c>
      <c r="K15" s="165" t="n">
        <v>28000</v>
      </c>
      <c r="L15" s="165" t="inlineStr">
        <is>
          <t>13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110G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청주성화2다안채6단지</t>
        </is>
      </c>
      <c r="B16" s="16" t="inlineStr">
        <is>
          <t>'13.02.</t>
        </is>
      </c>
      <c r="C16" s="164" t="n">
        <v>533</v>
      </c>
      <c r="D16" s="161" t="n">
        <v>111.4</v>
      </c>
      <c r="E16" s="163" t="n">
        <v>34</v>
      </c>
      <c r="F16" s="161" t="n">
        <v>85</v>
      </c>
      <c r="G16" s="27" t="n">
        <v>26</v>
      </c>
      <c r="H16" s="164" t="n">
        <v>161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111D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청주성화2다안채6단지</t>
        </is>
      </c>
      <c r="B17" s="16" t="inlineStr">
        <is>
          <t>'13.02.</t>
        </is>
      </c>
      <c r="C17" s="164" t="n">
        <v>533</v>
      </c>
      <c r="D17" s="161" t="n">
        <v>111.3</v>
      </c>
      <c r="E17" s="163" t="n">
        <v>34</v>
      </c>
      <c r="F17" s="161" t="n">
        <v>85</v>
      </c>
      <c r="G17" s="27" t="n">
        <v>26</v>
      </c>
      <c r="H17" s="164" t="n">
        <v>97</v>
      </c>
      <c r="I17" s="165" t="n">
        <v>32000</v>
      </c>
      <c r="J17" s="165" t="inlineStr">
        <is>
          <t>13</t>
        </is>
      </c>
      <c r="K17" s="165" t="n">
        <v>27600</v>
      </c>
      <c r="L17" s="165" t="inlineStr">
        <is>
          <t>8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111F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청주성화2다안채6단지</t>
        </is>
      </c>
      <c r="B18" s="16" t="inlineStr">
        <is>
          <t>'13.02.</t>
        </is>
      </c>
      <c r="C18" s="164" t="n">
        <v>533</v>
      </c>
      <c r="D18" s="161" t="n">
        <v>111.6</v>
      </c>
      <c r="E18" s="163" t="n">
        <v>34</v>
      </c>
      <c r="F18" s="161" t="n">
        <v>85</v>
      </c>
      <c r="G18" s="27" t="n">
        <v>26</v>
      </c>
      <c r="H18" s="164" t="n">
        <v>51</v>
      </c>
      <c r="I18" s="165" t="n">
        <v>37000</v>
      </c>
      <c r="J18" s="165" t="inlineStr">
        <is>
          <t>14</t>
        </is>
      </c>
      <c r="K18" s="165" t="n">
        <v>28000</v>
      </c>
      <c r="L18" s="165" t="inlineStr">
        <is>
          <t>고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111A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청주성화2다안채6단지</t>
        </is>
      </c>
      <c r="B19" s="16" t="inlineStr">
        <is>
          <t>'13.02.</t>
        </is>
      </c>
      <c r="C19" s="164" t="n">
        <v>533</v>
      </c>
      <c r="D19" s="161" t="n">
        <v>111.1</v>
      </c>
      <c r="E19" s="163" t="n">
        <v>34</v>
      </c>
      <c r="F19" s="161" t="n">
        <v>84.90000000000001</v>
      </c>
      <c r="G19" s="27" t="n">
        <v>26</v>
      </c>
      <c r="H19" s="164" t="n">
        <v>42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111B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청주성화2다안채6단지</t>
        </is>
      </c>
      <c r="B20" s="16" t="inlineStr">
        <is>
          <t>'13.02.</t>
        </is>
      </c>
      <c r="C20" s="164" t="n">
        <v>533</v>
      </c>
      <c r="D20" s="161" t="n">
        <v>111.6</v>
      </c>
      <c r="E20" s="163" t="n">
        <v>34</v>
      </c>
      <c r="F20" s="161" t="n">
        <v>85</v>
      </c>
      <c r="G20" s="27" t="n">
        <v>26</v>
      </c>
      <c r="H20" s="164" t="n">
        <v>15</v>
      </c>
      <c r="I20" s="165" t="n">
        <v>37000</v>
      </c>
      <c r="J20" s="165" t="inlineStr">
        <is>
          <t>14</t>
        </is>
      </c>
      <c r="K20" s="165" t="n">
        <v>28000</v>
      </c>
      <c r="L20" s="165" t="inlineStr">
        <is>
          <t>고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111C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청주성화2다안채6단지</t>
        </is>
      </c>
      <c r="B21" s="16" t="inlineStr">
        <is>
          <t>'13.02.</t>
        </is>
      </c>
      <c r="C21" s="164" t="n">
        <v>533</v>
      </c>
      <c r="D21" s="161" t="n">
        <v>111.4</v>
      </c>
      <c r="E21" s="163" t="n">
        <v>34</v>
      </c>
      <c r="F21" s="161" t="n">
        <v>85</v>
      </c>
      <c r="G21" s="27" t="n">
        <v>26</v>
      </c>
      <c r="H21" s="164" t="n">
        <v>1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111N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청주성화2다안채6단지</t>
        </is>
      </c>
      <c r="B22" s="16" t="inlineStr">
        <is>
          <t>'13.02.</t>
        </is>
      </c>
      <c r="C22" s="164" t="n">
        <v>533</v>
      </c>
      <c r="D22" s="161" t="n">
        <v>112.2</v>
      </c>
      <c r="E22" s="163" t="n">
        <v>34</v>
      </c>
      <c r="F22" s="161" t="n">
        <v>84.90000000000001</v>
      </c>
      <c r="G22" s="27" t="n">
        <v>26</v>
      </c>
      <c r="H22" s="164" t="n">
        <v>102</v>
      </c>
      <c r="I22" s="165" t="n">
        <v>38000</v>
      </c>
      <c r="J22" s="165" t="inlineStr">
        <is>
          <t>13</t>
        </is>
      </c>
      <c r="K22" s="165" t="n">
        <v>28000</v>
      </c>
      <c r="L22" s="165" t="inlineStr">
        <is>
          <t>9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112E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청주성화2다안채6단지</t>
        </is>
      </c>
      <c r="B23" s="16" t="inlineStr">
        <is>
          <t>'13.02.</t>
        </is>
      </c>
      <c r="C23" s="164" t="n">
        <v>533</v>
      </c>
      <c r="D23" s="161" t="n">
        <v>114.3</v>
      </c>
      <c r="E23" s="163" t="n">
        <v>35</v>
      </c>
      <c r="F23" s="161" t="n">
        <v>85</v>
      </c>
      <c r="G23" s="27" t="n">
        <v>26</v>
      </c>
      <c r="H23" s="164" t="n">
        <v>7</v>
      </c>
      <c r="I23" s="165" t="n">
        <v>68000</v>
      </c>
      <c r="J23" s="165" t="inlineStr">
        <is>
          <t>15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114H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성화호반베르디움</t>
        </is>
      </c>
      <c r="B25" s="16" t="inlineStr">
        <is>
          <t>'12.06.</t>
        </is>
      </c>
      <c r="C25" s="164" t="n">
        <v>840</v>
      </c>
      <c r="D25" s="161" t="n">
        <v>110</v>
      </c>
      <c r="E25" s="163" t="n">
        <v>33</v>
      </c>
      <c r="F25" s="161" t="n">
        <v>84.90000000000001</v>
      </c>
      <c r="G25" s="27" t="n">
        <v>26</v>
      </c>
      <c r="H25" s="164" t="n">
        <v>646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110A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성화호반베르디움</t>
        </is>
      </c>
      <c r="B26" s="16" t="inlineStr">
        <is>
          <t>'12.06.</t>
        </is>
      </c>
      <c r="C26" s="164" t="n">
        <v>840</v>
      </c>
      <c r="D26" s="161" t="n">
        <v>110.1</v>
      </c>
      <c r="E26" s="163" t="n">
        <v>33</v>
      </c>
      <c r="F26" s="161" t="n">
        <v>84.90000000000001</v>
      </c>
      <c r="G26" s="27" t="n">
        <v>26</v>
      </c>
      <c r="H26" s="164" t="n">
        <v>1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110A1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성화호반베르디움</t>
        </is>
      </c>
      <c r="B27" s="16" t="inlineStr">
        <is>
          <t>'12.06.</t>
        </is>
      </c>
      <c r="C27" s="164" t="n">
        <v>840</v>
      </c>
      <c r="D27" s="161" t="n">
        <v>112.1</v>
      </c>
      <c r="E27" s="163" t="n">
        <v>34</v>
      </c>
      <c r="F27" s="161" t="n">
        <v>85</v>
      </c>
      <c r="G27" s="27" t="n">
        <v>26</v>
      </c>
      <c r="H27" s="164" t="n">
        <v>193</v>
      </c>
      <c r="I27" s="165" t="n">
        <v>37000</v>
      </c>
      <c r="J27" s="165" t="inlineStr">
        <is>
          <t>19</t>
        </is>
      </c>
      <c r="K27" s="165" t="n">
        <v>30000</v>
      </c>
      <c r="L27" s="165" t="inlineStr">
        <is>
          <t>7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112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77" dxfId="17">
      <formula>AV4="X"</formula>
    </cfRule>
    <cfRule type="expression" priority="378" dxfId="16">
      <formula>AV4="후보"</formula>
    </cfRule>
  </conditionalFormatting>
  <conditionalFormatting sqref="AC1:AC2 AC4:AC6 N4:N5">
    <cfRule type="cellIs" priority="374" operator="greaterThan" dxfId="13">
      <formula>0.9</formula>
    </cfRule>
    <cfRule type="cellIs" priority="375" operator="greaterThan" dxfId="12">
      <formula>0.85</formula>
    </cfRule>
  </conditionalFormatting>
  <conditionalFormatting sqref="N1:N2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6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6">
    <cfRule type="expression" priority="366" dxfId="3">
      <formula>AND(IF(OR($Q6=1,$Q6=2),1,0),IF($X6&lt;=20,1,0))</formula>
    </cfRule>
    <cfRule type="expression" priority="367" dxfId="2">
      <formula>AND(IF($Q6=2,1,0),IF($X6&lt;30,1,0))</formula>
    </cfRule>
    <cfRule type="expression" priority="368" dxfId="1">
      <formula>AND(IF($Q6=3,1,0),IF($X6&lt;30,1,0))</formula>
    </cfRule>
    <cfRule type="expression" priority="369" dxfId="0">
      <formula>AND(IF($Q6=3,1,IF($Q6=4,1,0)),IF($F6&lt;=85,1,0))</formula>
    </cfRule>
  </conditionalFormatting>
  <conditionalFormatting sqref="X6">
    <cfRule type="expression" priority="362" dxfId="3">
      <formula>AND(IF(OR($Q6=1,$Q6=2),1,0),IF($X6&lt;=20,1,0))</formula>
    </cfRule>
    <cfRule type="expression" priority="363" dxfId="2">
      <formula>AND(IF($Q6=2,1,0),IF($X6&lt;30,1,0))</formula>
    </cfRule>
    <cfRule type="expression" priority="364" dxfId="1">
      <formula>AND(IF($Q6=3,1,0),IF($X6&lt;30,1,0))</formula>
    </cfRule>
    <cfRule type="expression" priority="365" dxfId="0">
      <formula>AND(IF($Q6=3,1,IF($Q6=4,1,0)),IF($F6&lt;=85,1,0))</formula>
    </cfRule>
  </conditionalFormatting>
  <conditionalFormatting sqref="AI6">
    <cfRule type="expression" priority="358" dxfId="3">
      <formula>AND(IF(OR($Q6=1,$Q6=2),1,0),IF($X6&lt;=20,1,0))</formula>
    </cfRule>
    <cfRule type="expression" priority="359" dxfId="2">
      <formula>AND(IF($Q6=2,1,0),IF($X6&lt;30,1,0))</formula>
    </cfRule>
    <cfRule type="expression" priority="360" dxfId="1">
      <formula>AND(IF($Q6=3,1,0),IF($X6&lt;30,1,0))</formula>
    </cfRule>
    <cfRule type="expression" priority="361" dxfId="0">
      <formula>AND(IF($Q6=3,1,IF($Q6=4,1,0)),IF($F6&lt;=85,1,0))</formula>
    </cfRule>
  </conditionalFormatting>
  <conditionalFormatting sqref="AV7">
    <cfRule type="expression" priority="356" dxfId="17">
      <formula>AV7="X"</formula>
    </cfRule>
    <cfRule type="expression" priority="357" dxfId="16">
      <formula>AV7="후보"</formula>
    </cfRule>
  </conditionalFormatting>
  <conditionalFormatting sqref="AC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7">
    <cfRule type="expression" priority="347" dxfId="3">
      <formula>AND(IF(OR($Q7=1,$Q7=2),1,0),IF($X7&lt;=20,1,0))</formula>
    </cfRule>
    <cfRule type="expression" priority="348" dxfId="2">
      <formula>AND(IF($Q7=2,1,0),IF($X7&lt;30,1,0))</formula>
    </cfRule>
    <cfRule type="expression" priority="349" dxfId="1">
      <formula>AND(IF($Q7=3,1,0),IF($X7&lt;30,1,0))</formula>
    </cfRule>
    <cfRule type="expression" priority="350" dxfId="0">
      <formula>AND(IF($Q7=3,1,IF($Q7=4,1,0)),IF($F7&lt;=85,1,0))</formula>
    </cfRule>
  </conditionalFormatting>
  <conditionalFormatting sqref="X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AI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V8">
    <cfRule type="expression" priority="337" dxfId="17">
      <formula>AV8="X"</formula>
    </cfRule>
    <cfRule type="expression" priority="338" dxfId="16">
      <formula>AV8="후보"</formula>
    </cfRule>
  </conditionalFormatting>
  <conditionalFormatting sqref="AC8 N8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9">
    <cfRule type="expression" priority="332" dxfId="17">
      <formula>AV9="X"</formula>
    </cfRule>
    <cfRule type="expression" priority="333" dxfId="16">
      <formula>AV9="후보"</formula>
    </cfRule>
  </conditionalFormatting>
  <conditionalFormatting sqref="AC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9">
    <cfRule type="expression" priority="323" dxfId="3">
      <formula>AND(IF(OR($Q9=1,$Q9=2),1,0),IF($X9&lt;=20,1,0))</formula>
    </cfRule>
    <cfRule type="expression" priority="324" dxfId="2">
      <formula>AND(IF($Q9=2,1,0),IF($X9&lt;30,1,0))</formula>
    </cfRule>
    <cfRule type="expression" priority="325" dxfId="1">
      <formula>AND(IF($Q9=3,1,0),IF($X9&lt;30,1,0))</formula>
    </cfRule>
    <cfRule type="expression" priority="326" dxfId="0">
      <formula>AND(IF($Q9=3,1,IF($Q9=4,1,0)),IF($F9&lt;=85,1,0))</formula>
    </cfRule>
  </conditionalFormatting>
  <conditionalFormatting sqref="X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AI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V10">
    <cfRule type="expression" priority="313" dxfId="17">
      <formula>AV10="X"</formula>
    </cfRule>
    <cfRule type="expression" priority="314" dxfId="16">
      <formula>AV10="후보"</formula>
    </cfRule>
  </conditionalFormatting>
  <conditionalFormatting sqref="AC1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0">
    <cfRule type="expression" priority="304" dxfId="3">
      <formula>AND(IF(OR($Q10=1,$Q10=2),1,0),IF($X10&lt;=20,1,0))</formula>
    </cfRule>
    <cfRule type="expression" priority="305" dxfId="2">
      <formula>AND(IF($Q10=2,1,0),IF($X10&lt;30,1,0))</formula>
    </cfRule>
    <cfRule type="expression" priority="306" dxfId="1">
      <formula>AND(IF($Q10=3,1,0),IF($X10&lt;30,1,0))</formula>
    </cfRule>
    <cfRule type="expression" priority="307" dxfId="0">
      <formula>AND(IF($Q10=3,1,IF($Q10=4,1,0)),IF($F10&lt;=85,1,0))</formula>
    </cfRule>
  </conditionalFormatting>
  <conditionalFormatting sqref="X10">
    <cfRule type="expression" priority="300" dxfId="3">
      <formula>AND(IF(OR($Q10=1,$Q10=2),1,0),IF($X10&lt;=20,1,0))</formula>
    </cfRule>
    <cfRule type="expression" priority="301" dxfId="2">
      <formula>AND(IF($Q10=2,1,0),IF($X10&lt;30,1,0))</formula>
    </cfRule>
    <cfRule type="expression" priority="302" dxfId="1">
      <formula>AND(IF($Q10=3,1,0),IF($X10&lt;30,1,0))</formula>
    </cfRule>
    <cfRule type="expression" priority="303" dxfId="0">
      <formula>AND(IF($Q10=3,1,IF($Q10=4,1,0)),IF($F10&lt;=85,1,0))</formula>
    </cfRule>
  </conditionalFormatting>
  <conditionalFormatting sqref="AI10">
    <cfRule type="expression" priority="296" dxfId="3">
      <formula>AND(IF(OR($Q10=1,$Q10=2),1,0),IF($X10&lt;=20,1,0))</formula>
    </cfRule>
    <cfRule type="expression" priority="297" dxfId="2">
      <formula>AND(IF($Q10=2,1,0),IF($X10&lt;30,1,0))</formula>
    </cfRule>
    <cfRule type="expression" priority="298" dxfId="1">
      <formula>AND(IF($Q10=3,1,0),IF($X10&lt;30,1,0))</formula>
    </cfRule>
    <cfRule type="expression" priority="299" dxfId="0">
      <formula>AND(IF($Q10=3,1,IF($Q10=4,1,0)),IF($F10&lt;=85,1,0))</formula>
    </cfRule>
  </conditionalFormatting>
  <conditionalFormatting sqref="AV11">
    <cfRule type="expression" priority="294" dxfId="17">
      <formula>AV11="X"</formula>
    </cfRule>
    <cfRule type="expression" priority="295" dxfId="16">
      <formula>AV11="후보"</formula>
    </cfRule>
  </conditionalFormatting>
  <conditionalFormatting sqref="AC1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1">
    <cfRule type="expression" priority="285" dxfId="3">
      <formula>AND(IF(OR($Q11=1,$Q11=2),1,0),IF($X11&lt;=20,1,0))</formula>
    </cfRule>
    <cfRule type="expression" priority="286" dxfId="2">
      <formula>AND(IF($Q11=2,1,0),IF($X11&lt;30,1,0))</formula>
    </cfRule>
    <cfRule type="expression" priority="287" dxfId="1">
      <formula>AND(IF($Q11=3,1,0),IF($X11&lt;30,1,0))</formula>
    </cfRule>
    <cfRule type="expression" priority="288" dxfId="0">
      <formula>AND(IF($Q11=3,1,IF($Q11=4,1,0)),IF($F11&lt;=85,1,0))</formula>
    </cfRule>
  </conditionalFormatting>
  <conditionalFormatting sqref="X11">
    <cfRule type="expression" priority="281" dxfId="3">
      <formula>AND(IF(OR($Q11=1,$Q11=2),1,0),IF($X11&lt;=20,1,0))</formula>
    </cfRule>
    <cfRule type="expression" priority="282" dxfId="2">
      <formula>AND(IF($Q11=2,1,0),IF($X11&lt;30,1,0))</formula>
    </cfRule>
    <cfRule type="expression" priority="283" dxfId="1">
      <formula>AND(IF($Q11=3,1,0),IF($X11&lt;30,1,0))</formula>
    </cfRule>
    <cfRule type="expression" priority="284" dxfId="0">
      <formula>AND(IF($Q11=3,1,IF($Q11=4,1,0)),IF($F11&lt;=85,1,0))</formula>
    </cfRule>
  </conditionalFormatting>
  <conditionalFormatting sqref="AI11">
    <cfRule type="expression" priority="277" dxfId="3">
      <formula>AND(IF(OR($Q11=1,$Q11=2),1,0),IF($X11&lt;=20,1,0))</formula>
    </cfRule>
    <cfRule type="expression" priority="278" dxfId="2">
      <formula>AND(IF($Q11=2,1,0),IF($X11&lt;30,1,0))</formula>
    </cfRule>
    <cfRule type="expression" priority="279" dxfId="1">
      <formula>AND(IF($Q11=3,1,0),IF($X11&lt;30,1,0))</formula>
    </cfRule>
    <cfRule type="expression" priority="280" dxfId="0">
      <formula>AND(IF($Q11=3,1,IF($Q11=4,1,0)),IF($F11&lt;=85,1,0))</formula>
    </cfRule>
  </conditionalFormatting>
  <conditionalFormatting sqref="AV12">
    <cfRule type="expression" priority="275" dxfId="17">
      <formula>AV12="X"</formula>
    </cfRule>
    <cfRule type="expression" priority="276" dxfId="16">
      <formula>AV12="후보"</formula>
    </cfRule>
  </conditionalFormatting>
  <conditionalFormatting sqref="AC1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2">
    <cfRule type="expression" priority="266" dxfId="3">
      <formula>AND(IF(OR($Q12=1,$Q12=2),1,0),IF($X12&lt;=20,1,0))</formula>
    </cfRule>
    <cfRule type="expression" priority="267" dxfId="2">
      <formula>AND(IF($Q12=2,1,0),IF($X12&lt;30,1,0))</formula>
    </cfRule>
    <cfRule type="expression" priority="268" dxfId="1">
      <formula>AND(IF($Q12=3,1,0),IF($X12&lt;30,1,0))</formula>
    </cfRule>
    <cfRule type="expression" priority="269" dxfId="0">
      <formula>AND(IF($Q12=3,1,IF($Q12=4,1,0)),IF($F12&lt;=85,1,0))</formula>
    </cfRule>
  </conditionalFormatting>
  <conditionalFormatting sqref="X12">
    <cfRule type="expression" priority="262" dxfId="3">
      <formula>AND(IF(OR($Q12=1,$Q12=2),1,0),IF($X12&lt;=20,1,0))</formula>
    </cfRule>
    <cfRule type="expression" priority="263" dxfId="2">
      <formula>AND(IF($Q12=2,1,0),IF($X12&lt;30,1,0))</formula>
    </cfRule>
    <cfRule type="expression" priority="264" dxfId="1">
      <formula>AND(IF($Q12=3,1,0),IF($X12&lt;30,1,0))</formula>
    </cfRule>
    <cfRule type="expression" priority="265" dxfId="0">
      <formula>AND(IF($Q12=3,1,IF($Q12=4,1,0)),IF($F12&lt;=85,1,0))</formula>
    </cfRule>
  </conditionalFormatting>
  <conditionalFormatting sqref="AI12">
    <cfRule type="expression" priority="258" dxfId="3">
      <formula>AND(IF(OR($Q12=1,$Q12=2),1,0),IF($X12&lt;=20,1,0))</formula>
    </cfRule>
    <cfRule type="expression" priority="259" dxfId="2">
      <formula>AND(IF($Q12=2,1,0),IF($X12&lt;30,1,0))</formula>
    </cfRule>
    <cfRule type="expression" priority="260" dxfId="1">
      <formula>AND(IF($Q12=3,1,0),IF($X12&lt;30,1,0))</formula>
    </cfRule>
    <cfRule type="expression" priority="261" dxfId="0">
      <formula>AND(IF($Q12=3,1,IF($Q12=4,1,0)),IF($F12&lt;=85,1,0))</formula>
    </cfRule>
  </conditionalFormatting>
  <conditionalFormatting sqref="AV13">
    <cfRule type="expression" priority="256" dxfId="17">
      <formula>AV13="X"</formula>
    </cfRule>
    <cfRule type="expression" priority="257" dxfId="16">
      <formula>AV13="후보"</formula>
    </cfRule>
  </conditionalFormatting>
  <conditionalFormatting sqref="AC1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3">
    <cfRule type="expression" priority="247" dxfId="3">
      <formula>AND(IF(OR($Q13=1,$Q13=2),1,0),IF($X13&lt;=20,1,0))</formula>
    </cfRule>
    <cfRule type="expression" priority="248" dxfId="2">
      <formula>AND(IF($Q13=2,1,0),IF($X13&lt;30,1,0))</formula>
    </cfRule>
    <cfRule type="expression" priority="249" dxfId="1">
      <formula>AND(IF($Q13=3,1,0),IF($X13&lt;30,1,0))</formula>
    </cfRule>
    <cfRule type="expression" priority="250" dxfId="0">
      <formula>AND(IF($Q13=3,1,IF($Q13=4,1,0)),IF($F13&lt;=85,1,0))</formula>
    </cfRule>
  </conditionalFormatting>
  <conditionalFormatting sqref="X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AI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V14">
    <cfRule type="expression" priority="237" dxfId="17">
      <formula>AV14="X"</formula>
    </cfRule>
    <cfRule type="expression" priority="238" dxfId="16">
      <formula>AV14="후보"</formula>
    </cfRule>
  </conditionalFormatting>
  <conditionalFormatting sqref="AC14 N1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15">
    <cfRule type="expression" priority="232" dxfId="17">
      <formula>AV15="X"</formula>
    </cfRule>
    <cfRule type="expression" priority="233" dxfId="16">
      <formula>AV15="후보"</formula>
    </cfRule>
  </conditionalFormatting>
  <conditionalFormatting sqref="AC1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5">
    <cfRule type="expression" priority="223" dxfId="3">
      <formula>AND(IF(OR($Q15=1,$Q15=2),1,0),IF($X15&lt;=20,1,0))</formula>
    </cfRule>
    <cfRule type="expression" priority="224" dxfId="2">
      <formula>AND(IF($Q15=2,1,0),IF($X15&lt;30,1,0))</formula>
    </cfRule>
    <cfRule type="expression" priority="225" dxfId="1">
      <formula>AND(IF($Q15=3,1,0),IF($X15&lt;30,1,0))</formula>
    </cfRule>
    <cfRule type="expression" priority="226" dxfId="0">
      <formula>AND(IF($Q15=3,1,IF($Q15=4,1,0)),IF($F15&lt;=85,1,0))</formula>
    </cfRule>
  </conditionalFormatting>
  <conditionalFormatting sqref="X15">
    <cfRule type="expression" priority="219" dxfId="3">
      <formula>AND(IF(OR($Q15=1,$Q15=2),1,0),IF($X15&lt;=20,1,0))</formula>
    </cfRule>
    <cfRule type="expression" priority="220" dxfId="2">
      <formula>AND(IF($Q15=2,1,0),IF($X15&lt;30,1,0))</formula>
    </cfRule>
    <cfRule type="expression" priority="221" dxfId="1">
      <formula>AND(IF($Q15=3,1,0),IF($X15&lt;30,1,0))</formula>
    </cfRule>
    <cfRule type="expression" priority="222" dxfId="0">
      <formula>AND(IF($Q15=3,1,IF($Q15=4,1,0)),IF($F15&lt;=85,1,0))</formula>
    </cfRule>
  </conditionalFormatting>
  <conditionalFormatting sqref="AI15">
    <cfRule type="expression" priority="215" dxfId="3">
      <formula>AND(IF(OR($Q15=1,$Q15=2),1,0),IF($X15&lt;=20,1,0))</formula>
    </cfRule>
    <cfRule type="expression" priority="216" dxfId="2">
      <formula>AND(IF($Q15=2,1,0),IF($X15&lt;30,1,0))</formula>
    </cfRule>
    <cfRule type="expression" priority="217" dxfId="1">
      <formula>AND(IF($Q15=3,1,0),IF($X15&lt;30,1,0))</formula>
    </cfRule>
    <cfRule type="expression" priority="218" dxfId="0">
      <formula>AND(IF($Q15=3,1,IF($Q15=4,1,0)),IF($F15&lt;=85,1,0))</formula>
    </cfRule>
  </conditionalFormatting>
  <conditionalFormatting sqref="AV16">
    <cfRule type="expression" priority="213" dxfId="17">
      <formula>AV16="X"</formula>
    </cfRule>
    <cfRule type="expression" priority="214" dxfId="16">
      <formula>AV16="후보"</formula>
    </cfRule>
  </conditionalFormatting>
  <conditionalFormatting sqref="AC1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6">
    <cfRule type="expression" priority="204" dxfId="3">
      <formula>AND(IF(OR($Q16=1,$Q16=2),1,0),IF($X16&lt;=20,1,0))</formula>
    </cfRule>
    <cfRule type="expression" priority="205" dxfId="2">
      <formula>AND(IF($Q16=2,1,0),IF($X16&lt;30,1,0))</formula>
    </cfRule>
    <cfRule type="expression" priority="206" dxfId="1">
      <formula>AND(IF($Q16=3,1,0),IF($X16&lt;30,1,0))</formula>
    </cfRule>
    <cfRule type="expression" priority="207" dxfId="0">
      <formula>AND(IF($Q16=3,1,IF($Q16=4,1,0)),IF($F16&lt;=85,1,0))</formula>
    </cfRule>
  </conditionalFormatting>
  <conditionalFormatting sqref="X16">
    <cfRule type="expression" priority="200" dxfId="3">
      <formula>AND(IF(OR($Q16=1,$Q16=2),1,0),IF($X16&lt;=20,1,0))</formula>
    </cfRule>
    <cfRule type="expression" priority="201" dxfId="2">
      <formula>AND(IF($Q16=2,1,0),IF($X16&lt;30,1,0))</formula>
    </cfRule>
    <cfRule type="expression" priority="202" dxfId="1">
      <formula>AND(IF($Q16=3,1,0),IF($X16&lt;30,1,0))</formula>
    </cfRule>
    <cfRule type="expression" priority="203" dxfId="0">
      <formula>AND(IF($Q16=3,1,IF($Q16=4,1,0)),IF($F16&lt;=85,1,0))</formula>
    </cfRule>
  </conditionalFormatting>
  <conditionalFormatting sqref="AI16">
    <cfRule type="expression" priority="196" dxfId="3">
      <formula>AND(IF(OR($Q16=1,$Q16=2),1,0),IF($X16&lt;=20,1,0))</formula>
    </cfRule>
    <cfRule type="expression" priority="197" dxfId="2">
      <formula>AND(IF($Q16=2,1,0),IF($X16&lt;30,1,0))</formula>
    </cfRule>
    <cfRule type="expression" priority="198" dxfId="1">
      <formula>AND(IF($Q16=3,1,0),IF($X16&lt;30,1,0))</formula>
    </cfRule>
    <cfRule type="expression" priority="199" dxfId="0">
      <formula>AND(IF($Q16=3,1,IF($Q16=4,1,0)),IF($F16&lt;=85,1,0))</formula>
    </cfRule>
  </conditionalFormatting>
  <conditionalFormatting sqref="AV17">
    <cfRule type="expression" priority="194" dxfId="17">
      <formula>AV17="X"</formula>
    </cfRule>
    <cfRule type="expression" priority="195" dxfId="16">
      <formula>AV17="후보"</formula>
    </cfRule>
  </conditionalFormatting>
  <conditionalFormatting sqref="AC1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7">
    <cfRule type="expression" priority="185" dxfId="3">
      <formula>AND(IF(OR($Q17=1,$Q17=2),1,0),IF($X17&lt;=20,1,0))</formula>
    </cfRule>
    <cfRule type="expression" priority="186" dxfId="2">
      <formula>AND(IF($Q17=2,1,0),IF($X17&lt;30,1,0))</formula>
    </cfRule>
    <cfRule type="expression" priority="187" dxfId="1">
      <formula>AND(IF($Q17=3,1,0),IF($X17&lt;30,1,0))</formula>
    </cfRule>
    <cfRule type="expression" priority="188" dxfId="0">
      <formula>AND(IF($Q17=3,1,IF($Q17=4,1,0)),IF($F17&lt;=85,1,0))</formula>
    </cfRule>
  </conditionalFormatting>
  <conditionalFormatting sqref="X17">
    <cfRule type="expression" priority="181" dxfId="3">
      <formula>AND(IF(OR($Q17=1,$Q17=2),1,0),IF($X17&lt;=20,1,0))</formula>
    </cfRule>
    <cfRule type="expression" priority="182" dxfId="2">
      <formula>AND(IF($Q17=2,1,0),IF($X17&lt;30,1,0))</formula>
    </cfRule>
    <cfRule type="expression" priority="183" dxfId="1">
      <formula>AND(IF($Q17=3,1,0),IF($X17&lt;30,1,0))</formula>
    </cfRule>
    <cfRule type="expression" priority="184" dxfId="0">
      <formula>AND(IF($Q17=3,1,IF($Q17=4,1,0)),IF($F17&lt;=85,1,0))</formula>
    </cfRule>
  </conditionalFormatting>
  <conditionalFormatting sqref="AI17">
    <cfRule type="expression" priority="177" dxfId="3">
      <formula>AND(IF(OR($Q17=1,$Q17=2),1,0),IF($X17&lt;=20,1,0))</formula>
    </cfRule>
    <cfRule type="expression" priority="178" dxfId="2">
      <formula>AND(IF($Q17=2,1,0),IF($X17&lt;30,1,0))</formula>
    </cfRule>
    <cfRule type="expression" priority="179" dxfId="1">
      <formula>AND(IF($Q17=3,1,0),IF($X17&lt;30,1,0))</formula>
    </cfRule>
    <cfRule type="expression" priority="180" dxfId="0">
      <formula>AND(IF($Q17=3,1,IF($Q17=4,1,0)),IF($F17&lt;=85,1,0))</formula>
    </cfRule>
  </conditionalFormatting>
  <conditionalFormatting sqref="AV18">
    <cfRule type="expression" priority="175" dxfId="17">
      <formula>AV18="X"</formula>
    </cfRule>
    <cfRule type="expression" priority="176" dxfId="16">
      <formula>AV18="후보"</formula>
    </cfRule>
  </conditionalFormatting>
  <conditionalFormatting sqref="AC1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8">
    <cfRule type="expression" priority="166" dxfId="3">
      <formula>AND(IF(OR($Q18=1,$Q18=2),1,0),IF($X18&lt;=20,1,0))</formula>
    </cfRule>
    <cfRule type="expression" priority="167" dxfId="2">
      <formula>AND(IF($Q18=2,1,0),IF($X18&lt;30,1,0))</formula>
    </cfRule>
    <cfRule type="expression" priority="168" dxfId="1">
      <formula>AND(IF($Q18=3,1,0),IF($X18&lt;30,1,0))</formula>
    </cfRule>
    <cfRule type="expression" priority="169" dxfId="0">
      <formula>AND(IF($Q18=3,1,IF($Q18=4,1,0)),IF($F18&lt;=85,1,0))</formula>
    </cfRule>
  </conditionalFormatting>
  <conditionalFormatting sqref="X18">
    <cfRule type="expression" priority="162" dxfId="3">
      <formula>AND(IF(OR($Q18=1,$Q18=2),1,0),IF($X18&lt;=20,1,0))</formula>
    </cfRule>
    <cfRule type="expression" priority="163" dxfId="2">
      <formula>AND(IF($Q18=2,1,0),IF($X18&lt;30,1,0))</formula>
    </cfRule>
    <cfRule type="expression" priority="164" dxfId="1">
      <formula>AND(IF($Q18=3,1,0),IF($X18&lt;30,1,0))</formula>
    </cfRule>
    <cfRule type="expression" priority="165" dxfId="0">
      <formula>AND(IF($Q18=3,1,IF($Q18=4,1,0)),IF($F18&lt;=85,1,0))</formula>
    </cfRule>
  </conditionalFormatting>
  <conditionalFormatting sqref="AI18">
    <cfRule type="expression" priority="158" dxfId="3">
      <formula>AND(IF(OR($Q18=1,$Q18=2),1,0),IF($X18&lt;=20,1,0))</formula>
    </cfRule>
    <cfRule type="expression" priority="159" dxfId="2">
      <formula>AND(IF($Q18=2,1,0),IF($X18&lt;30,1,0))</formula>
    </cfRule>
    <cfRule type="expression" priority="160" dxfId="1">
      <formula>AND(IF($Q18=3,1,0),IF($X18&lt;30,1,0))</formula>
    </cfRule>
    <cfRule type="expression" priority="161" dxfId="0">
      <formula>AND(IF($Q18=3,1,IF($Q18=4,1,0)),IF($F18&lt;=85,1,0))</formula>
    </cfRule>
  </conditionalFormatting>
  <conditionalFormatting sqref="AV19">
    <cfRule type="expression" priority="156" dxfId="17">
      <formula>AV19="X"</formula>
    </cfRule>
    <cfRule type="expression" priority="157" dxfId="16">
      <formula>AV19="후보"</formula>
    </cfRule>
  </conditionalFormatting>
  <conditionalFormatting sqref="AC1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9">
    <cfRule type="expression" priority="147" dxfId="3">
      <formula>AND(IF(OR($Q19=1,$Q19=2),1,0),IF($X19&lt;=20,1,0))</formula>
    </cfRule>
    <cfRule type="expression" priority="148" dxfId="2">
      <formula>AND(IF($Q19=2,1,0),IF($X19&lt;30,1,0))</formula>
    </cfRule>
    <cfRule type="expression" priority="149" dxfId="1">
      <formula>AND(IF($Q19=3,1,0),IF($X19&lt;30,1,0))</formula>
    </cfRule>
    <cfRule type="expression" priority="150" dxfId="0">
      <formula>AND(IF($Q19=3,1,IF($Q19=4,1,0)),IF($F19&lt;=85,1,0))</formula>
    </cfRule>
  </conditionalFormatting>
  <conditionalFormatting sqref="X19">
    <cfRule type="expression" priority="143" dxfId="3">
      <formula>AND(IF(OR($Q19=1,$Q19=2),1,0),IF($X19&lt;=20,1,0))</formula>
    </cfRule>
    <cfRule type="expression" priority="144" dxfId="2">
      <formula>AND(IF($Q19=2,1,0),IF($X19&lt;30,1,0))</formula>
    </cfRule>
    <cfRule type="expression" priority="145" dxfId="1">
      <formula>AND(IF($Q19=3,1,0),IF($X19&lt;30,1,0))</formula>
    </cfRule>
    <cfRule type="expression" priority="146" dxfId="0">
      <formula>AND(IF($Q19=3,1,IF($Q19=4,1,0)),IF($F19&lt;=85,1,0))</formula>
    </cfRule>
  </conditionalFormatting>
  <conditionalFormatting sqref="AI19">
    <cfRule type="expression" priority="139" dxfId="3">
      <formula>AND(IF(OR($Q19=1,$Q19=2),1,0),IF($X19&lt;=20,1,0))</formula>
    </cfRule>
    <cfRule type="expression" priority="140" dxfId="2">
      <formula>AND(IF($Q19=2,1,0),IF($X19&lt;30,1,0))</formula>
    </cfRule>
    <cfRule type="expression" priority="141" dxfId="1">
      <formula>AND(IF($Q19=3,1,0),IF($X19&lt;30,1,0))</formula>
    </cfRule>
    <cfRule type="expression" priority="142" dxfId="0">
      <formula>AND(IF($Q19=3,1,IF($Q19=4,1,0)),IF($F19&lt;=85,1,0))</formula>
    </cfRule>
  </conditionalFormatting>
  <conditionalFormatting sqref="AV20">
    <cfRule type="expression" priority="137" dxfId="17">
      <formula>AV20="X"</formula>
    </cfRule>
    <cfRule type="expression" priority="138" dxfId="16">
      <formula>AV20="후보"</formula>
    </cfRule>
  </conditionalFormatting>
  <conditionalFormatting sqref="AC2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0">
    <cfRule type="expression" priority="128" dxfId="3">
      <formula>AND(IF(OR($Q20=1,$Q20=2),1,0),IF($X20&lt;=20,1,0))</formula>
    </cfRule>
    <cfRule type="expression" priority="129" dxfId="2">
      <formula>AND(IF($Q20=2,1,0),IF($X20&lt;30,1,0))</formula>
    </cfRule>
    <cfRule type="expression" priority="130" dxfId="1">
      <formula>AND(IF($Q20=3,1,0),IF($X20&lt;30,1,0))</formula>
    </cfRule>
    <cfRule type="expression" priority="131" dxfId="0">
      <formula>AND(IF($Q20=3,1,IF($Q20=4,1,0)),IF($F20&lt;=85,1,0))</formula>
    </cfRule>
  </conditionalFormatting>
  <conditionalFormatting sqref="X20">
    <cfRule type="expression" priority="124" dxfId="3">
      <formula>AND(IF(OR($Q20=1,$Q20=2),1,0),IF($X20&lt;=20,1,0))</formula>
    </cfRule>
    <cfRule type="expression" priority="125" dxfId="2">
      <formula>AND(IF($Q20=2,1,0),IF($X20&lt;30,1,0))</formula>
    </cfRule>
    <cfRule type="expression" priority="126" dxfId="1">
      <formula>AND(IF($Q20=3,1,0),IF($X20&lt;30,1,0))</formula>
    </cfRule>
    <cfRule type="expression" priority="127" dxfId="0">
      <formula>AND(IF($Q20=3,1,IF($Q20=4,1,0)),IF($F20&lt;=85,1,0))</formula>
    </cfRule>
  </conditionalFormatting>
  <conditionalFormatting sqref="AI20">
    <cfRule type="expression" priority="120" dxfId="3">
      <formula>AND(IF(OR($Q20=1,$Q20=2),1,0),IF($X20&lt;=20,1,0))</formula>
    </cfRule>
    <cfRule type="expression" priority="121" dxfId="2">
      <formula>AND(IF($Q20=2,1,0),IF($X20&lt;30,1,0))</formula>
    </cfRule>
    <cfRule type="expression" priority="122" dxfId="1">
      <formula>AND(IF($Q20=3,1,0),IF($X20&lt;30,1,0))</formula>
    </cfRule>
    <cfRule type="expression" priority="123" dxfId="0">
      <formula>AND(IF($Q20=3,1,IF($Q20=4,1,0)),IF($F20&lt;=85,1,0))</formula>
    </cfRule>
  </conditionalFormatting>
  <conditionalFormatting sqref="AV21">
    <cfRule type="expression" priority="118" dxfId="17">
      <formula>AV21="X"</formula>
    </cfRule>
    <cfRule type="expression" priority="119" dxfId="16">
      <formula>AV21="후보"</formula>
    </cfRule>
  </conditionalFormatting>
  <conditionalFormatting sqref="AC2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1">
    <cfRule type="expression" priority="109" dxfId="3">
      <formula>AND(IF(OR($Q21=1,$Q21=2),1,0),IF($X21&lt;=20,1,0))</formula>
    </cfRule>
    <cfRule type="expression" priority="110" dxfId="2">
      <formula>AND(IF($Q21=2,1,0),IF($X21&lt;30,1,0))</formula>
    </cfRule>
    <cfRule type="expression" priority="111" dxfId="1">
      <formula>AND(IF($Q21=3,1,0),IF($X21&lt;30,1,0))</formula>
    </cfRule>
    <cfRule type="expression" priority="112" dxfId="0">
      <formula>AND(IF($Q21=3,1,IF($Q21=4,1,0)),IF($F21&lt;=85,1,0))</formula>
    </cfRule>
  </conditionalFormatting>
  <conditionalFormatting sqref="X21">
    <cfRule type="expression" priority="105" dxfId="3">
      <formula>AND(IF(OR($Q21=1,$Q21=2),1,0),IF($X21&lt;=20,1,0))</formula>
    </cfRule>
    <cfRule type="expression" priority="106" dxfId="2">
      <formula>AND(IF($Q21=2,1,0),IF($X21&lt;30,1,0))</formula>
    </cfRule>
    <cfRule type="expression" priority="107" dxfId="1">
      <formula>AND(IF($Q21=3,1,0),IF($X21&lt;30,1,0))</formula>
    </cfRule>
    <cfRule type="expression" priority="108" dxfId="0">
      <formula>AND(IF($Q21=3,1,IF($Q21=4,1,0)),IF($F21&lt;=85,1,0))</formula>
    </cfRule>
  </conditionalFormatting>
  <conditionalFormatting sqref="AI21">
    <cfRule type="expression" priority="101" dxfId="3">
      <formula>AND(IF(OR($Q21=1,$Q21=2),1,0),IF($X21&lt;=20,1,0))</formula>
    </cfRule>
    <cfRule type="expression" priority="102" dxfId="2">
      <formula>AND(IF($Q21=2,1,0),IF($X21&lt;30,1,0))</formula>
    </cfRule>
    <cfRule type="expression" priority="103" dxfId="1">
      <formula>AND(IF($Q21=3,1,0),IF($X21&lt;30,1,0))</formula>
    </cfRule>
    <cfRule type="expression" priority="104" dxfId="0">
      <formula>AND(IF($Q21=3,1,IF($Q21=4,1,0)),IF($F21&lt;=85,1,0))</formula>
    </cfRule>
  </conditionalFormatting>
  <conditionalFormatting sqref="AV22">
    <cfRule type="expression" priority="99" dxfId="17">
      <formula>AV22="X"</formula>
    </cfRule>
    <cfRule type="expression" priority="100" dxfId="16">
      <formula>AV22="후보"</formula>
    </cfRule>
  </conditionalFormatting>
  <conditionalFormatting sqref="AC2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2">
    <cfRule type="expression" priority="90" dxfId="3">
      <formula>AND(IF(OR($Q22=1,$Q22=2),1,0),IF($X22&lt;=20,1,0))</formula>
    </cfRule>
    <cfRule type="expression" priority="91" dxfId="2">
      <formula>AND(IF($Q22=2,1,0),IF($X22&lt;30,1,0))</formula>
    </cfRule>
    <cfRule type="expression" priority="92" dxfId="1">
      <formula>AND(IF($Q22=3,1,0),IF($X22&lt;30,1,0))</formula>
    </cfRule>
    <cfRule type="expression" priority="93" dxfId="0">
      <formula>AND(IF($Q22=3,1,IF($Q22=4,1,0)),IF($F22&lt;=85,1,0))</formula>
    </cfRule>
  </conditionalFormatting>
  <conditionalFormatting sqref="X22">
    <cfRule type="expression" priority="86" dxfId="3">
      <formula>AND(IF(OR($Q22=1,$Q22=2),1,0),IF($X22&lt;=20,1,0))</formula>
    </cfRule>
    <cfRule type="expression" priority="87" dxfId="2">
      <formula>AND(IF($Q22=2,1,0),IF($X22&lt;30,1,0))</formula>
    </cfRule>
    <cfRule type="expression" priority="88" dxfId="1">
      <formula>AND(IF($Q22=3,1,0),IF($X22&lt;30,1,0))</formula>
    </cfRule>
    <cfRule type="expression" priority="89" dxfId="0">
      <formula>AND(IF($Q22=3,1,IF($Q22=4,1,0)),IF($F22&lt;=85,1,0))</formula>
    </cfRule>
  </conditionalFormatting>
  <conditionalFormatting sqref="AI22">
    <cfRule type="expression" priority="82" dxfId="3">
      <formula>AND(IF(OR($Q22=1,$Q22=2),1,0),IF($X22&lt;=20,1,0))</formula>
    </cfRule>
    <cfRule type="expression" priority="83" dxfId="2">
      <formula>AND(IF($Q22=2,1,0),IF($X22&lt;30,1,0))</formula>
    </cfRule>
    <cfRule type="expression" priority="84" dxfId="1">
      <formula>AND(IF($Q22=3,1,0),IF($X22&lt;30,1,0))</formula>
    </cfRule>
    <cfRule type="expression" priority="85" dxfId="0">
      <formula>AND(IF($Q22=3,1,IF($Q22=4,1,0)),IF($F22&lt;=85,1,0))</formula>
    </cfRule>
  </conditionalFormatting>
  <conditionalFormatting sqref="AV23">
    <cfRule type="expression" priority="80" dxfId="17">
      <formula>AV23="X"</formula>
    </cfRule>
    <cfRule type="expression" priority="81" dxfId="16">
      <formula>AV23="후보"</formula>
    </cfRule>
  </conditionalFormatting>
  <conditionalFormatting sqref="AC2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3">
    <cfRule type="expression" priority="71" dxfId="3">
      <formula>AND(IF(OR($Q23=1,$Q23=2),1,0),IF($X23&lt;=20,1,0))</formula>
    </cfRule>
    <cfRule type="expression" priority="72" dxfId="2">
      <formula>AND(IF($Q23=2,1,0),IF($X23&lt;30,1,0))</formula>
    </cfRule>
    <cfRule type="expression" priority="73" dxfId="1">
      <formula>AND(IF($Q23=3,1,0),IF($X23&lt;30,1,0))</formula>
    </cfRule>
    <cfRule type="expression" priority="74" dxfId="0">
      <formula>AND(IF($Q23=3,1,IF($Q23=4,1,0)),IF($F23&lt;=85,1,0))</formula>
    </cfRule>
  </conditionalFormatting>
  <conditionalFormatting sqref="X23">
    <cfRule type="expression" priority="67" dxfId="3">
      <formula>AND(IF(OR($Q23=1,$Q23=2),1,0),IF($X23&lt;=20,1,0))</formula>
    </cfRule>
    <cfRule type="expression" priority="68" dxfId="2">
      <formula>AND(IF($Q23=2,1,0),IF($X23&lt;30,1,0))</formula>
    </cfRule>
    <cfRule type="expression" priority="69" dxfId="1">
      <formula>AND(IF($Q23=3,1,0),IF($X23&lt;30,1,0))</formula>
    </cfRule>
    <cfRule type="expression" priority="70" dxfId="0">
      <formula>AND(IF($Q23=3,1,IF($Q23=4,1,0)),IF($F23&lt;=85,1,0))</formula>
    </cfRule>
  </conditionalFormatting>
  <conditionalFormatting sqref="AI23">
    <cfRule type="expression" priority="63" dxfId="3">
      <formula>AND(IF(OR($Q23=1,$Q23=2),1,0),IF($X23&lt;=20,1,0))</formula>
    </cfRule>
    <cfRule type="expression" priority="64" dxfId="2">
      <formula>AND(IF($Q23=2,1,0),IF($X23&lt;30,1,0))</formula>
    </cfRule>
    <cfRule type="expression" priority="65" dxfId="1">
      <formula>AND(IF($Q23=3,1,0),IF($X23&lt;30,1,0))</formula>
    </cfRule>
    <cfRule type="expression" priority="66" dxfId="0">
      <formula>AND(IF($Q23=3,1,IF($Q23=4,1,0)),IF($F23&lt;=85,1,0))</formula>
    </cfRule>
  </conditionalFormatting>
  <conditionalFormatting sqref="AV24">
    <cfRule type="expression" priority="61" dxfId="17">
      <formula>AV24="X"</formula>
    </cfRule>
    <cfRule type="expression" priority="62" dxfId="16">
      <formula>AV24="후보"</formula>
    </cfRule>
  </conditionalFormatting>
  <conditionalFormatting sqref="AC24 N2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5">
    <cfRule type="expression" priority="56" dxfId="17">
      <formula>AV25="X"</formula>
    </cfRule>
    <cfRule type="expression" priority="57" dxfId="16">
      <formula>AV25="후보"</formula>
    </cfRule>
  </conditionalFormatting>
  <conditionalFormatting sqref="AC2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5">
    <cfRule type="expression" priority="47" dxfId="3">
      <formula>AND(IF(OR($Q25=1,$Q25=2),1,0),IF($X25&lt;=20,1,0))</formula>
    </cfRule>
    <cfRule type="expression" priority="48" dxfId="2">
      <formula>AND(IF($Q25=2,1,0),IF($X25&lt;30,1,0))</formula>
    </cfRule>
    <cfRule type="expression" priority="49" dxfId="1">
      <formula>AND(IF($Q25=3,1,0),IF($X25&lt;30,1,0))</formula>
    </cfRule>
    <cfRule type="expression" priority="50" dxfId="0">
      <formula>AND(IF($Q25=3,1,IF($Q25=4,1,0)),IF($F25&lt;=85,1,0))</formula>
    </cfRule>
  </conditionalFormatting>
  <conditionalFormatting sqref="X25">
    <cfRule type="expression" priority="43" dxfId="3">
      <formula>AND(IF(OR($Q25=1,$Q25=2),1,0),IF($X25&lt;=20,1,0))</formula>
    </cfRule>
    <cfRule type="expression" priority="44" dxfId="2">
      <formula>AND(IF($Q25=2,1,0),IF($X25&lt;30,1,0))</formula>
    </cfRule>
    <cfRule type="expression" priority="45" dxfId="1">
      <formula>AND(IF($Q25=3,1,0),IF($X25&lt;30,1,0))</formula>
    </cfRule>
    <cfRule type="expression" priority="46" dxfId="0">
      <formula>AND(IF($Q25=3,1,IF($Q25=4,1,0)),IF($F25&lt;=85,1,0))</formula>
    </cfRule>
  </conditionalFormatting>
  <conditionalFormatting sqref="AI25">
    <cfRule type="expression" priority="39" dxfId="3">
      <formula>AND(IF(OR($Q25=1,$Q25=2),1,0),IF($X25&lt;=20,1,0))</formula>
    </cfRule>
    <cfRule type="expression" priority="40" dxfId="2">
      <formula>AND(IF($Q25=2,1,0),IF($X25&lt;30,1,0))</formula>
    </cfRule>
    <cfRule type="expression" priority="41" dxfId="1">
      <formula>AND(IF($Q25=3,1,0),IF($X25&lt;30,1,0))</formula>
    </cfRule>
    <cfRule type="expression" priority="42" dxfId="0">
      <formula>AND(IF($Q25=3,1,IF($Q25=4,1,0)),IF($F25&lt;=85,1,0))</formula>
    </cfRule>
  </conditionalFormatting>
  <conditionalFormatting sqref="AV26">
    <cfRule type="expression" priority="37" dxfId="17">
      <formula>AV26="X"</formula>
    </cfRule>
    <cfRule type="expression" priority="38" dxfId="16">
      <formula>AV26="후보"</formula>
    </cfRule>
  </conditionalFormatting>
  <conditionalFormatting sqref="AC2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17">
      <formula>AV27="X"</formula>
    </cfRule>
    <cfRule type="expression" priority="19" dxfId="16">
      <formula>AV27="후보"</formula>
    </cfRule>
  </conditionalFormatting>
  <conditionalFormatting sqref="AC2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3" sqref="A53:XFD5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수곡동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더샵청주퍼스트파크</t>
        </is>
      </c>
      <c r="B6" s="16" t="inlineStr">
        <is>
          <t>'21.03.</t>
        </is>
      </c>
      <c r="C6" s="164" t="n">
        <v>1112</v>
      </c>
      <c r="D6" s="161" t="n">
        <v>83.5</v>
      </c>
      <c r="E6" s="163" t="n">
        <v>25</v>
      </c>
      <c r="F6" s="161" t="n">
        <v>63.9</v>
      </c>
      <c r="G6" s="27" t="n">
        <v>19</v>
      </c>
      <c r="H6" s="164" t="n">
        <v>216</v>
      </c>
      <c r="I6" s="165" t="n">
        <v>35000</v>
      </c>
      <c r="J6" s="165" t="inlineStr">
        <is>
          <t>5</t>
        </is>
      </c>
      <c r="K6" s="165" t="n">
        <v>25000</v>
      </c>
      <c r="L6" s="165" t="inlineStr">
        <is>
          <t>15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더샵청주퍼스트파크</t>
        </is>
      </c>
      <c r="B7" s="16" t="inlineStr">
        <is>
          <t>'21.03.</t>
        </is>
      </c>
      <c r="C7" s="164" t="n">
        <v>1112</v>
      </c>
      <c r="D7" s="161" t="n">
        <v>100.8</v>
      </c>
      <c r="E7" s="163" t="n">
        <v>30</v>
      </c>
      <c r="F7" s="161" t="n">
        <v>77</v>
      </c>
      <c r="G7" s="27" t="n">
        <v>23</v>
      </c>
      <c r="H7" s="164" t="n">
        <v>146</v>
      </c>
      <c r="I7" s="165" t="n">
        <v>37000</v>
      </c>
      <c r="J7" s="165" t="inlineStr">
        <is>
          <t>고</t>
        </is>
      </c>
      <c r="K7" s="165" t="n">
        <v>28000</v>
      </c>
      <c r="L7" s="165" t="inlineStr">
        <is>
          <t>중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더샵청주퍼스트파크</t>
        </is>
      </c>
      <c r="B8" s="16" t="inlineStr">
        <is>
          <t>'21.03.</t>
        </is>
      </c>
      <c r="C8" s="164" t="n">
        <v>1112</v>
      </c>
      <c r="D8" s="161" t="n">
        <v>100.9</v>
      </c>
      <c r="E8" s="163" t="n">
        <v>31</v>
      </c>
      <c r="F8" s="161" t="n">
        <v>77</v>
      </c>
      <c r="G8" s="27" t="n">
        <v>23</v>
      </c>
      <c r="H8" s="164" t="n">
        <v>138</v>
      </c>
      <c r="I8" s="165" t="n">
        <v>43000</v>
      </c>
      <c r="J8" s="165" t="inlineStr">
        <is>
          <t>5</t>
        </is>
      </c>
      <c r="K8" s="165" t="n">
        <v>30000</v>
      </c>
      <c r="L8" s="165" t="inlineStr">
        <is>
          <t>24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100A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더샵청주퍼스트파크</t>
        </is>
      </c>
      <c r="B9" s="16" t="inlineStr">
        <is>
          <t>'21.03.</t>
        </is>
      </c>
      <c r="C9" s="164" t="n">
        <v>1112</v>
      </c>
      <c r="D9" s="161" t="n">
        <v>110.1</v>
      </c>
      <c r="E9" s="163" t="n">
        <v>33</v>
      </c>
      <c r="F9" s="161" t="n">
        <v>85</v>
      </c>
      <c r="G9" s="27" t="n">
        <v>26</v>
      </c>
      <c r="H9" s="164" t="n">
        <v>385</v>
      </c>
      <c r="I9" s="165" t="n">
        <v>41000</v>
      </c>
      <c r="J9" s="165" t="inlineStr">
        <is>
          <t>25</t>
        </is>
      </c>
      <c r="K9" s="165" t="n">
        <v>32000</v>
      </c>
      <c r="L9" s="165" t="inlineStr">
        <is>
          <t>중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110A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더샵청주퍼스트파크</t>
        </is>
      </c>
      <c r="B10" s="16" t="inlineStr">
        <is>
          <t>'21.03.</t>
        </is>
      </c>
      <c r="C10" s="164" t="n">
        <v>1112</v>
      </c>
      <c r="D10" s="161" t="n">
        <v>110.6</v>
      </c>
      <c r="E10" s="163" t="n">
        <v>33</v>
      </c>
      <c r="F10" s="161" t="n">
        <v>85</v>
      </c>
      <c r="G10" s="27" t="n">
        <v>26</v>
      </c>
      <c r="H10" s="164" t="n">
        <v>83</v>
      </c>
      <c r="I10" s="165" t="n">
        <v>42000</v>
      </c>
      <c r="J10" s="165" t="inlineStr">
        <is>
          <t>고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110B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더샵청주퍼스트파크</t>
        </is>
      </c>
      <c r="B11" s="16" t="inlineStr">
        <is>
          <t>'21.03.</t>
        </is>
      </c>
      <c r="C11" s="164" t="n">
        <v>1112</v>
      </c>
      <c r="D11" s="161" t="n">
        <v>110.2</v>
      </c>
      <c r="E11" s="163" t="n">
        <v>33</v>
      </c>
      <c r="F11" s="161" t="n">
        <v>85</v>
      </c>
      <c r="G11" s="27" t="n">
        <v>26</v>
      </c>
      <c r="H11" s="164" t="n">
        <v>80</v>
      </c>
      <c r="I11" s="165" t="n">
        <v>51000</v>
      </c>
      <c r="J11" s="165" t="inlineStr">
        <is>
          <t>고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110C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더샵청주퍼스트파크</t>
        </is>
      </c>
      <c r="B12" s="16" t="inlineStr">
        <is>
          <t>'21.03.</t>
        </is>
      </c>
      <c r="C12" s="164" t="n">
        <v>1112</v>
      </c>
      <c r="D12" s="161" t="n">
        <v>131</v>
      </c>
      <c r="E12" s="163" t="n">
        <v>40</v>
      </c>
      <c r="F12" s="161" t="n">
        <v>102</v>
      </c>
      <c r="G12" s="27" t="n">
        <v>31</v>
      </c>
      <c r="H12" s="164" t="n">
        <v>54</v>
      </c>
      <c r="I12" s="165" t="n"/>
      <c r="J12" s="165" t="n"/>
      <c r="K12" s="165" t="n">
        <v>43000</v>
      </c>
      <c r="L12" s="165" t="inlineStr">
        <is>
          <t>중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130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더샵청주퍼스트파크</t>
        </is>
      </c>
      <c r="B13" s="16" t="inlineStr">
        <is>
          <t>'21.03.</t>
        </is>
      </c>
      <c r="C13" s="164" t="n">
        <v>1112</v>
      </c>
      <c r="D13" s="161" t="n">
        <v>160.2</v>
      </c>
      <c r="E13" s="163" t="n">
        <v>48</v>
      </c>
      <c r="F13" s="161" t="n">
        <v>103</v>
      </c>
      <c r="G13" s="27" t="n">
        <v>31</v>
      </c>
      <c r="H13" s="164" t="n">
        <v>6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inlineStr">
        <is>
          <t>160T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더샵청주퍼스트파크</t>
        </is>
      </c>
      <c r="B14" s="16" t="inlineStr">
        <is>
          <t>'21.03.</t>
        </is>
      </c>
      <c r="C14" s="164" t="n">
        <v>1112</v>
      </c>
      <c r="D14" s="161" t="n">
        <v>174.4</v>
      </c>
      <c r="E14" s="163" t="n">
        <v>53</v>
      </c>
      <c r="F14" s="161" t="n">
        <v>133.3</v>
      </c>
      <c r="G14" s="27" t="n">
        <v>40</v>
      </c>
      <c r="H14" s="164" t="n">
        <v>4</v>
      </c>
      <c r="I14" s="165" t="n">
        <v>110000</v>
      </c>
      <c r="J14" s="165" t="inlineStr">
        <is>
          <t>26</t>
        </is>
      </c>
      <c r="K14" s="165" t="n">
        <v>65000</v>
      </c>
      <c r="L14" s="165" t="inlineStr">
        <is>
          <t>26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3</v>
      </c>
      <c r="S14" s="113" t="inlineStr">
        <is>
          <t>계</t>
        </is>
      </c>
      <c r="T14" s="8" t="inlineStr">
        <is>
          <t>174P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산남세원청실</t>
        </is>
      </c>
      <c r="B16" s="16" t="inlineStr">
        <is>
          <t>'95.05.</t>
        </is>
      </c>
      <c r="C16" s="164" t="n">
        <v>417</v>
      </c>
      <c r="D16" s="161" t="n">
        <v>84.40000000000001</v>
      </c>
      <c r="E16" s="163" t="n">
        <v>26</v>
      </c>
      <c r="F16" s="161" t="n">
        <v>68</v>
      </c>
      <c r="G16" s="27" t="n">
        <v>21</v>
      </c>
      <c r="H16" s="164" t="n">
        <v>87</v>
      </c>
      <c r="I16" s="165" t="n">
        <v>18000</v>
      </c>
      <c r="J16" s="165" t="inlineStr">
        <is>
          <t>5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84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산남세원청실</t>
        </is>
      </c>
      <c r="B17" s="16" t="inlineStr">
        <is>
          <t>'95.05.</t>
        </is>
      </c>
      <c r="C17" s="164" t="n">
        <v>417</v>
      </c>
      <c r="D17" s="161" t="n">
        <v>106.9</v>
      </c>
      <c r="E17" s="163" t="n">
        <v>32</v>
      </c>
      <c r="F17" s="161" t="n">
        <v>84.8</v>
      </c>
      <c r="G17" s="27" t="n">
        <v>26</v>
      </c>
      <c r="H17" s="164" t="n">
        <v>330</v>
      </c>
      <c r="I17" s="165" t="n">
        <v>20000</v>
      </c>
      <c r="J17" s="165" t="inlineStr">
        <is>
          <t>고</t>
        </is>
      </c>
      <c r="K17" s="165" t="n">
        <v>18000</v>
      </c>
      <c r="L17" s="165" t="inlineStr">
        <is>
          <t>중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106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선광한빛(로즈웰타운)</t>
        </is>
      </c>
      <c r="B19" s="16" t="inlineStr">
        <is>
          <t>'98.03.</t>
        </is>
      </c>
      <c r="C19" s="164" t="n">
        <v>377</v>
      </c>
      <c r="D19" s="161" t="n">
        <v>39.7</v>
      </c>
      <c r="E19" s="163" t="n">
        <v>12</v>
      </c>
      <c r="F19" s="161" t="n">
        <v>29.2</v>
      </c>
      <c r="G19" s="27" t="n">
        <v>9</v>
      </c>
      <c r="H19" s="164" t="n">
        <v>377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1</v>
      </c>
      <c r="R19" s="113" t="n">
        <v>1</v>
      </c>
      <c r="S19" s="113" t="inlineStr">
        <is>
          <t>계</t>
        </is>
      </c>
      <c r="T19" s="8" t="n">
        <v>39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두진하트리움</t>
        </is>
      </c>
      <c r="B21" s="16" t="inlineStr">
        <is>
          <t>'95.05.</t>
        </is>
      </c>
      <c r="C21" s="164" t="n">
        <v>935</v>
      </c>
      <c r="D21" s="161" t="n">
        <v>74</v>
      </c>
      <c r="E21" s="163" t="n">
        <v>22</v>
      </c>
      <c r="F21" s="161" t="n">
        <v>59.4</v>
      </c>
      <c r="G21" s="27" t="n">
        <v>18</v>
      </c>
      <c r="H21" s="164" t="n">
        <v>360</v>
      </c>
      <c r="I21" s="165" t="n">
        <v>14500</v>
      </c>
      <c r="J21" s="165" t="inlineStr">
        <is>
          <t>7</t>
        </is>
      </c>
      <c r="K21" s="165" t="n">
        <v>14000</v>
      </c>
      <c r="L21" s="165" t="inlineStr">
        <is>
          <t>8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복</t>
        </is>
      </c>
      <c r="T21" s="8" t="n">
        <v>73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두진하트리움</t>
        </is>
      </c>
      <c r="B22" s="16" t="inlineStr">
        <is>
          <t>'95.05.</t>
        </is>
      </c>
      <c r="C22" s="164" t="n">
        <v>935</v>
      </c>
      <c r="D22" s="161" t="n">
        <v>74.40000000000001</v>
      </c>
      <c r="E22" s="163" t="n">
        <v>23</v>
      </c>
      <c r="F22" s="161" t="n">
        <v>59.8</v>
      </c>
      <c r="G22" s="27" t="n">
        <v>18</v>
      </c>
      <c r="H22" s="164" t="n">
        <v>300</v>
      </c>
      <c r="I22" s="165" t="n">
        <v>14700</v>
      </c>
      <c r="J22" s="165" t="inlineStr">
        <is>
          <t>10</t>
        </is>
      </c>
      <c r="K22" s="165" t="n">
        <v>14000</v>
      </c>
      <c r="L22" s="165" t="inlineStr">
        <is>
          <t>중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74A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두진하트리움</t>
        </is>
      </c>
      <c r="B23" s="16" t="inlineStr">
        <is>
          <t>'95.05.</t>
        </is>
      </c>
      <c r="C23" s="164" t="n">
        <v>935</v>
      </c>
      <c r="D23" s="161" t="n">
        <v>74.40000000000001</v>
      </c>
      <c r="E23" s="163" t="n">
        <v>23</v>
      </c>
      <c r="F23" s="161" t="n">
        <v>59.8</v>
      </c>
      <c r="G23" s="27" t="n">
        <v>18</v>
      </c>
      <c r="H23" s="164" t="n">
        <v>161</v>
      </c>
      <c r="I23" s="165" t="n">
        <v>14700</v>
      </c>
      <c r="J23" s="165" t="inlineStr">
        <is>
          <t>10</t>
        </is>
      </c>
      <c r="K23" s="165" t="n">
        <v>14000</v>
      </c>
      <c r="L23" s="165" t="inlineStr">
        <is>
          <t>중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2</v>
      </c>
      <c r="S23" s="113" t="inlineStr">
        <is>
          <t>계</t>
        </is>
      </c>
      <c r="T23" s="8" t="inlineStr">
        <is>
          <t>74A1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두진하트리움</t>
        </is>
      </c>
      <c r="B24" s="16" t="inlineStr">
        <is>
          <t>'95.05.</t>
        </is>
      </c>
      <c r="C24" s="164" t="n">
        <v>935</v>
      </c>
      <c r="D24" s="161" t="n">
        <v>74.5</v>
      </c>
      <c r="E24" s="163" t="n">
        <v>23</v>
      </c>
      <c r="F24" s="161" t="n">
        <v>59.9</v>
      </c>
      <c r="G24" s="27" t="n">
        <v>18</v>
      </c>
      <c r="H24" s="164" t="n">
        <v>114</v>
      </c>
      <c r="I24" s="165" t="n">
        <v>15200</v>
      </c>
      <c r="J24" s="165" t="inlineStr">
        <is>
          <t>12</t>
        </is>
      </c>
      <c r="K24" s="165" t="n">
        <v>13600</v>
      </c>
      <c r="L24" s="165" t="inlineStr">
        <is>
          <t>고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2</v>
      </c>
      <c r="R24" s="113" t="n">
        <v>2</v>
      </c>
      <c r="S24" s="113" t="inlineStr">
        <is>
          <t>계</t>
        </is>
      </c>
      <c r="T24" s="8" t="inlineStr">
        <is>
          <t>74B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산남주공3차</t>
        </is>
      </c>
      <c r="B26" s="16" t="inlineStr">
        <is>
          <t>'91.11.</t>
        </is>
      </c>
      <c r="C26" s="164" t="n">
        <v>510</v>
      </c>
      <c r="D26" s="161" t="n">
        <v>57.2</v>
      </c>
      <c r="E26" s="163" t="n">
        <v>17</v>
      </c>
      <c r="F26" s="161" t="n">
        <v>41.3</v>
      </c>
      <c r="G26" s="27" t="n">
        <v>12</v>
      </c>
      <c r="H26" s="164" t="n">
        <v>180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2</v>
      </c>
      <c r="R26" s="113" t="n">
        <v>1</v>
      </c>
      <c r="S26" s="113" t="inlineStr">
        <is>
          <t>복</t>
        </is>
      </c>
      <c r="T26" s="8" t="n">
        <v>57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산남주공3차</t>
        </is>
      </c>
      <c r="B27" s="16" t="inlineStr">
        <is>
          <t>'91.11.</t>
        </is>
      </c>
      <c r="C27" s="164" t="n">
        <v>510</v>
      </c>
      <c r="D27" s="161" t="n">
        <v>62.3</v>
      </c>
      <c r="E27" s="163" t="n">
        <v>19</v>
      </c>
      <c r="F27" s="161" t="n">
        <v>51.2</v>
      </c>
      <c r="G27" s="27" t="n">
        <v>15</v>
      </c>
      <c r="H27" s="164" t="n">
        <v>81</v>
      </c>
      <c r="I27" s="165" t="n">
        <v>11000</v>
      </c>
      <c r="J27" s="165" t="inlineStr">
        <is>
          <t>5</t>
        </is>
      </c>
      <c r="K27" s="165" t="n">
        <v>8000</v>
      </c>
      <c r="L27" s="165" t="inlineStr">
        <is>
          <t>5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2</v>
      </c>
      <c r="R27" s="113" t="n">
        <v>1</v>
      </c>
      <c r="S27" s="113" t="inlineStr">
        <is>
          <t>복</t>
        </is>
      </c>
      <c r="T27" s="8" t="n">
        <v>62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산남주공3차</t>
        </is>
      </c>
      <c r="B28" s="16" t="inlineStr">
        <is>
          <t>'91.11.</t>
        </is>
      </c>
      <c r="C28" s="164" t="n">
        <v>510</v>
      </c>
      <c r="D28" s="161" t="n">
        <v>69.09999999999999</v>
      </c>
      <c r="E28" s="163" t="n">
        <v>21</v>
      </c>
      <c r="F28" s="161" t="n">
        <v>49.9</v>
      </c>
      <c r="G28" s="27" t="n">
        <v>15</v>
      </c>
      <c r="H28" s="164" t="n">
        <v>180</v>
      </c>
      <c r="I28" s="165" t="n">
        <v>9500</v>
      </c>
      <c r="J28" s="165" t="inlineStr">
        <is>
          <t>15</t>
        </is>
      </c>
      <c r="K28" s="165" t="n">
        <v>9500</v>
      </c>
      <c r="L28" s="165" t="inlineStr">
        <is>
          <t>12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복</t>
        </is>
      </c>
      <c r="T28" s="8" t="n">
        <v>69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산남주공3차</t>
        </is>
      </c>
      <c r="B29" s="16" t="inlineStr">
        <is>
          <t>'91.11.</t>
        </is>
      </c>
      <c r="C29" s="164" t="n">
        <v>510</v>
      </c>
      <c r="D29" s="161" t="n">
        <v>72.09999999999999</v>
      </c>
      <c r="E29" s="163" t="n">
        <v>22</v>
      </c>
      <c r="F29" s="161" t="n">
        <v>59.3</v>
      </c>
      <c r="G29" s="27" t="n">
        <v>18</v>
      </c>
      <c r="H29" s="164" t="n">
        <v>69</v>
      </c>
      <c r="I29" s="165" t="n">
        <v>11500</v>
      </c>
      <c r="J29" s="165" t="inlineStr">
        <is>
          <t>중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1</v>
      </c>
      <c r="S29" s="113" t="inlineStr">
        <is>
          <t>복</t>
        </is>
      </c>
      <c r="T29" s="8" t="n">
        <v>72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1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2" t="n"/>
      <c r="P30" s="162" t="n"/>
      <c r="Q30" s="163" t="n"/>
      <c r="R30" s="163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0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한마음2차</t>
        </is>
      </c>
      <c r="B31" s="16" t="inlineStr">
        <is>
          <t>'95.04.</t>
        </is>
      </c>
      <c r="C31" s="164" t="n">
        <v>228</v>
      </c>
      <c r="D31" s="161" t="n">
        <v>130.1</v>
      </c>
      <c r="E31" s="163" t="n">
        <v>39</v>
      </c>
      <c r="F31" s="161" t="n">
        <v>110.8</v>
      </c>
      <c r="G31" s="27" t="n">
        <v>34</v>
      </c>
      <c r="H31" s="164" t="n">
        <v>156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130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한마음2차</t>
        </is>
      </c>
      <c r="B32" s="16" t="inlineStr">
        <is>
          <t>'95.04.</t>
        </is>
      </c>
      <c r="C32" s="164" t="n">
        <v>228</v>
      </c>
      <c r="D32" s="161" t="n">
        <v>152.2</v>
      </c>
      <c r="E32" s="163" t="n">
        <v>46</v>
      </c>
      <c r="F32" s="161" t="n">
        <v>131.9</v>
      </c>
      <c r="G32" s="27" t="n">
        <v>40</v>
      </c>
      <c r="H32" s="164" t="n">
        <v>48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n">
        <v>152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한마음2차</t>
        </is>
      </c>
      <c r="B33" s="16" t="inlineStr">
        <is>
          <t>'95.04.</t>
        </is>
      </c>
      <c r="C33" s="164" t="n">
        <v>228</v>
      </c>
      <c r="D33" s="161" t="n">
        <v>190.9</v>
      </c>
      <c r="E33" s="163" t="n">
        <v>58</v>
      </c>
      <c r="F33" s="161" t="n">
        <v>165</v>
      </c>
      <c r="G33" s="27" t="n">
        <v>50</v>
      </c>
      <c r="H33" s="164" t="n">
        <v>24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5</v>
      </c>
      <c r="R33" s="113" t="n">
        <v>2</v>
      </c>
      <c r="S33" s="113" t="inlineStr">
        <is>
          <t>계</t>
        </is>
      </c>
      <c r="T33" s="8" t="n">
        <v>190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한마음1차</t>
        </is>
      </c>
      <c r="B35" s="16" t="inlineStr">
        <is>
          <t>'95.04.</t>
        </is>
      </c>
      <c r="C35" s="164" t="n">
        <v>435</v>
      </c>
      <c r="D35" s="161" t="n">
        <v>75.59999999999999</v>
      </c>
      <c r="E35" s="163" t="n">
        <v>23</v>
      </c>
      <c r="F35" s="161" t="n">
        <v>59.9</v>
      </c>
      <c r="G35" s="27" t="n">
        <v>18</v>
      </c>
      <c r="H35" s="164" t="n">
        <v>435</v>
      </c>
      <c r="I35" s="165" t="n">
        <v>14000</v>
      </c>
      <c r="J35" s="165" t="inlineStr">
        <is>
          <t>14</t>
        </is>
      </c>
      <c r="K35" s="165" t="n">
        <v>14000</v>
      </c>
      <c r="L35" s="165" t="inlineStr">
        <is>
          <t>중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계</t>
        </is>
      </c>
      <c r="T35" s="8" t="n">
        <v>75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세원홍실</t>
        </is>
      </c>
      <c r="B37" s="16" t="inlineStr">
        <is>
          <t>'96.09.</t>
        </is>
      </c>
      <c r="C37" s="164" t="n">
        <v>224</v>
      </c>
      <c r="D37" s="161" t="n">
        <v>116</v>
      </c>
      <c r="E37" s="163" t="n">
        <v>35</v>
      </c>
      <c r="F37" s="161" t="n">
        <v>93.2</v>
      </c>
      <c r="G37" s="27" t="n">
        <v>28</v>
      </c>
      <c r="H37" s="164" t="n">
        <v>52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116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세원홍실</t>
        </is>
      </c>
      <c r="B38" s="16" t="inlineStr">
        <is>
          <t>'96.09.</t>
        </is>
      </c>
      <c r="C38" s="164" t="n">
        <v>224</v>
      </c>
      <c r="D38" s="161" t="n">
        <v>144.9</v>
      </c>
      <c r="E38" s="163" t="n">
        <v>44</v>
      </c>
      <c r="F38" s="161" t="n">
        <v>125</v>
      </c>
      <c r="G38" s="27" t="n">
        <v>38</v>
      </c>
      <c r="H38" s="164" t="n">
        <v>120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n">
        <v>144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세원홍실</t>
        </is>
      </c>
      <c r="B39" s="16" t="inlineStr">
        <is>
          <t>'96.09.</t>
        </is>
      </c>
      <c r="C39" s="164" t="n">
        <v>224</v>
      </c>
      <c r="D39" s="161" t="n">
        <v>159.7</v>
      </c>
      <c r="E39" s="163" t="n">
        <v>48</v>
      </c>
      <c r="F39" s="161" t="n">
        <v>138.8</v>
      </c>
      <c r="G39" s="27" t="n">
        <v>42</v>
      </c>
      <c r="H39" s="164" t="n">
        <v>52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159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주공</t>
        </is>
      </c>
      <c r="B41" s="16" t="inlineStr">
        <is>
          <t>'90.12.</t>
        </is>
      </c>
      <c r="C41" s="164" t="n">
        <v>1240</v>
      </c>
      <c r="D41" s="161" t="n">
        <v>49.6</v>
      </c>
      <c r="E41" s="163" t="n">
        <v>15</v>
      </c>
      <c r="F41" s="161" t="n">
        <v>39.7</v>
      </c>
      <c r="G41" s="27" t="n">
        <v>12</v>
      </c>
      <c r="H41" s="164" t="n">
        <v>300</v>
      </c>
      <c r="I41" s="165" t="n">
        <v>13000</v>
      </c>
      <c r="J41" s="165" t="inlineStr">
        <is>
          <t>고</t>
        </is>
      </c>
      <c r="K41" s="165" t="n">
        <v>5000</v>
      </c>
      <c r="L41" s="165" t="inlineStr">
        <is>
          <t>5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계</t>
        </is>
      </c>
      <c r="T41" s="8" t="inlineStr">
        <is>
          <t>49B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주공</t>
        </is>
      </c>
      <c r="B42" s="16" t="inlineStr">
        <is>
          <t>'90.12.</t>
        </is>
      </c>
      <c r="C42" s="164" t="n">
        <v>1240</v>
      </c>
      <c r="D42" s="161" t="n">
        <v>49.1</v>
      </c>
      <c r="E42" s="163" t="n">
        <v>15</v>
      </c>
      <c r="F42" s="161" t="n">
        <v>39.3</v>
      </c>
      <c r="G42" s="27" t="n">
        <v>12</v>
      </c>
      <c r="H42" s="164" t="n">
        <v>220</v>
      </c>
      <c r="I42" s="165" t="n">
        <v>11000</v>
      </c>
      <c r="J42" s="165" t="inlineStr">
        <is>
          <t>5</t>
        </is>
      </c>
      <c r="K42" s="165" t="n">
        <v>6000</v>
      </c>
      <c r="L42" s="165" t="inlineStr">
        <is>
          <t>5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inlineStr">
        <is>
          <t>49A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주공</t>
        </is>
      </c>
      <c r="B43" s="16" t="inlineStr">
        <is>
          <t>'90.12.</t>
        </is>
      </c>
      <c r="C43" s="164" t="n">
        <v>1240</v>
      </c>
      <c r="D43" s="161" t="n">
        <v>57.6</v>
      </c>
      <c r="E43" s="163" t="n">
        <v>17</v>
      </c>
      <c r="F43" s="161" t="n">
        <v>47</v>
      </c>
      <c r="G43" s="27" t="n">
        <v>14</v>
      </c>
      <c r="H43" s="164" t="n">
        <v>390</v>
      </c>
      <c r="I43" s="165" t="n">
        <v>15500</v>
      </c>
      <c r="J43" s="165" t="inlineStr">
        <is>
          <t>5</t>
        </is>
      </c>
      <c r="K43" s="165" t="n">
        <v>10000</v>
      </c>
      <c r="L43" s="165" t="inlineStr">
        <is>
          <t>5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2</v>
      </c>
      <c r="R43" s="113" t="n">
        <v>1</v>
      </c>
      <c r="S43" s="113" t="inlineStr">
        <is>
          <t>계</t>
        </is>
      </c>
      <c r="T43" s="8" t="inlineStr">
        <is>
          <t>57B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주공</t>
        </is>
      </c>
      <c r="B44" s="16" t="inlineStr">
        <is>
          <t>'90.12.</t>
        </is>
      </c>
      <c r="C44" s="164" t="n">
        <v>1240</v>
      </c>
      <c r="D44" s="161" t="n">
        <v>57.3</v>
      </c>
      <c r="E44" s="163" t="n">
        <v>17</v>
      </c>
      <c r="F44" s="161" t="n">
        <v>46.7</v>
      </c>
      <c r="G44" s="27" t="n">
        <v>14</v>
      </c>
      <c r="H44" s="164" t="n">
        <v>330</v>
      </c>
      <c r="I44" s="165" t="n">
        <v>14000</v>
      </c>
      <c r="J44" s="165" t="inlineStr">
        <is>
          <t>5</t>
        </is>
      </c>
      <c r="K44" s="165" t="n">
        <v>8500</v>
      </c>
      <c r="L44" s="165" t="inlineStr">
        <is>
          <t>5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2</v>
      </c>
      <c r="R44" s="113" t="n">
        <v>1</v>
      </c>
      <c r="S44" s="113" t="inlineStr">
        <is>
          <t>계</t>
        </is>
      </c>
      <c r="T44" s="8" t="inlineStr">
        <is>
          <t>57A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산남주공4단지</t>
        </is>
      </c>
      <c r="B46" s="16" t="inlineStr">
        <is>
          <t>'93.07.</t>
        </is>
      </c>
      <c r="C46" s="164" t="n">
        <v>1005</v>
      </c>
      <c r="D46" s="161" t="n">
        <v>50.4</v>
      </c>
      <c r="E46" s="163" t="n">
        <v>15</v>
      </c>
      <c r="F46" s="161" t="n">
        <v>38.6</v>
      </c>
      <c r="G46" s="27" t="n">
        <v>12</v>
      </c>
      <c r="H46" s="164" t="n">
        <v>120</v>
      </c>
      <c r="I46" s="165" t="n">
        <v>7500</v>
      </c>
      <c r="J46" s="165" t="inlineStr">
        <is>
          <t>7</t>
        </is>
      </c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복</t>
        </is>
      </c>
      <c r="T46" s="8" t="n">
        <v>50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산남주공4단지</t>
        </is>
      </c>
      <c r="B47" s="16" t="inlineStr">
        <is>
          <t>'93.07.</t>
        </is>
      </c>
      <c r="C47" s="164" t="n">
        <v>1005</v>
      </c>
      <c r="D47" s="161" t="n">
        <v>58.6</v>
      </c>
      <c r="E47" s="163" t="n">
        <v>18</v>
      </c>
      <c r="F47" s="161" t="n">
        <v>44.9</v>
      </c>
      <c r="G47" s="27" t="n">
        <v>14</v>
      </c>
      <c r="H47" s="164" t="n">
        <v>60</v>
      </c>
      <c r="I47" s="165" t="n">
        <v>8000</v>
      </c>
      <c r="J47" s="165" t="inlineStr">
        <is>
          <t>14</t>
        </is>
      </c>
      <c r="K47" s="165" t="n">
        <v>9000</v>
      </c>
      <c r="L47" s="165" t="inlineStr">
        <is>
          <t>8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2</v>
      </c>
      <c r="R47" s="113" t="n">
        <v>1</v>
      </c>
      <c r="S47" s="113" t="inlineStr">
        <is>
          <t>복</t>
        </is>
      </c>
      <c r="T47" s="8" t="inlineStr">
        <is>
          <t>58B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산남주공4단지</t>
        </is>
      </c>
      <c r="B48" s="16" t="inlineStr">
        <is>
          <t>'93.07.</t>
        </is>
      </c>
      <c r="C48" s="164" t="n">
        <v>1005</v>
      </c>
      <c r="D48" s="161" t="n">
        <v>60.3</v>
      </c>
      <c r="E48" s="163" t="n">
        <v>18</v>
      </c>
      <c r="F48" s="161" t="n">
        <v>41.3</v>
      </c>
      <c r="G48" s="27" t="n">
        <v>12</v>
      </c>
      <c r="H48" s="164" t="n">
        <v>60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2</v>
      </c>
      <c r="R48" s="113" t="n">
        <v>1</v>
      </c>
      <c r="S48" s="113" t="inlineStr">
        <is>
          <t>복</t>
        </is>
      </c>
      <c r="T48" s="8" t="inlineStr">
        <is>
          <t>60A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산남주공4단지</t>
        </is>
      </c>
      <c r="B49" s="16" t="inlineStr">
        <is>
          <t>'93.07.</t>
        </is>
      </c>
      <c r="C49" s="164" t="n">
        <v>1005</v>
      </c>
      <c r="D49" s="161" t="n">
        <v>73</v>
      </c>
      <c r="E49" s="163" t="n">
        <v>22</v>
      </c>
      <c r="F49" s="161" t="n">
        <v>49.9</v>
      </c>
      <c r="G49" s="27" t="n">
        <v>15</v>
      </c>
      <c r="H49" s="164" t="n">
        <v>180</v>
      </c>
      <c r="I49" s="165" t="n">
        <v>10500</v>
      </c>
      <c r="J49" s="165" t="inlineStr">
        <is>
          <t>13</t>
        </is>
      </c>
      <c r="K49" s="165" t="n">
        <v>7000</v>
      </c>
      <c r="L49" s="165" t="inlineStr">
        <is>
          <t>12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2</v>
      </c>
      <c r="R49" s="113" t="n">
        <v>1</v>
      </c>
      <c r="S49" s="113" t="inlineStr">
        <is>
          <t>복</t>
        </is>
      </c>
      <c r="T49" s="8" t="inlineStr">
        <is>
          <t>72B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산남주공4단지</t>
        </is>
      </c>
      <c r="B50" s="16" t="inlineStr">
        <is>
          <t>'93.07.</t>
        </is>
      </c>
      <c r="C50" s="164" t="n">
        <v>1005</v>
      </c>
      <c r="D50" s="161" t="n">
        <v>72.2</v>
      </c>
      <c r="E50" s="163" t="n">
        <v>22</v>
      </c>
      <c r="F50" s="161" t="n">
        <v>49.9</v>
      </c>
      <c r="G50" s="27" t="n">
        <v>15</v>
      </c>
      <c r="H50" s="164" t="n">
        <v>105</v>
      </c>
      <c r="I50" s="165" t="n">
        <v>9500</v>
      </c>
      <c r="J50" s="165" t="inlineStr">
        <is>
          <t>10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2</v>
      </c>
      <c r="R50" s="113" t="n">
        <v>1</v>
      </c>
      <c r="S50" s="113" t="inlineStr">
        <is>
          <t>복</t>
        </is>
      </c>
      <c r="T50" s="8" t="inlineStr">
        <is>
          <t>72A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산남주공4단지</t>
        </is>
      </c>
      <c r="B51" s="16" t="inlineStr">
        <is>
          <t>'93.07.</t>
        </is>
      </c>
      <c r="C51" s="164" t="n">
        <v>1005</v>
      </c>
      <c r="D51" s="161" t="n">
        <v>94.09999999999999</v>
      </c>
      <c r="E51" s="163" t="n">
        <v>28</v>
      </c>
      <c r="F51" s="161" t="n">
        <v>76.5</v>
      </c>
      <c r="G51" s="27" t="n">
        <v>23</v>
      </c>
      <c r="H51" s="164" t="n">
        <v>239</v>
      </c>
      <c r="I51" s="165" t="n">
        <v>16000</v>
      </c>
      <c r="J51" s="165" t="inlineStr">
        <is>
          <t>10</t>
        </is>
      </c>
      <c r="K51" s="165" t="n">
        <v>15000</v>
      </c>
      <c r="L51" s="165" t="inlineStr">
        <is>
          <t>5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1</v>
      </c>
      <c r="S51" s="113" t="inlineStr">
        <is>
          <t>복</t>
        </is>
      </c>
      <c r="T51" s="8" t="n">
        <v>94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산남주공4단지</t>
        </is>
      </c>
      <c r="B52" s="16" t="inlineStr">
        <is>
          <t>'93.07.</t>
        </is>
      </c>
      <c r="C52" s="164" t="n">
        <v>1005</v>
      </c>
      <c r="D52" s="161" t="n">
        <v>94.5</v>
      </c>
      <c r="E52" s="163" t="n">
        <v>29</v>
      </c>
      <c r="F52" s="161" t="n">
        <v>76.90000000000001</v>
      </c>
      <c r="G52" s="27" t="n">
        <v>23</v>
      </c>
      <c r="H52" s="164" t="n">
        <v>1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1</v>
      </c>
      <c r="S52" s="113" t="inlineStr">
        <is>
          <t>복</t>
        </is>
      </c>
      <c r="T52" s="8" t="n">
        <v>94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산남주공4단지</t>
        </is>
      </c>
      <c r="B53" s="16" t="inlineStr">
        <is>
          <t>'93.07.</t>
        </is>
      </c>
      <c r="C53" s="164" t="n">
        <v>1005</v>
      </c>
      <c r="D53" s="161" t="n">
        <v>104.3</v>
      </c>
      <c r="E53" s="163" t="n">
        <v>32</v>
      </c>
      <c r="F53" s="161" t="n">
        <v>84.8</v>
      </c>
      <c r="G53" s="27" t="n">
        <v>26</v>
      </c>
      <c r="H53" s="164" t="n">
        <v>240</v>
      </c>
      <c r="I53" s="165" t="n">
        <v>16500</v>
      </c>
      <c r="J53" s="165" t="inlineStr">
        <is>
          <t>7</t>
        </is>
      </c>
      <c r="K53" s="165" t="n">
        <v>16000</v>
      </c>
      <c r="L53" s="165" t="inlineStr">
        <is>
          <t>9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복</t>
        </is>
      </c>
      <c r="T53" s="8" t="n">
        <v>104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</sheetData>
  <mergeCells count="1">
    <mergeCell ref="AJ1:AN1"/>
  </mergeCells>
  <conditionalFormatting sqref="AV4:AV6">
    <cfRule type="expression" priority="787" dxfId="17">
      <formula>AV4="X"</formula>
    </cfRule>
    <cfRule type="expression" priority="788" dxfId="16">
      <formula>AV4="후보"</formula>
    </cfRule>
  </conditionalFormatting>
  <conditionalFormatting sqref="AC1:AC2 AC4:AC6 N4:N5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N1:N2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6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6">
    <cfRule type="expression" priority="776" dxfId="3">
      <formula>AND(IF(OR($Q6=1,$Q6=2),1,0),IF($X6&lt;=20,1,0))</formula>
    </cfRule>
    <cfRule type="expression" priority="777" dxfId="2">
      <formula>AND(IF($Q6=2,1,0),IF($X6&lt;30,1,0))</formula>
    </cfRule>
    <cfRule type="expression" priority="778" dxfId="1">
      <formula>AND(IF($Q6=3,1,0),IF($X6&lt;30,1,0))</formula>
    </cfRule>
    <cfRule type="expression" priority="779" dxfId="0">
      <formula>AND(IF($Q6=3,1,IF($Q6=4,1,0)),IF($F6&lt;=85,1,0))</formula>
    </cfRule>
  </conditionalFormatting>
  <conditionalFormatting sqref="X6">
    <cfRule type="expression" priority="772" dxfId="3">
      <formula>AND(IF(OR($Q6=1,$Q6=2),1,0),IF($X6&lt;=20,1,0))</formula>
    </cfRule>
    <cfRule type="expression" priority="773" dxfId="2">
      <formula>AND(IF($Q6=2,1,0),IF($X6&lt;30,1,0))</formula>
    </cfRule>
    <cfRule type="expression" priority="774" dxfId="1">
      <formula>AND(IF($Q6=3,1,0),IF($X6&lt;30,1,0))</formula>
    </cfRule>
    <cfRule type="expression" priority="775" dxfId="0">
      <formula>AND(IF($Q6=3,1,IF($Q6=4,1,0)),IF($F6&lt;=85,1,0))</formula>
    </cfRule>
  </conditionalFormatting>
  <conditionalFormatting sqref="AI6">
    <cfRule type="expression" priority="768" dxfId="3">
      <formula>AND(IF(OR($Q6=1,$Q6=2),1,0),IF($X6&lt;=20,1,0))</formula>
    </cfRule>
    <cfRule type="expression" priority="769" dxfId="2">
      <formula>AND(IF($Q6=2,1,0),IF($X6&lt;30,1,0))</formula>
    </cfRule>
    <cfRule type="expression" priority="770" dxfId="1">
      <formula>AND(IF($Q6=3,1,0),IF($X6&lt;30,1,0))</formula>
    </cfRule>
    <cfRule type="expression" priority="771" dxfId="0">
      <formula>AND(IF($Q6=3,1,IF($Q6=4,1,0)),IF($F6&lt;=85,1,0))</formula>
    </cfRule>
  </conditionalFormatting>
  <conditionalFormatting sqref="AV7">
    <cfRule type="expression" priority="766" dxfId="17">
      <formula>AV7="X"</formula>
    </cfRule>
    <cfRule type="expression" priority="767" dxfId="16">
      <formula>AV7="후보"</formula>
    </cfRule>
  </conditionalFormatting>
  <conditionalFormatting sqref="AC7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7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7">
    <cfRule type="expression" priority="757" dxfId="3">
      <formula>AND(IF(OR($Q7=1,$Q7=2),1,0),IF($X7&lt;=20,1,0))</formula>
    </cfRule>
    <cfRule type="expression" priority="758" dxfId="2">
      <formula>AND(IF($Q7=2,1,0),IF($X7&lt;30,1,0))</formula>
    </cfRule>
    <cfRule type="expression" priority="759" dxfId="1">
      <formula>AND(IF($Q7=3,1,0),IF($X7&lt;30,1,0))</formula>
    </cfRule>
    <cfRule type="expression" priority="760" dxfId="0">
      <formula>AND(IF($Q7=3,1,IF($Q7=4,1,0)),IF($F7&lt;=85,1,0))</formula>
    </cfRule>
  </conditionalFormatting>
  <conditionalFormatting sqref="X7">
    <cfRule type="expression" priority="753" dxfId="3">
      <formula>AND(IF(OR($Q7=1,$Q7=2),1,0),IF($X7&lt;=20,1,0))</formula>
    </cfRule>
    <cfRule type="expression" priority="754" dxfId="2">
      <formula>AND(IF($Q7=2,1,0),IF($X7&lt;30,1,0))</formula>
    </cfRule>
    <cfRule type="expression" priority="755" dxfId="1">
      <formula>AND(IF($Q7=3,1,0),IF($X7&lt;30,1,0))</formula>
    </cfRule>
    <cfRule type="expression" priority="756" dxfId="0">
      <formula>AND(IF($Q7=3,1,IF($Q7=4,1,0)),IF($F7&lt;=85,1,0))</formula>
    </cfRule>
  </conditionalFormatting>
  <conditionalFormatting sqref="AI7">
    <cfRule type="expression" priority="749" dxfId="3">
      <formula>AND(IF(OR($Q7=1,$Q7=2),1,0),IF($X7&lt;=20,1,0))</formula>
    </cfRule>
    <cfRule type="expression" priority="750" dxfId="2">
      <formula>AND(IF($Q7=2,1,0),IF($X7&lt;30,1,0))</formula>
    </cfRule>
    <cfRule type="expression" priority="751" dxfId="1">
      <formula>AND(IF($Q7=3,1,0),IF($X7&lt;30,1,0))</formula>
    </cfRule>
    <cfRule type="expression" priority="752" dxfId="0">
      <formula>AND(IF($Q7=3,1,IF($Q7=4,1,0)),IF($F7&lt;=85,1,0))</formula>
    </cfRule>
  </conditionalFormatting>
  <conditionalFormatting sqref="AV8">
    <cfRule type="expression" priority="747" dxfId="17">
      <formula>AV8="X"</formula>
    </cfRule>
    <cfRule type="expression" priority="748" dxfId="16">
      <formula>AV8="후보"</formula>
    </cfRule>
  </conditionalFormatting>
  <conditionalFormatting sqref="AC8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8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8">
    <cfRule type="expression" priority="738" dxfId="3">
      <formula>AND(IF(OR($Q8=1,$Q8=2),1,0),IF($X8&lt;=20,1,0))</formula>
    </cfRule>
    <cfRule type="expression" priority="739" dxfId="2">
      <formula>AND(IF($Q8=2,1,0),IF($X8&lt;30,1,0))</formula>
    </cfRule>
    <cfRule type="expression" priority="740" dxfId="1">
      <formula>AND(IF($Q8=3,1,0),IF($X8&lt;30,1,0))</formula>
    </cfRule>
    <cfRule type="expression" priority="741" dxfId="0">
      <formula>AND(IF($Q8=3,1,IF($Q8=4,1,0)),IF($F8&lt;=85,1,0))</formula>
    </cfRule>
  </conditionalFormatting>
  <conditionalFormatting sqref="X8">
    <cfRule type="expression" priority="734" dxfId="3">
      <formula>AND(IF(OR($Q8=1,$Q8=2),1,0),IF($X8&lt;=20,1,0))</formula>
    </cfRule>
    <cfRule type="expression" priority="735" dxfId="2">
      <formula>AND(IF($Q8=2,1,0),IF($X8&lt;30,1,0))</formula>
    </cfRule>
    <cfRule type="expression" priority="736" dxfId="1">
      <formula>AND(IF($Q8=3,1,0),IF($X8&lt;30,1,0))</formula>
    </cfRule>
    <cfRule type="expression" priority="737" dxfId="0">
      <formula>AND(IF($Q8=3,1,IF($Q8=4,1,0)),IF($F8&lt;=85,1,0))</formula>
    </cfRule>
  </conditionalFormatting>
  <conditionalFormatting sqref="AI8">
    <cfRule type="expression" priority="730" dxfId="3">
      <formula>AND(IF(OR($Q8=1,$Q8=2),1,0),IF($X8&lt;=20,1,0))</formula>
    </cfRule>
    <cfRule type="expression" priority="731" dxfId="2">
      <formula>AND(IF($Q8=2,1,0),IF($X8&lt;30,1,0))</formula>
    </cfRule>
    <cfRule type="expression" priority="732" dxfId="1">
      <formula>AND(IF($Q8=3,1,0),IF($X8&lt;30,1,0))</formula>
    </cfRule>
    <cfRule type="expression" priority="733" dxfId="0">
      <formula>AND(IF($Q8=3,1,IF($Q8=4,1,0)),IF($F8&lt;=85,1,0))</formula>
    </cfRule>
  </conditionalFormatting>
  <conditionalFormatting sqref="AV9">
    <cfRule type="expression" priority="728" dxfId="17">
      <formula>AV9="X"</formula>
    </cfRule>
    <cfRule type="expression" priority="729" dxfId="16">
      <formula>AV9="후보"</formula>
    </cfRule>
  </conditionalFormatting>
  <conditionalFormatting sqref="AC9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9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9">
    <cfRule type="expression" priority="719" dxfId="3">
      <formula>AND(IF(OR($Q9=1,$Q9=2),1,0),IF($X9&lt;=20,1,0))</formula>
    </cfRule>
    <cfRule type="expression" priority="720" dxfId="2">
      <formula>AND(IF($Q9=2,1,0),IF($X9&lt;30,1,0))</formula>
    </cfRule>
    <cfRule type="expression" priority="721" dxfId="1">
      <formula>AND(IF($Q9=3,1,0),IF($X9&lt;30,1,0))</formula>
    </cfRule>
    <cfRule type="expression" priority="722" dxfId="0">
      <formula>AND(IF($Q9=3,1,IF($Q9=4,1,0)),IF($F9&lt;=85,1,0))</formula>
    </cfRule>
  </conditionalFormatting>
  <conditionalFormatting sqref="X9">
    <cfRule type="expression" priority="715" dxfId="3">
      <formula>AND(IF(OR($Q9=1,$Q9=2),1,0),IF($X9&lt;=20,1,0))</formula>
    </cfRule>
    <cfRule type="expression" priority="716" dxfId="2">
      <formula>AND(IF($Q9=2,1,0),IF($X9&lt;30,1,0))</formula>
    </cfRule>
    <cfRule type="expression" priority="717" dxfId="1">
      <formula>AND(IF($Q9=3,1,0),IF($X9&lt;30,1,0))</formula>
    </cfRule>
    <cfRule type="expression" priority="718" dxfId="0">
      <formula>AND(IF($Q9=3,1,IF($Q9=4,1,0)),IF($F9&lt;=85,1,0))</formula>
    </cfRule>
  </conditionalFormatting>
  <conditionalFormatting sqref="AI9">
    <cfRule type="expression" priority="711" dxfId="3">
      <formula>AND(IF(OR($Q9=1,$Q9=2),1,0),IF($X9&lt;=20,1,0))</formula>
    </cfRule>
    <cfRule type="expression" priority="712" dxfId="2">
      <formula>AND(IF($Q9=2,1,0),IF($X9&lt;30,1,0))</formula>
    </cfRule>
    <cfRule type="expression" priority="713" dxfId="1">
      <formula>AND(IF($Q9=3,1,0),IF($X9&lt;30,1,0))</formula>
    </cfRule>
    <cfRule type="expression" priority="714" dxfId="0">
      <formula>AND(IF($Q9=3,1,IF($Q9=4,1,0)),IF($F9&lt;=85,1,0))</formula>
    </cfRule>
  </conditionalFormatting>
  <conditionalFormatting sqref="AV10">
    <cfRule type="expression" priority="709" dxfId="17">
      <formula>AV10="X"</formula>
    </cfRule>
    <cfRule type="expression" priority="710" dxfId="16">
      <formula>AV10="후보"</formula>
    </cfRule>
  </conditionalFormatting>
  <conditionalFormatting sqref="AC10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10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10">
    <cfRule type="expression" priority="700" dxfId="3">
      <formula>AND(IF(OR($Q10=1,$Q10=2),1,0),IF($X10&lt;=20,1,0))</formula>
    </cfRule>
    <cfRule type="expression" priority="701" dxfId="2">
      <formula>AND(IF($Q10=2,1,0),IF($X10&lt;30,1,0))</formula>
    </cfRule>
    <cfRule type="expression" priority="702" dxfId="1">
      <formula>AND(IF($Q10=3,1,0),IF($X10&lt;30,1,0))</formula>
    </cfRule>
    <cfRule type="expression" priority="703" dxfId="0">
      <formula>AND(IF($Q10=3,1,IF($Q10=4,1,0)),IF($F10&lt;=85,1,0))</formula>
    </cfRule>
  </conditionalFormatting>
  <conditionalFormatting sqref="X10">
    <cfRule type="expression" priority="696" dxfId="3">
      <formula>AND(IF(OR($Q10=1,$Q10=2),1,0),IF($X10&lt;=20,1,0))</formula>
    </cfRule>
    <cfRule type="expression" priority="697" dxfId="2">
      <formula>AND(IF($Q10=2,1,0),IF($X10&lt;30,1,0))</formula>
    </cfRule>
    <cfRule type="expression" priority="698" dxfId="1">
      <formula>AND(IF($Q10=3,1,0),IF($X10&lt;30,1,0))</formula>
    </cfRule>
    <cfRule type="expression" priority="699" dxfId="0">
      <formula>AND(IF($Q10=3,1,IF($Q10=4,1,0)),IF($F10&lt;=85,1,0))</formula>
    </cfRule>
  </conditionalFormatting>
  <conditionalFormatting sqref="AI10">
    <cfRule type="expression" priority="692" dxfId="3">
      <formula>AND(IF(OR($Q10=1,$Q10=2),1,0),IF($X10&lt;=20,1,0))</formula>
    </cfRule>
    <cfRule type="expression" priority="693" dxfId="2">
      <formula>AND(IF($Q10=2,1,0),IF($X10&lt;30,1,0))</formula>
    </cfRule>
    <cfRule type="expression" priority="694" dxfId="1">
      <formula>AND(IF($Q10=3,1,0),IF($X10&lt;30,1,0))</formula>
    </cfRule>
    <cfRule type="expression" priority="695" dxfId="0">
      <formula>AND(IF($Q10=3,1,IF($Q10=4,1,0)),IF($F10&lt;=85,1,0))</formula>
    </cfRule>
  </conditionalFormatting>
  <conditionalFormatting sqref="AV11">
    <cfRule type="expression" priority="690" dxfId="17">
      <formula>AV11="X"</formula>
    </cfRule>
    <cfRule type="expression" priority="691" dxfId="16">
      <formula>AV11="후보"</formula>
    </cfRule>
  </conditionalFormatting>
  <conditionalFormatting sqref="AC11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11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11">
    <cfRule type="expression" priority="681" dxfId="3">
      <formula>AND(IF(OR($Q11=1,$Q11=2),1,0),IF($X11&lt;=20,1,0))</formula>
    </cfRule>
    <cfRule type="expression" priority="682" dxfId="2">
      <formula>AND(IF($Q11=2,1,0),IF($X11&lt;30,1,0))</formula>
    </cfRule>
    <cfRule type="expression" priority="683" dxfId="1">
      <formula>AND(IF($Q11=3,1,0),IF($X11&lt;30,1,0))</formula>
    </cfRule>
    <cfRule type="expression" priority="684" dxfId="0">
      <formula>AND(IF($Q11=3,1,IF($Q11=4,1,0)),IF($F11&lt;=85,1,0))</formula>
    </cfRule>
  </conditionalFormatting>
  <conditionalFormatting sqref="X11">
    <cfRule type="expression" priority="677" dxfId="3">
      <formula>AND(IF(OR($Q11=1,$Q11=2),1,0),IF($X11&lt;=20,1,0))</formula>
    </cfRule>
    <cfRule type="expression" priority="678" dxfId="2">
      <formula>AND(IF($Q11=2,1,0),IF($X11&lt;30,1,0))</formula>
    </cfRule>
    <cfRule type="expression" priority="679" dxfId="1">
      <formula>AND(IF($Q11=3,1,0),IF($X11&lt;30,1,0))</formula>
    </cfRule>
    <cfRule type="expression" priority="680" dxfId="0">
      <formula>AND(IF($Q11=3,1,IF($Q11=4,1,0)),IF($F11&lt;=85,1,0))</formula>
    </cfRule>
  </conditionalFormatting>
  <conditionalFormatting sqref="AI11">
    <cfRule type="expression" priority="673" dxfId="3">
      <formula>AND(IF(OR($Q11=1,$Q11=2),1,0),IF($X11&lt;=20,1,0))</formula>
    </cfRule>
    <cfRule type="expression" priority="674" dxfId="2">
      <formula>AND(IF($Q11=2,1,0),IF($X11&lt;30,1,0))</formula>
    </cfRule>
    <cfRule type="expression" priority="675" dxfId="1">
      <formula>AND(IF($Q11=3,1,0),IF($X11&lt;30,1,0))</formula>
    </cfRule>
    <cfRule type="expression" priority="676" dxfId="0">
      <formula>AND(IF($Q11=3,1,IF($Q11=4,1,0)),IF($F11&lt;=85,1,0))</formula>
    </cfRule>
  </conditionalFormatting>
  <conditionalFormatting sqref="AV12">
    <cfRule type="expression" priority="671" dxfId="17">
      <formula>AV12="X"</formula>
    </cfRule>
    <cfRule type="expression" priority="672" dxfId="16">
      <formula>AV12="후보"</formula>
    </cfRule>
  </conditionalFormatting>
  <conditionalFormatting sqref="AC12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N12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E12">
    <cfRule type="expression" priority="662" dxfId="3">
      <formula>AND(IF(OR($Q12=1,$Q12=2),1,0),IF($X12&lt;=20,1,0))</formula>
    </cfRule>
    <cfRule type="expression" priority="663" dxfId="2">
      <formula>AND(IF($Q12=2,1,0),IF($X12&lt;30,1,0))</formula>
    </cfRule>
    <cfRule type="expression" priority="664" dxfId="1">
      <formula>AND(IF($Q12=3,1,0),IF($X12&lt;30,1,0))</formula>
    </cfRule>
    <cfRule type="expression" priority="665" dxfId="0">
      <formula>AND(IF($Q12=3,1,IF($Q12=4,1,0)),IF($F12&lt;=85,1,0))</formula>
    </cfRule>
  </conditionalFormatting>
  <conditionalFormatting sqref="X12">
    <cfRule type="expression" priority="658" dxfId="3">
      <formula>AND(IF(OR($Q12=1,$Q12=2),1,0),IF($X12&lt;=20,1,0))</formula>
    </cfRule>
    <cfRule type="expression" priority="659" dxfId="2">
      <formula>AND(IF($Q12=2,1,0),IF($X12&lt;30,1,0))</formula>
    </cfRule>
    <cfRule type="expression" priority="660" dxfId="1">
      <formula>AND(IF($Q12=3,1,0),IF($X12&lt;30,1,0))</formula>
    </cfRule>
    <cfRule type="expression" priority="661" dxfId="0">
      <formula>AND(IF($Q12=3,1,IF($Q12=4,1,0)),IF($F12&lt;=85,1,0))</formula>
    </cfRule>
  </conditionalFormatting>
  <conditionalFormatting sqref="AI12">
    <cfRule type="expression" priority="654" dxfId="3">
      <formula>AND(IF(OR($Q12=1,$Q12=2),1,0),IF($X12&lt;=20,1,0))</formula>
    </cfRule>
    <cfRule type="expression" priority="655" dxfId="2">
      <formula>AND(IF($Q12=2,1,0),IF($X12&lt;30,1,0))</formula>
    </cfRule>
    <cfRule type="expression" priority="656" dxfId="1">
      <formula>AND(IF($Q12=3,1,0),IF($X12&lt;30,1,0))</formula>
    </cfRule>
    <cfRule type="expression" priority="657" dxfId="0">
      <formula>AND(IF($Q12=3,1,IF($Q12=4,1,0)),IF($F12&lt;=85,1,0))</formula>
    </cfRule>
  </conditionalFormatting>
  <conditionalFormatting sqref="AV13">
    <cfRule type="expression" priority="652" dxfId="17">
      <formula>AV13="X"</formula>
    </cfRule>
    <cfRule type="expression" priority="653" dxfId="16">
      <formula>AV13="후보"</formula>
    </cfRule>
  </conditionalFormatting>
  <conditionalFormatting sqref="AC13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13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13">
    <cfRule type="expression" priority="643" dxfId="3">
      <formula>AND(IF(OR($Q13=1,$Q13=2),1,0),IF($X13&lt;=20,1,0))</formula>
    </cfRule>
    <cfRule type="expression" priority="644" dxfId="2">
      <formula>AND(IF($Q13=2,1,0),IF($X13&lt;30,1,0))</formula>
    </cfRule>
    <cfRule type="expression" priority="645" dxfId="1">
      <formula>AND(IF($Q13=3,1,0),IF($X13&lt;30,1,0))</formula>
    </cfRule>
    <cfRule type="expression" priority="646" dxfId="0">
      <formula>AND(IF($Q13=3,1,IF($Q13=4,1,0)),IF($F13&lt;=85,1,0))</formula>
    </cfRule>
  </conditionalFormatting>
  <conditionalFormatting sqref="X13">
    <cfRule type="expression" priority="639" dxfId="3">
      <formula>AND(IF(OR($Q13=1,$Q13=2),1,0),IF($X13&lt;=20,1,0))</formula>
    </cfRule>
    <cfRule type="expression" priority="640" dxfId="2">
      <formula>AND(IF($Q13=2,1,0),IF($X13&lt;30,1,0))</formula>
    </cfRule>
    <cfRule type="expression" priority="641" dxfId="1">
      <formula>AND(IF($Q13=3,1,0),IF($X13&lt;30,1,0))</formula>
    </cfRule>
    <cfRule type="expression" priority="642" dxfId="0">
      <formula>AND(IF($Q13=3,1,IF($Q13=4,1,0)),IF($F13&lt;=85,1,0))</formula>
    </cfRule>
  </conditionalFormatting>
  <conditionalFormatting sqref="AI13">
    <cfRule type="expression" priority="635" dxfId="3">
      <formula>AND(IF(OR($Q13=1,$Q13=2),1,0),IF($X13&lt;=20,1,0))</formula>
    </cfRule>
    <cfRule type="expression" priority="636" dxfId="2">
      <formula>AND(IF($Q13=2,1,0),IF($X13&lt;30,1,0))</formula>
    </cfRule>
    <cfRule type="expression" priority="637" dxfId="1">
      <formula>AND(IF($Q13=3,1,0),IF($X13&lt;30,1,0))</formula>
    </cfRule>
    <cfRule type="expression" priority="638" dxfId="0">
      <formula>AND(IF($Q13=3,1,IF($Q13=4,1,0)),IF($F13&lt;=85,1,0))</formula>
    </cfRule>
  </conditionalFormatting>
  <conditionalFormatting sqref="AV14">
    <cfRule type="expression" priority="633" dxfId="17">
      <formula>AV14="X"</formula>
    </cfRule>
    <cfRule type="expression" priority="634" dxfId="16">
      <formula>AV14="후보"</formula>
    </cfRule>
  </conditionalFormatting>
  <conditionalFormatting sqref="AC14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14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14">
    <cfRule type="expression" priority="624" dxfId="3">
      <formula>AND(IF(OR($Q14=1,$Q14=2),1,0),IF($X14&lt;=20,1,0))</formula>
    </cfRule>
    <cfRule type="expression" priority="625" dxfId="2">
      <formula>AND(IF($Q14=2,1,0),IF($X14&lt;30,1,0))</formula>
    </cfRule>
    <cfRule type="expression" priority="626" dxfId="1">
      <formula>AND(IF($Q14=3,1,0),IF($X14&lt;30,1,0))</formula>
    </cfRule>
    <cfRule type="expression" priority="627" dxfId="0">
      <formula>AND(IF($Q14=3,1,IF($Q14=4,1,0)),IF($F14&lt;=85,1,0))</formula>
    </cfRule>
  </conditionalFormatting>
  <conditionalFormatting sqref="X14">
    <cfRule type="expression" priority="620" dxfId="3">
      <formula>AND(IF(OR($Q14=1,$Q14=2),1,0),IF($X14&lt;=20,1,0))</formula>
    </cfRule>
    <cfRule type="expression" priority="621" dxfId="2">
      <formula>AND(IF($Q14=2,1,0),IF($X14&lt;30,1,0))</formula>
    </cfRule>
    <cfRule type="expression" priority="622" dxfId="1">
      <formula>AND(IF($Q14=3,1,0),IF($X14&lt;30,1,0))</formula>
    </cfRule>
    <cfRule type="expression" priority="623" dxfId="0">
      <formula>AND(IF($Q14=3,1,IF($Q14=4,1,0)),IF($F14&lt;=85,1,0))</formula>
    </cfRule>
  </conditionalFormatting>
  <conditionalFormatting sqref="AI14">
    <cfRule type="expression" priority="616" dxfId="3">
      <formula>AND(IF(OR($Q14=1,$Q14=2),1,0),IF($X14&lt;=20,1,0))</formula>
    </cfRule>
    <cfRule type="expression" priority="617" dxfId="2">
      <formula>AND(IF($Q14=2,1,0),IF($X14&lt;30,1,0))</formula>
    </cfRule>
    <cfRule type="expression" priority="618" dxfId="1">
      <formula>AND(IF($Q14=3,1,0),IF($X14&lt;30,1,0))</formula>
    </cfRule>
    <cfRule type="expression" priority="619" dxfId="0">
      <formula>AND(IF($Q14=3,1,IF($Q14=4,1,0)),IF($F14&lt;=85,1,0))</formula>
    </cfRule>
  </conditionalFormatting>
  <conditionalFormatting sqref="AV15">
    <cfRule type="expression" priority="614" dxfId="17">
      <formula>AV15="X"</formula>
    </cfRule>
    <cfRule type="expression" priority="615" dxfId="16">
      <formula>AV15="후보"</formula>
    </cfRule>
  </conditionalFormatting>
  <conditionalFormatting sqref="AC15 N15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16">
    <cfRule type="expression" priority="609" dxfId="17">
      <formula>AV16="X"</formula>
    </cfRule>
    <cfRule type="expression" priority="610" dxfId="16">
      <formula>AV16="후보"</formula>
    </cfRule>
  </conditionalFormatting>
  <conditionalFormatting sqref="AC16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16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16">
    <cfRule type="expression" priority="600" dxfId="3">
      <formula>AND(IF(OR($Q16=1,$Q16=2),1,0),IF($X16&lt;=20,1,0))</formula>
    </cfRule>
    <cfRule type="expression" priority="601" dxfId="2">
      <formula>AND(IF($Q16=2,1,0),IF($X16&lt;30,1,0))</formula>
    </cfRule>
    <cfRule type="expression" priority="602" dxfId="1">
      <formula>AND(IF($Q16=3,1,0),IF($X16&lt;30,1,0))</formula>
    </cfRule>
    <cfRule type="expression" priority="603" dxfId="0">
      <formula>AND(IF($Q16=3,1,IF($Q16=4,1,0)),IF($F16&lt;=85,1,0))</formula>
    </cfRule>
  </conditionalFormatting>
  <conditionalFormatting sqref="X16">
    <cfRule type="expression" priority="596" dxfId="3">
      <formula>AND(IF(OR($Q16=1,$Q16=2),1,0),IF($X16&lt;=20,1,0))</formula>
    </cfRule>
    <cfRule type="expression" priority="597" dxfId="2">
      <formula>AND(IF($Q16=2,1,0),IF($X16&lt;30,1,0))</formula>
    </cfRule>
    <cfRule type="expression" priority="598" dxfId="1">
      <formula>AND(IF($Q16=3,1,0),IF($X16&lt;30,1,0))</formula>
    </cfRule>
    <cfRule type="expression" priority="599" dxfId="0">
      <formula>AND(IF($Q16=3,1,IF($Q16=4,1,0)),IF($F16&lt;=85,1,0))</formula>
    </cfRule>
  </conditionalFormatting>
  <conditionalFormatting sqref="AI16">
    <cfRule type="expression" priority="592" dxfId="3">
      <formula>AND(IF(OR($Q16=1,$Q16=2),1,0),IF($X16&lt;=20,1,0))</formula>
    </cfRule>
    <cfRule type="expression" priority="593" dxfId="2">
      <formula>AND(IF($Q16=2,1,0),IF($X16&lt;30,1,0))</formula>
    </cfRule>
    <cfRule type="expression" priority="594" dxfId="1">
      <formula>AND(IF($Q16=3,1,0),IF($X16&lt;30,1,0))</formula>
    </cfRule>
    <cfRule type="expression" priority="595" dxfId="0">
      <formula>AND(IF($Q16=3,1,IF($Q16=4,1,0)),IF($F16&lt;=85,1,0))</formula>
    </cfRule>
  </conditionalFormatting>
  <conditionalFormatting sqref="AV17">
    <cfRule type="expression" priority="590" dxfId="17">
      <formula>AV17="X"</formula>
    </cfRule>
    <cfRule type="expression" priority="591" dxfId="16">
      <formula>AV17="후보"</formula>
    </cfRule>
  </conditionalFormatting>
  <conditionalFormatting sqref="AC17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17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17">
    <cfRule type="expression" priority="581" dxfId="3">
      <formula>AND(IF(OR($Q17=1,$Q17=2),1,0),IF($X17&lt;=20,1,0))</formula>
    </cfRule>
    <cfRule type="expression" priority="582" dxfId="2">
      <formula>AND(IF($Q17=2,1,0),IF($X17&lt;30,1,0))</formula>
    </cfRule>
    <cfRule type="expression" priority="583" dxfId="1">
      <formula>AND(IF($Q17=3,1,0),IF($X17&lt;30,1,0))</formula>
    </cfRule>
    <cfRule type="expression" priority="584" dxfId="0">
      <formula>AND(IF($Q17=3,1,IF($Q17=4,1,0)),IF($F17&lt;=85,1,0))</formula>
    </cfRule>
  </conditionalFormatting>
  <conditionalFormatting sqref="X17">
    <cfRule type="expression" priority="577" dxfId="3">
      <formula>AND(IF(OR($Q17=1,$Q17=2),1,0),IF($X17&lt;=20,1,0))</formula>
    </cfRule>
    <cfRule type="expression" priority="578" dxfId="2">
      <formula>AND(IF($Q17=2,1,0),IF($X17&lt;30,1,0))</formula>
    </cfRule>
    <cfRule type="expression" priority="579" dxfId="1">
      <formula>AND(IF($Q17=3,1,0),IF($X17&lt;30,1,0))</formula>
    </cfRule>
    <cfRule type="expression" priority="580" dxfId="0">
      <formula>AND(IF($Q17=3,1,IF($Q17=4,1,0)),IF($F17&lt;=85,1,0))</formula>
    </cfRule>
  </conditionalFormatting>
  <conditionalFormatting sqref="AI17">
    <cfRule type="expression" priority="573" dxfId="3">
      <formula>AND(IF(OR($Q17=1,$Q17=2),1,0),IF($X17&lt;=20,1,0))</formula>
    </cfRule>
    <cfRule type="expression" priority="574" dxfId="2">
      <formula>AND(IF($Q17=2,1,0),IF($X17&lt;30,1,0))</formula>
    </cfRule>
    <cfRule type="expression" priority="575" dxfId="1">
      <formula>AND(IF($Q17=3,1,0),IF($X17&lt;30,1,0))</formula>
    </cfRule>
    <cfRule type="expression" priority="576" dxfId="0">
      <formula>AND(IF($Q17=3,1,IF($Q17=4,1,0)),IF($F17&lt;=85,1,0))</formula>
    </cfRule>
  </conditionalFormatting>
  <conditionalFormatting sqref="AV18">
    <cfRule type="expression" priority="571" dxfId="17">
      <formula>AV18="X"</formula>
    </cfRule>
    <cfRule type="expression" priority="572" dxfId="16">
      <formula>AV18="후보"</formula>
    </cfRule>
  </conditionalFormatting>
  <conditionalFormatting sqref="AC18 N18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AV19">
    <cfRule type="expression" priority="566" dxfId="17">
      <formula>AV19="X"</formula>
    </cfRule>
    <cfRule type="expression" priority="567" dxfId="16">
      <formula>AV19="후보"</formula>
    </cfRule>
  </conditionalFormatting>
  <conditionalFormatting sqref="AC19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9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9">
    <cfRule type="expression" priority="557" dxfId="3">
      <formula>AND(IF(OR($Q19=1,$Q19=2),1,0),IF($X19&lt;=20,1,0))</formula>
    </cfRule>
    <cfRule type="expression" priority="558" dxfId="2">
      <formula>AND(IF($Q19=2,1,0),IF($X19&lt;30,1,0))</formula>
    </cfRule>
    <cfRule type="expression" priority="559" dxfId="1">
      <formula>AND(IF($Q19=3,1,0),IF($X19&lt;30,1,0))</formula>
    </cfRule>
    <cfRule type="expression" priority="560" dxfId="0">
      <formula>AND(IF($Q19=3,1,IF($Q19=4,1,0)),IF($F19&lt;=85,1,0))</formula>
    </cfRule>
  </conditionalFormatting>
  <conditionalFormatting sqref="X19">
    <cfRule type="expression" priority="553" dxfId="3">
      <formula>AND(IF(OR($Q19=1,$Q19=2),1,0),IF($X19&lt;=20,1,0))</formula>
    </cfRule>
    <cfRule type="expression" priority="554" dxfId="2">
      <formula>AND(IF($Q19=2,1,0),IF($X19&lt;30,1,0))</formula>
    </cfRule>
    <cfRule type="expression" priority="555" dxfId="1">
      <formula>AND(IF($Q19=3,1,0),IF($X19&lt;30,1,0))</formula>
    </cfRule>
    <cfRule type="expression" priority="556" dxfId="0">
      <formula>AND(IF($Q19=3,1,IF($Q19=4,1,0)),IF($F19&lt;=85,1,0))</formula>
    </cfRule>
  </conditionalFormatting>
  <conditionalFormatting sqref="AI19">
    <cfRule type="expression" priority="549" dxfId="3">
      <formula>AND(IF(OR($Q19=1,$Q19=2),1,0),IF($X19&lt;=20,1,0))</formula>
    </cfRule>
    <cfRule type="expression" priority="550" dxfId="2">
      <formula>AND(IF($Q19=2,1,0),IF($X19&lt;30,1,0))</formula>
    </cfRule>
    <cfRule type="expression" priority="551" dxfId="1">
      <formula>AND(IF($Q19=3,1,0),IF($X19&lt;30,1,0))</formula>
    </cfRule>
    <cfRule type="expression" priority="552" dxfId="0">
      <formula>AND(IF($Q19=3,1,IF($Q19=4,1,0)),IF($F19&lt;=85,1,0))</formula>
    </cfRule>
  </conditionalFormatting>
  <conditionalFormatting sqref="AV20">
    <cfRule type="expression" priority="547" dxfId="17">
      <formula>AV20="X"</formula>
    </cfRule>
    <cfRule type="expression" priority="548" dxfId="16">
      <formula>AV20="후보"</formula>
    </cfRule>
  </conditionalFormatting>
  <conditionalFormatting sqref="AC20 N20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AV21">
    <cfRule type="expression" priority="542" dxfId="17">
      <formula>AV21="X"</formula>
    </cfRule>
    <cfRule type="expression" priority="543" dxfId="16">
      <formula>AV21="후보"</formula>
    </cfRule>
  </conditionalFormatting>
  <conditionalFormatting sqref="AC21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21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21">
    <cfRule type="expression" priority="533" dxfId="3">
      <formula>AND(IF(OR($Q21=1,$Q21=2),1,0),IF($X21&lt;=20,1,0))</formula>
    </cfRule>
    <cfRule type="expression" priority="534" dxfId="2">
      <formula>AND(IF($Q21=2,1,0),IF($X21&lt;30,1,0))</formula>
    </cfRule>
    <cfRule type="expression" priority="535" dxfId="1">
      <formula>AND(IF($Q21=3,1,0),IF($X21&lt;30,1,0))</formula>
    </cfRule>
    <cfRule type="expression" priority="536" dxfId="0">
      <formula>AND(IF($Q21=3,1,IF($Q21=4,1,0)),IF($F21&lt;=85,1,0))</formula>
    </cfRule>
  </conditionalFormatting>
  <conditionalFormatting sqref="X21">
    <cfRule type="expression" priority="529" dxfId="3">
      <formula>AND(IF(OR($Q21=1,$Q21=2),1,0),IF($X21&lt;=20,1,0))</formula>
    </cfRule>
    <cfRule type="expression" priority="530" dxfId="2">
      <formula>AND(IF($Q21=2,1,0),IF($X21&lt;30,1,0))</formula>
    </cfRule>
    <cfRule type="expression" priority="531" dxfId="1">
      <formula>AND(IF($Q21=3,1,0),IF($X21&lt;30,1,0))</formula>
    </cfRule>
    <cfRule type="expression" priority="532" dxfId="0">
      <formula>AND(IF($Q21=3,1,IF($Q21=4,1,0)),IF($F21&lt;=85,1,0))</formula>
    </cfRule>
  </conditionalFormatting>
  <conditionalFormatting sqref="AI21">
    <cfRule type="expression" priority="525" dxfId="3">
      <formula>AND(IF(OR($Q21=1,$Q21=2),1,0),IF($X21&lt;=20,1,0))</formula>
    </cfRule>
    <cfRule type="expression" priority="526" dxfId="2">
      <formula>AND(IF($Q21=2,1,0),IF($X21&lt;30,1,0))</formula>
    </cfRule>
    <cfRule type="expression" priority="527" dxfId="1">
      <formula>AND(IF($Q21=3,1,0),IF($X21&lt;30,1,0))</formula>
    </cfRule>
    <cfRule type="expression" priority="528" dxfId="0">
      <formula>AND(IF($Q21=3,1,IF($Q21=4,1,0)),IF($F21&lt;=85,1,0))</formula>
    </cfRule>
  </conditionalFormatting>
  <conditionalFormatting sqref="AV22">
    <cfRule type="expression" priority="523" dxfId="17">
      <formula>AV22="X"</formula>
    </cfRule>
    <cfRule type="expression" priority="524" dxfId="16">
      <formula>AV22="후보"</formula>
    </cfRule>
  </conditionalFormatting>
  <conditionalFormatting sqref="AC22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22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22">
    <cfRule type="expression" priority="514" dxfId="3">
      <formula>AND(IF(OR($Q22=1,$Q22=2),1,0),IF($X22&lt;=20,1,0))</formula>
    </cfRule>
    <cfRule type="expression" priority="515" dxfId="2">
      <formula>AND(IF($Q22=2,1,0),IF($X22&lt;30,1,0))</formula>
    </cfRule>
    <cfRule type="expression" priority="516" dxfId="1">
      <formula>AND(IF($Q22=3,1,0),IF($X22&lt;30,1,0))</formula>
    </cfRule>
    <cfRule type="expression" priority="517" dxfId="0">
      <formula>AND(IF($Q22=3,1,IF($Q22=4,1,0)),IF($F22&lt;=85,1,0))</formula>
    </cfRule>
  </conditionalFormatting>
  <conditionalFormatting sqref="X22">
    <cfRule type="expression" priority="510" dxfId="3">
      <formula>AND(IF(OR($Q22=1,$Q22=2),1,0),IF($X22&lt;=20,1,0))</formula>
    </cfRule>
    <cfRule type="expression" priority="511" dxfId="2">
      <formula>AND(IF($Q22=2,1,0),IF($X22&lt;30,1,0))</formula>
    </cfRule>
    <cfRule type="expression" priority="512" dxfId="1">
      <formula>AND(IF($Q22=3,1,0),IF($X22&lt;30,1,0))</formula>
    </cfRule>
    <cfRule type="expression" priority="513" dxfId="0">
      <formula>AND(IF($Q22=3,1,IF($Q22=4,1,0)),IF($F22&lt;=85,1,0))</formula>
    </cfRule>
  </conditionalFormatting>
  <conditionalFormatting sqref="AI22">
    <cfRule type="expression" priority="506" dxfId="3">
      <formula>AND(IF(OR($Q22=1,$Q22=2),1,0),IF($X22&lt;=20,1,0))</formula>
    </cfRule>
    <cfRule type="expression" priority="507" dxfId="2">
      <formula>AND(IF($Q22=2,1,0),IF($X22&lt;30,1,0))</formula>
    </cfRule>
    <cfRule type="expression" priority="508" dxfId="1">
      <formula>AND(IF($Q22=3,1,0),IF($X22&lt;30,1,0))</formula>
    </cfRule>
    <cfRule type="expression" priority="509" dxfId="0">
      <formula>AND(IF($Q22=3,1,IF($Q22=4,1,0)),IF($F22&lt;=85,1,0))</formula>
    </cfRule>
  </conditionalFormatting>
  <conditionalFormatting sqref="AV23">
    <cfRule type="expression" priority="504" dxfId="17">
      <formula>AV23="X"</formula>
    </cfRule>
    <cfRule type="expression" priority="505" dxfId="16">
      <formula>AV23="후보"</formula>
    </cfRule>
  </conditionalFormatting>
  <conditionalFormatting sqref="AC2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2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23">
    <cfRule type="expression" priority="495" dxfId="3">
      <formula>AND(IF(OR($Q23=1,$Q23=2),1,0),IF($X23&lt;=20,1,0))</formula>
    </cfRule>
    <cfRule type="expression" priority="496" dxfId="2">
      <formula>AND(IF($Q23=2,1,0),IF($X23&lt;30,1,0))</formula>
    </cfRule>
    <cfRule type="expression" priority="497" dxfId="1">
      <formula>AND(IF($Q23=3,1,0),IF($X23&lt;30,1,0))</formula>
    </cfRule>
    <cfRule type="expression" priority="498" dxfId="0">
      <formula>AND(IF($Q23=3,1,IF($Q23=4,1,0)),IF($F23&lt;=85,1,0))</formula>
    </cfRule>
  </conditionalFormatting>
  <conditionalFormatting sqref="X23">
    <cfRule type="expression" priority="491" dxfId="3">
      <formula>AND(IF(OR($Q23=1,$Q23=2),1,0),IF($X23&lt;=20,1,0))</formula>
    </cfRule>
    <cfRule type="expression" priority="492" dxfId="2">
      <formula>AND(IF($Q23=2,1,0),IF($X23&lt;30,1,0))</formula>
    </cfRule>
    <cfRule type="expression" priority="493" dxfId="1">
      <formula>AND(IF($Q23=3,1,0),IF($X23&lt;30,1,0))</formula>
    </cfRule>
    <cfRule type="expression" priority="494" dxfId="0">
      <formula>AND(IF($Q23=3,1,IF($Q23=4,1,0)),IF($F23&lt;=85,1,0))</formula>
    </cfRule>
  </conditionalFormatting>
  <conditionalFormatting sqref="AI23">
    <cfRule type="expression" priority="487" dxfId="3">
      <formula>AND(IF(OR($Q23=1,$Q23=2),1,0),IF($X23&lt;=20,1,0))</formula>
    </cfRule>
    <cfRule type="expression" priority="488" dxfId="2">
      <formula>AND(IF($Q23=2,1,0),IF($X23&lt;30,1,0))</formula>
    </cfRule>
    <cfRule type="expression" priority="489" dxfId="1">
      <formula>AND(IF($Q23=3,1,0),IF($X23&lt;30,1,0))</formula>
    </cfRule>
    <cfRule type="expression" priority="490" dxfId="0">
      <formula>AND(IF($Q23=3,1,IF($Q23=4,1,0)),IF($F23&lt;=85,1,0))</formula>
    </cfRule>
  </conditionalFormatting>
  <conditionalFormatting sqref="AV24">
    <cfRule type="expression" priority="485" dxfId="17">
      <formula>AV24="X"</formula>
    </cfRule>
    <cfRule type="expression" priority="486" dxfId="16">
      <formula>AV24="후보"</formula>
    </cfRule>
  </conditionalFormatting>
  <conditionalFormatting sqref="AC24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24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24">
    <cfRule type="expression" priority="476" dxfId="3">
      <formula>AND(IF(OR($Q24=1,$Q24=2),1,0),IF($X24&lt;=20,1,0))</formula>
    </cfRule>
    <cfRule type="expression" priority="477" dxfId="2">
      <formula>AND(IF($Q24=2,1,0),IF($X24&lt;30,1,0))</formula>
    </cfRule>
    <cfRule type="expression" priority="478" dxfId="1">
      <formula>AND(IF($Q24=3,1,0),IF($X24&lt;30,1,0))</formula>
    </cfRule>
    <cfRule type="expression" priority="479" dxfId="0">
      <formula>AND(IF($Q24=3,1,IF($Q24=4,1,0)),IF($F24&lt;=85,1,0))</formula>
    </cfRule>
  </conditionalFormatting>
  <conditionalFormatting sqref="X24">
    <cfRule type="expression" priority="472" dxfId="3">
      <formula>AND(IF(OR($Q24=1,$Q24=2),1,0),IF($X24&lt;=20,1,0))</formula>
    </cfRule>
    <cfRule type="expression" priority="473" dxfId="2">
      <formula>AND(IF($Q24=2,1,0),IF($X24&lt;30,1,0))</formula>
    </cfRule>
    <cfRule type="expression" priority="474" dxfId="1">
      <formula>AND(IF($Q24=3,1,0),IF($X24&lt;30,1,0))</formula>
    </cfRule>
    <cfRule type="expression" priority="475" dxfId="0">
      <formula>AND(IF($Q24=3,1,IF($Q24=4,1,0)),IF($F24&lt;=85,1,0))</formula>
    </cfRule>
  </conditionalFormatting>
  <conditionalFormatting sqref="AI24">
    <cfRule type="expression" priority="468" dxfId="3">
      <formula>AND(IF(OR($Q24=1,$Q24=2),1,0),IF($X24&lt;=20,1,0))</formula>
    </cfRule>
    <cfRule type="expression" priority="469" dxfId="2">
      <formula>AND(IF($Q24=2,1,0),IF($X24&lt;30,1,0))</formula>
    </cfRule>
    <cfRule type="expression" priority="470" dxfId="1">
      <formula>AND(IF($Q24=3,1,0),IF($X24&lt;30,1,0))</formula>
    </cfRule>
    <cfRule type="expression" priority="471" dxfId="0">
      <formula>AND(IF($Q24=3,1,IF($Q24=4,1,0)),IF($F24&lt;=85,1,0))</formula>
    </cfRule>
  </conditionalFormatting>
  <conditionalFormatting sqref="AV25">
    <cfRule type="expression" priority="466" dxfId="17">
      <formula>AV25="X"</formula>
    </cfRule>
    <cfRule type="expression" priority="467" dxfId="16">
      <formula>AV25="후보"</formula>
    </cfRule>
  </conditionalFormatting>
  <conditionalFormatting sqref="AC25 N2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AV26">
    <cfRule type="expression" priority="461" dxfId="17">
      <formula>AV26="X"</formula>
    </cfRule>
    <cfRule type="expression" priority="462" dxfId="16">
      <formula>AV26="후보"</formula>
    </cfRule>
  </conditionalFormatting>
  <conditionalFormatting sqref="AC26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6">
    <cfRule type="expression" priority="452" dxfId="3">
      <formula>AND(IF(OR($Q26=1,$Q26=2),1,0),IF($X26&lt;=20,1,0))</formula>
    </cfRule>
    <cfRule type="expression" priority="453" dxfId="2">
      <formula>AND(IF($Q26=2,1,0),IF($X26&lt;30,1,0))</formula>
    </cfRule>
    <cfRule type="expression" priority="454" dxfId="1">
      <formula>AND(IF($Q26=3,1,0),IF($X26&lt;30,1,0))</formula>
    </cfRule>
    <cfRule type="expression" priority="455" dxfId="0">
      <formula>AND(IF($Q26=3,1,IF($Q26=4,1,0)),IF($F26&lt;=85,1,0))</formula>
    </cfRule>
  </conditionalFormatting>
  <conditionalFormatting sqref="X26">
    <cfRule type="expression" priority="448" dxfId="3">
      <formula>AND(IF(OR($Q26=1,$Q26=2),1,0),IF($X26&lt;=20,1,0))</formula>
    </cfRule>
    <cfRule type="expression" priority="449" dxfId="2">
      <formula>AND(IF($Q26=2,1,0),IF($X26&lt;30,1,0))</formula>
    </cfRule>
    <cfRule type="expression" priority="450" dxfId="1">
      <formula>AND(IF($Q26=3,1,0),IF($X26&lt;30,1,0))</formula>
    </cfRule>
    <cfRule type="expression" priority="451" dxfId="0">
      <formula>AND(IF($Q26=3,1,IF($Q26=4,1,0)),IF($F26&lt;=85,1,0))</formula>
    </cfRule>
  </conditionalFormatting>
  <conditionalFormatting sqref="AI26">
    <cfRule type="expression" priority="444" dxfId="3">
      <formula>AND(IF(OR($Q26=1,$Q26=2),1,0),IF($X26&lt;=20,1,0))</formula>
    </cfRule>
    <cfRule type="expression" priority="445" dxfId="2">
      <formula>AND(IF($Q26=2,1,0),IF($X26&lt;30,1,0))</formula>
    </cfRule>
    <cfRule type="expression" priority="446" dxfId="1">
      <formula>AND(IF($Q26=3,1,0),IF($X26&lt;30,1,0))</formula>
    </cfRule>
    <cfRule type="expression" priority="447" dxfId="0">
      <formula>AND(IF($Q26=3,1,IF($Q26=4,1,0)),IF($F26&lt;=85,1,0))</formula>
    </cfRule>
  </conditionalFormatting>
  <conditionalFormatting sqref="AV27">
    <cfRule type="expression" priority="442" dxfId="17">
      <formula>AV27="X"</formula>
    </cfRule>
    <cfRule type="expression" priority="443" dxfId="16">
      <formula>AV27="후보"</formula>
    </cfRule>
  </conditionalFormatting>
  <conditionalFormatting sqref="AC2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7">
    <cfRule type="expression" priority="433" dxfId="3">
      <formula>AND(IF(OR($Q27=1,$Q27=2),1,0),IF($X27&lt;=20,1,0))</formula>
    </cfRule>
    <cfRule type="expression" priority="434" dxfId="2">
      <formula>AND(IF($Q27=2,1,0),IF($X27&lt;30,1,0))</formula>
    </cfRule>
    <cfRule type="expression" priority="435" dxfId="1">
      <formula>AND(IF($Q27=3,1,0),IF($X27&lt;30,1,0))</formula>
    </cfRule>
    <cfRule type="expression" priority="436" dxfId="0">
      <formula>AND(IF($Q27=3,1,IF($Q27=4,1,0)),IF($F27&lt;=85,1,0))</formula>
    </cfRule>
  </conditionalFormatting>
  <conditionalFormatting sqref="X27">
    <cfRule type="expression" priority="429" dxfId="3">
      <formula>AND(IF(OR($Q27=1,$Q27=2),1,0),IF($X27&lt;=20,1,0))</formula>
    </cfRule>
    <cfRule type="expression" priority="430" dxfId="2">
      <formula>AND(IF($Q27=2,1,0),IF($X27&lt;30,1,0))</formula>
    </cfRule>
    <cfRule type="expression" priority="431" dxfId="1">
      <formula>AND(IF($Q27=3,1,0),IF($X27&lt;30,1,0))</formula>
    </cfRule>
    <cfRule type="expression" priority="432" dxfId="0">
      <formula>AND(IF($Q27=3,1,IF($Q27=4,1,0)),IF($F27&lt;=85,1,0))</formula>
    </cfRule>
  </conditionalFormatting>
  <conditionalFormatting sqref="AI27">
    <cfRule type="expression" priority="425" dxfId="3">
      <formula>AND(IF(OR($Q27=1,$Q27=2),1,0),IF($X27&lt;=20,1,0))</formula>
    </cfRule>
    <cfRule type="expression" priority="426" dxfId="2">
      <formula>AND(IF($Q27=2,1,0),IF($X27&lt;30,1,0))</formula>
    </cfRule>
    <cfRule type="expression" priority="427" dxfId="1">
      <formula>AND(IF($Q27=3,1,0),IF($X27&lt;30,1,0))</formula>
    </cfRule>
    <cfRule type="expression" priority="428" dxfId="0">
      <formula>AND(IF($Q27=3,1,IF($Q27=4,1,0)),IF($F27&lt;=85,1,0))</formula>
    </cfRule>
  </conditionalFormatting>
  <conditionalFormatting sqref="AV28">
    <cfRule type="expression" priority="423" dxfId="17">
      <formula>AV28="X"</formula>
    </cfRule>
    <cfRule type="expression" priority="424" dxfId="16">
      <formula>AV28="후보"</formula>
    </cfRule>
  </conditionalFormatting>
  <conditionalFormatting sqref="AC2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8">
    <cfRule type="expression" priority="414" dxfId="3">
      <formula>AND(IF(OR($Q28=1,$Q28=2),1,0),IF($X28&lt;=20,1,0))</formula>
    </cfRule>
    <cfRule type="expression" priority="415" dxfId="2">
      <formula>AND(IF($Q28=2,1,0),IF($X28&lt;30,1,0))</formula>
    </cfRule>
    <cfRule type="expression" priority="416" dxfId="1">
      <formula>AND(IF($Q28=3,1,0),IF($X28&lt;30,1,0))</formula>
    </cfRule>
    <cfRule type="expression" priority="417" dxfId="0">
      <formula>AND(IF($Q28=3,1,IF($Q28=4,1,0)),IF($F28&lt;=85,1,0))</formula>
    </cfRule>
  </conditionalFormatting>
  <conditionalFormatting sqref="X28">
    <cfRule type="expression" priority="410" dxfId="3">
      <formula>AND(IF(OR($Q28=1,$Q28=2),1,0),IF($X28&lt;=20,1,0))</formula>
    </cfRule>
    <cfRule type="expression" priority="411" dxfId="2">
      <formula>AND(IF($Q28=2,1,0),IF($X28&lt;30,1,0))</formula>
    </cfRule>
    <cfRule type="expression" priority="412" dxfId="1">
      <formula>AND(IF($Q28=3,1,0),IF($X28&lt;30,1,0))</formula>
    </cfRule>
    <cfRule type="expression" priority="413" dxfId="0">
      <formula>AND(IF($Q28=3,1,IF($Q28=4,1,0)),IF($F28&lt;=85,1,0))</formula>
    </cfRule>
  </conditionalFormatting>
  <conditionalFormatting sqref="AI28">
    <cfRule type="expression" priority="406" dxfId="3">
      <formula>AND(IF(OR($Q28=1,$Q28=2),1,0),IF($X28&lt;=20,1,0))</formula>
    </cfRule>
    <cfRule type="expression" priority="407" dxfId="2">
      <formula>AND(IF($Q28=2,1,0),IF($X28&lt;30,1,0))</formula>
    </cfRule>
    <cfRule type="expression" priority="408" dxfId="1">
      <formula>AND(IF($Q28=3,1,0),IF($X28&lt;30,1,0))</formula>
    </cfRule>
    <cfRule type="expression" priority="409" dxfId="0">
      <formula>AND(IF($Q28=3,1,IF($Q28=4,1,0)),IF($F28&lt;=85,1,0))</formula>
    </cfRule>
  </conditionalFormatting>
  <conditionalFormatting sqref="AV29">
    <cfRule type="expression" priority="404" dxfId="17">
      <formula>AV29="X"</formula>
    </cfRule>
    <cfRule type="expression" priority="405" dxfId="16">
      <formula>AV29="후보"</formula>
    </cfRule>
  </conditionalFormatting>
  <conditionalFormatting sqref="AC2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9">
    <cfRule type="expression" priority="395" dxfId="3">
      <formula>AND(IF(OR($Q29=1,$Q29=2),1,0),IF($X29&lt;=20,1,0))</formula>
    </cfRule>
    <cfRule type="expression" priority="396" dxfId="2">
      <formula>AND(IF($Q29=2,1,0),IF($X29&lt;30,1,0))</formula>
    </cfRule>
    <cfRule type="expression" priority="397" dxfId="1">
      <formula>AND(IF($Q29=3,1,0),IF($X29&lt;30,1,0))</formula>
    </cfRule>
    <cfRule type="expression" priority="398" dxfId="0">
      <formula>AND(IF($Q29=3,1,IF($Q29=4,1,0)),IF($F29&lt;=85,1,0))</formula>
    </cfRule>
  </conditionalFormatting>
  <conditionalFormatting sqref="X29">
    <cfRule type="expression" priority="391" dxfId="3">
      <formula>AND(IF(OR($Q29=1,$Q29=2),1,0),IF($X29&lt;=20,1,0))</formula>
    </cfRule>
    <cfRule type="expression" priority="392" dxfId="2">
      <formula>AND(IF($Q29=2,1,0),IF($X29&lt;30,1,0))</formula>
    </cfRule>
    <cfRule type="expression" priority="393" dxfId="1">
      <formula>AND(IF($Q29=3,1,0),IF($X29&lt;30,1,0))</formula>
    </cfRule>
    <cfRule type="expression" priority="394" dxfId="0">
      <formula>AND(IF($Q29=3,1,IF($Q29=4,1,0)),IF($F29&lt;=85,1,0))</formula>
    </cfRule>
  </conditionalFormatting>
  <conditionalFormatting sqref="AI29">
    <cfRule type="expression" priority="387" dxfId="3">
      <formula>AND(IF(OR($Q29=1,$Q29=2),1,0),IF($X29&lt;=20,1,0))</formula>
    </cfRule>
    <cfRule type="expression" priority="388" dxfId="2">
      <formula>AND(IF($Q29=2,1,0),IF($X29&lt;30,1,0))</formula>
    </cfRule>
    <cfRule type="expression" priority="389" dxfId="1">
      <formula>AND(IF($Q29=3,1,0),IF($X29&lt;30,1,0))</formula>
    </cfRule>
    <cfRule type="expression" priority="390" dxfId="0">
      <formula>AND(IF($Q29=3,1,IF($Q29=4,1,0)),IF($F29&lt;=85,1,0))</formula>
    </cfRule>
  </conditionalFormatting>
  <conditionalFormatting sqref="AV30">
    <cfRule type="expression" priority="385" dxfId="17">
      <formula>AV30="X"</formula>
    </cfRule>
    <cfRule type="expression" priority="386" dxfId="16">
      <formula>AV30="후보"</formula>
    </cfRule>
  </conditionalFormatting>
  <conditionalFormatting sqref="AC30 N3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31">
    <cfRule type="expression" priority="380" dxfId="17">
      <formula>AV31="X"</formula>
    </cfRule>
    <cfRule type="expression" priority="381" dxfId="16">
      <formula>AV31="후보"</formula>
    </cfRule>
  </conditionalFormatting>
  <conditionalFormatting sqref="AC3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3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31">
    <cfRule type="expression" priority="371" dxfId="3">
      <formula>AND(IF(OR($Q31=1,$Q31=2),1,0),IF($X31&lt;=20,1,0))</formula>
    </cfRule>
    <cfRule type="expression" priority="372" dxfId="2">
      <formula>AND(IF($Q31=2,1,0),IF($X31&lt;30,1,0))</formula>
    </cfRule>
    <cfRule type="expression" priority="373" dxfId="1">
      <formula>AND(IF($Q31=3,1,0),IF($X31&lt;30,1,0))</formula>
    </cfRule>
    <cfRule type="expression" priority="374" dxfId="0">
      <formula>AND(IF($Q31=3,1,IF($Q31=4,1,0)),IF($F31&lt;=85,1,0))</formula>
    </cfRule>
  </conditionalFormatting>
  <conditionalFormatting sqref="X31">
    <cfRule type="expression" priority="367" dxfId="3">
      <formula>AND(IF(OR($Q31=1,$Q31=2),1,0),IF($X31&lt;=20,1,0))</formula>
    </cfRule>
    <cfRule type="expression" priority="368" dxfId="2">
      <formula>AND(IF($Q31=2,1,0),IF($X31&lt;30,1,0))</formula>
    </cfRule>
    <cfRule type="expression" priority="369" dxfId="1">
      <formula>AND(IF($Q31=3,1,0),IF($X31&lt;30,1,0))</formula>
    </cfRule>
    <cfRule type="expression" priority="370" dxfId="0">
      <formula>AND(IF($Q31=3,1,IF($Q31=4,1,0)),IF($F31&lt;=85,1,0))</formula>
    </cfRule>
  </conditionalFormatting>
  <conditionalFormatting sqref="AI31">
    <cfRule type="expression" priority="363" dxfId="3">
      <formula>AND(IF(OR($Q31=1,$Q31=2),1,0),IF($X31&lt;=20,1,0))</formula>
    </cfRule>
    <cfRule type="expression" priority="364" dxfId="2">
      <formula>AND(IF($Q31=2,1,0),IF($X31&lt;30,1,0))</formula>
    </cfRule>
    <cfRule type="expression" priority="365" dxfId="1">
      <formula>AND(IF($Q31=3,1,0),IF($X31&lt;30,1,0))</formula>
    </cfRule>
    <cfRule type="expression" priority="366" dxfId="0">
      <formula>AND(IF($Q31=3,1,IF($Q31=4,1,0)),IF($F31&lt;=85,1,0))</formula>
    </cfRule>
  </conditionalFormatting>
  <conditionalFormatting sqref="AV32">
    <cfRule type="expression" priority="361" dxfId="17">
      <formula>AV32="X"</formula>
    </cfRule>
    <cfRule type="expression" priority="362" dxfId="16">
      <formula>AV32="후보"</formula>
    </cfRule>
  </conditionalFormatting>
  <conditionalFormatting sqref="AC32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32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32">
    <cfRule type="expression" priority="352" dxfId="3">
      <formula>AND(IF(OR($Q32=1,$Q32=2),1,0),IF($X32&lt;=20,1,0))</formula>
    </cfRule>
    <cfRule type="expression" priority="353" dxfId="2">
      <formula>AND(IF($Q32=2,1,0),IF($X32&lt;30,1,0))</formula>
    </cfRule>
    <cfRule type="expression" priority="354" dxfId="1">
      <formula>AND(IF($Q32=3,1,0),IF($X32&lt;30,1,0))</formula>
    </cfRule>
    <cfRule type="expression" priority="355" dxfId="0">
      <formula>AND(IF($Q32=3,1,IF($Q32=4,1,0)),IF($F32&lt;=85,1,0))</formula>
    </cfRule>
  </conditionalFormatting>
  <conditionalFormatting sqref="X32">
    <cfRule type="expression" priority="348" dxfId="3">
      <formula>AND(IF(OR($Q32=1,$Q32=2),1,0),IF($X32&lt;=20,1,0))</formula>
    </cfRule>
    <cfRule type="expression" priority="349" dxfId="2">
      <formula>AND(IF($Q32=2,1,0),IF($X32&lt;30,1,0))</formula>
    </cfRule>
    <cfRule type="expression" priority="350" dxfId="1">
      <formula>AND(IF($Q32=3,1,0),IF($X32&lt;30,1,0))</formula>
    </cfRule>
    <cfRule type="expression" priority="351" dxfId="0">
      <formula>AND(IF($Q32=3,1,IF($Q32=4,1,0)),IF($F32&lt;=85,1,0))</formula>
    </cfRule>
  </conditionalFormatting>
  <conditionalFormatting sqref="AI32">
    <cfRule type="expression" priority="344" dxfId="3">
      <formula>AND(IF(OR($Q32=1,$Q32=2),1,0),IF($X32&lt;=20,1,0))</formula>
    </cfRule>
    <cfRule type="expression" priority="345" dxfId="2">
      <formula>AND(IF($Q32=2,1,0),IF($X32&lt;30,1,0))</formula>
    </cfRule>
    <cfRule type="expression" priority="346" dxfId="1">
      <formula>AND(IF($Q32=3,1,0),IF($X32&lt;30,1,0))</formula>
    </cfRule>
    <cfRule type="expression" priority="347" dxfId="0">
      <formula>AND(IF($Q32=3,1,IF($Q32=4,1,0)),IF($F32&lt;=85,1,0))</formula>
    </cfRule>
  </conditionalFormatting>
  <conditionalFormatting sqref="AV33">
    <cfRule type="expression" priority="342" dxfId="17">
      <formula>AV33="X"</formula>
    </cfRule>
    <cfRule type="expression" priority="343" dxfId="16">
      <formula>AV33="후보"</formula>
    </cfRule>
  </conditionalFormatting>
  <conditionalFormatting sqref="AC3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3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33">
    <cfRule type="expression" priority="333" dxfId="3">
      <formula>AND(IF(OR($Q33=1,$Q33=2),1,0),IF($X33&lt;=20,1,0))</formula>
    </cfRule>
    <cfRule type="expression" priority="334" dxfId="2">
      <formula>AND(IF($Q33=2,1,0),IF($X33&lt;30,1,0))</formula>
    </cfRule>
    <cfRule type="expression" priority="335" dxfId="1">
      <formula>AND(IF($Q33=3,1,0),IF($X33&lt;30,1,0))</formula>
    </cfRule>
    <cfRule type="expression" priority="336" dxfId="0">
      <formula>AND(IF($Q33=3,1,IF($Q33=4,1,0)),IF($F33&lt;=85,1,0))</formula>
    </cfRule>
  </conditionalFormatting>
  <conditionalFormatting sqref="X33">
    <cfRule type="expression" priority="329" dxfId="3">
      <formula>AND(IF(OR($Q33=1,$Q33=2),1,0),IF($X33&lt;=20,1,0))</formula>
    </cfRule>
    <cfRule type="expression" priority="330" dxfId="2">
      <formula>AND(IF($Q33=2,1,0),IF($X33&lt;30,1,0))</formula>
    </cfRule>
    <cfRule type="expression" priority="331" dxfId="1">
      <formula>AND(IF($Q33=3,1,0),IF($X33&lt;30,1,0))</formula>
    </cfRule>
    <cfRule type="expression" priority="332" dxfId="0">
      <formula>AND(IF($Q33=3,1,IF($Q33=4,1,0)),IF($F33&lt;=85,1,0))</formula>
    </cfRule>
  </conditionalFormatting>
  <conditionalFormatting sqref="AI33">
    <cfRule type="expression" priority="325" dxfId="3">
      <formula>AND(IF(OR($Q33=1,$Q33=2),1,0),IF($X33&lt;=20,1,0))</formula>
    </cfRule>
    <cfRule type="expression" priority="326" dxfId="2">
      <formula>AND(IF($Q33=2,1,0),IF($X33&lt;30,1,0))</formula>
    </cfRule>
    <cfRule type="expression" priority="327" dxfId="1">
      <formula>AND(IF($Q33=3,1,0),IF($X33&lt;30,1,0))</formula>
    </cfRule>
    <cfRule type="expression" priority="328" dxfId="0">
      <formula>AND(IF($Q33=3,1,IF($Q33=4,1,0)),IF($F33&lt;=85,1,0))</formula>
    </cfRule>
  </conditionalFormatting>
  <conditionalFormatting sqref="AV34">
    <cfRule type="expression" priority="323" dxfId="17">
      <formula>AV34="X"</formula>
    </cfRule>
    <cfRule type="expression" priority="324" dxfId="16">
      <formula>AV34="후보"</formula>
    </cfRule>
  </conditionalFormatting>
  <conditionalFormatting sqref="AC34 N3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35">
    <cfRule type="expression" priority="318" dxfId="17">
      <formula>AV35="X"</formula>
    </cfRule>
    <cfRule type="expression" priority="319" dxfId="16">
      <formula>AV35="후보"</formula>
    </cfRule>
  </conditionalFormatting>
  <conditionalFormatting sqref="AC35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5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5">
    <cfRule type="expression" priority="309" dxfId="3">
      <formula>AND(IF(OR($Q35=1,$Q35=2),1,0),IF($X35&lt;=20,1,0))</formula>
    </cfRule>
    <cfRule type="expression" priority="310" dxfId="2">
      <formula>AND(IF($Q35=2,1,0),IF($X35&lt;30,1,0))</formula>
    </cfRule>
    <cfRule type="expression" priority="311" dxfId="1">
      <formula>AND(IF($Q35=3,1,0),IF($X35&lt;30,1,0))</formula>
    </cfRule>
    <cfRule type="expression" priority="312" dxfId="0">
      <formula>AND(IF($Q35=3,1,IF($Q35=4,1,0)),IF($F35&lt;=85,1,0))</formula>
    </cfRule>
  </conditionalFormatting>
  <conditionalFormatting sqref="X35">
    <cfRule type="expression" priority="305" dxfId="3">
      <formula>AND(IF(OR($Q35=1,$Q35=2),1,0),IF($X35&lt;=20,1,0))</formula>
    </cfRule>
    <cfRule type="expression" priority="306" dxfId="2">
      <formula>AND(IF($Q35=2,1,0),IF($X35&lt;30,1,0))</formula>
    </cfRule>
    <cfRule type="expression" priority="307" dxfId="1">
      <formula>AND(IF($Q35=3,1,0),IF($X35&lt;30,1,0))</formula>
    </cfRule>
    <cfRule type="expression" priority="308" dxfId="0">
      <formula>AND(IF($Q35=3,1,IF($Q35=4,1,0)),IF($F35&lt;=85,1,0))</formula>
    </cfRule>
  </conditionalFormatting>
  <conditionalFormatting sqref="AI35">
    <cfRule type="expression" priority="301" dxfId="3">
      <formula>AND(IF(OR($Q35=1,$Q35=2),1,0),IF($X35&lt;=20,1,0))</formula>
    </cfRule>
    <cfRule type="expression" priority="302" dxfId="2">
      <formula>AND(IF($Q35=2,1,0),IF($X35&lt;30,1,0))</formula>
    </cfRule>
    <cfRule type="expression" priority="303" dxfId="1">
      <formula>AND(IF($Q35=3,1,0),IF($X35&lt;30,1,0))</formula>
    </cfRule>
    <cfRule type="expression" priority="304" dxfId="0">
      <formula>AND(IF($Q35=3,1,IF($Q35=4,1,0)),IF($F35&lt;=85,1,0))</formula>
    </cfRule>
  </conditionalFormatting>
  <conditionalFormatting sqref="AV36">
    <cfRule type="expression" priority="299" dxfId="17">
      <formula>AV36="X"</formula>
    </cfRule>
    <cfRule type="expression" priority="300" dxfId="16">
      <formula>AV36="후보"</formula>
    </cfRule>
  </conditionalFormatting>
  <conditionalFormatting sqref="AC36 N36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37">
    <cfRule type="expression" priority="294" dxfId="17">
      <formula>AV37="X"</formula>
    </cfRule>
    <cfRule type="expression" priority="295" dxfId="16">
      <formula>AV37="후보"</formula>
    </cfRule>
  </conditionalFormatting>
  <conditionalFormatting sqref="AC3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3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37">
    <cfRule type="expression" priority="285" dxfId="3">
      <formula>AND(IF(OR($Q37=1,$Q37=2),1,0),IF($X37&lt;=20,1,0))</formula>
    </cfRule>
    <cfRule type="expression" priority="286" dxfId="2">
      <formula>AND(IF($Q37=2,1,0),IF($X37&lt;30,1,0))</formula>
    </cfRule>
    <cfRule type="expression" priority="287" dxfId="1">
      <formula>AND(IF($Q37=3,1,0),IF($X37&lt;30,1,0))</formula>
    </cfRule>
    <cfRule type="expression" priority="288" dxfId="0">
      <formula>AND(IF($Q37=3,1,IF($Q37=4,1,0)),IF($F37&lt;=85,1,0))</formula>
    </cfRule>
  </conditionalFormatting>
  <conditionalFormatting sqref="X37">
    <cfRule type="expression" priority="281" dxfId="3">
      <formula>AND(IF(OR($Q37=1,$Q37=2),1,0),IF($X37&lt;=20,1,0))</formula>
    </cfRule>
    <cfRule type="expression" priority="282" dxfId="2">
      <formula>AND(IF($Q37=2,1,0),IF($X37&lt;30,1,0))</formula>
    </cfRule>
    <cfRule type="expression" priority="283" dxfId="1">
      <formula>AND(IF($Q37=3,1,0),IF($X37&lt;30,1,0))</formula>
    </cfRule>
    <cfRule type="expression" priority="284" dxfId="0">
      <formula>AND(IF($Q37=3,1,IF($Q37=4,1,0)),IF($F37&lt;=85,1,0))</formula>
    </cfRule>
  </conditionalFormatting>
  <conditionalFormatting sqref="AI37">
    <cfRule type="expression" priority="277" dxfId="3">
      <formula>AND(IF(OR($Q37=1,$Q37=2),1,0),IF($X37&lt;=20,1,0))</formula>
    </cfRule>
    <cfRule type="expression" priority="278" dxfId="2">
      <formula>AND(IF($Q37=2,1,0),IF($X37&lt;30,1,0))</formula>
    </cfRule>
    <cfRule type="expression" priority="279" dxfId="1">
      <formula>AND(IF($Q37=3,1,0),IF($X37&lt;30,1,0))</formula>
    </cfRule>
    <cfRule type="expression" priority="280" dxfId="0">
      <formula>AND(IF($Q37=3,1,IF($Q37=4,1,0)),IF($F37&lt;=85,1,0))</formula>
    </cfRule>
  </conditionalFormatting>
  <conditionalFormatting sqref="AV38">
    <cfRule type="expression" priority="275" dxfId="17">
      <formula>AV38="X"</formula>
    </cfRule>
    <cfRule type="expression" priority="276" dxfId="16">
      <formula>AV38="후보"</formula>
    </cfRule>
  </conditionalFormatting>
  <conditionalFormatting sqref="AC3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8">
    <cfRule type="expression" priority="266" dxfId="3">
      <formula>AND(IF(OR($Q38=1,$Q38=2),1,0),IF($X38&lt;=20,1,0))</formula>
    </cfRule>
    <cfRule type="expression" priority="267" dxfId="2">
      <formula>AND(IF($Q38=2,1,0),IF($X38&lt;30,1,0))</formula>
    </cfRule>
    <cfRule type="expression" priority="268" dxfId="1">
      <formula>AND(IF($Q38=3,1,0),IF($X38&lt;30,1,0))</formula>
    </cfRule>
    <cfRule type="expression" priority="269" dxfId="0">
      <formula>AND(IF($Q38=3,1,IF($Q38=4,1,0)),IF($F38&lt;=85,1,0))</formula>
    </cfRule>
  </conditionalFormatting>
  <conditionalFormatting sqref="X38">
    <cfRule type="expression" priority="262" dxfId="3">
      <formula>AND(IF(OR($Q38=1,$Q38=2),1,0),IF($X38&lt;=20,1,0))</formula>
    </cfRule>
    <cfRule type="expression" priority="263" dxfId="2">
      <formula>AND(IF($Q38=2,1,0),IF($X38&lt;30,1,0))</formula>
    </cfRule>
    <cfRule type="expression" priority="264" dxfId="1">
      <formula>AND(IF($Q38=3,1,0),IF($X38&lt;30,1,0))</formula>
    </cfRule>
    <cfRule type="expression" priority="265" dxfId="0">
      <formula>AND(IF($Q38=3,1,IF($Q38=4,1,0)),IF($F38&lt;=85,1,0))</formula>
    </cfRule>
  </conditionalFormatting>
  <conditionalFormatting sqref="AI38">
    <cfRule type="expression" priority="258" dxfId="3">
      <formula>AND(IF(OR($Q38=1,$Q38=2),1,0),IF($X38&lt;=20,1,0))</formula>
    </cfRule>
    <cfRule type="expression" priority="259" dxfId="2">
      <formula>AND(IF($Q38=2,1,0),IF($X38&lt;30,1,0))</formula>
    </cfRule>
    <cfRule type="expression" priority="260" dxfId="1">
      <formula>AND(IF($Q38=3,1,0),IF($X38&lt;30,1,0))</formula>
    </cfRule>
    <cfRule type="expression" priority="261" dxfId="0">
      <formula>AND(IF($Q38=3,1,IF($Q38=4,1,0)),IF($F38&lt;=85,1,0))</formula>
    </cfRule>
  </conditionalFormatting>
  <conditionalFormatting sqref="AV39">
    <cfRule type="expression" priority="256" dxfId="17">
      <formula>AV39="X"</formula>
    </cfRule>
    <cfRule type="expression" priority="257" dxfId="16">
      <formula>AV39="후보"</formula>
    </cfRule>
  </conditionalFormatting>
  <conditionalFormatting sqref="AC3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9">
    <cfRule type="expression" priority="247" dxfId="3">
      <formula>AND(IF(OR($Q39=1,$Q39=2),1,0),IF($X39&lt;=20,1,0))</formula>
    </cfRule>
    <cfRule type="expression" priority="248" dxfId="2">
      <formula>AND(IF($Q39=2,1,0),IF($X39&lt;30,1,0))</formula>
    </cfRule>
    <cfRule type="expression" priority="249" dxfId="1">
      <formula>AND(IF($Q39=3,1,0),IF($X39&lt;30,1,0))</formula>
    </cfRule>
    <cfRule type="expression" priority="250" dxfId="0">
      <formula>AND(IF($Q39=3,1,IF($Q39=4,1,0)),IF($F39&lt;=85,1,0))</formula>
    </cfRule>
  </conditionalFormatting>
  <conditionalFormatting sqref="X39">
    <cfRule type="expression" priority="243" dxfId="3">
      <formula>AND(IF(OR($Q39=1,$Q39=2),1,0),IF($X39&lt;=20,1,0))</formula>
    </cfRule>
    <cfRule type="expression" priority="244" dxfId="2">
      <formula>AND(IF($Q39=2,1,0),IF($X39&lt;30,1,0))</formula>
    </cfRule>
    <cfRule type="expression" priority="245" dxfId="1">
      <formula>AND(IF($Q39=3,1,0),IF($X39&lt;30,1,0))</formula>
    </cfRule>
    <cfRule type="expression" priority="246" dxfId="0">
      <formula>AND(IF($Q39=3,1,IF($Q39=4,1,0)),IF($F39&lt;=85,1,0))</formula>
    </cfRule>
  </conditionalFormatting>
  <conditionalFormatting sqref="AI39">
    <cfRule type="expression" priority="239" dxfId="3">
      <formula>AND(IF(OR($Q39=1,$Q39=2),1,0),IF($X39&lt;=20,1,0))</formula>
    </cfRule>
    <cfRule type="expression" priority="240" dxfId="2">
      <formula>AND(IF($Q39=2,1,0),IF($X39&lt;30,1,0))</formula>
    </cfRule>
    <cfRule type="expression" priority="241" dxfId="1">
      <formula>AND(IF($Q39=3,1,0),IF($X39&lt;30,1,0))</formula>
    </cfRule>
    <cfRule type="expression" priority="242" dxfId="0">
      <formula>AND(IF($Q39=3,1,IF($Q39=4,1,0)),IF($F39&lt;=85,1,0))</formula>
    </cfRule>
  </conditionalFormatting>
  <conditionalFormatting sqref="AV40">
    <cfRule type="expression" priority="237" dxfId="17">
      <formula>AV40="X"</formula>
    </cfRule>
    <cfRule type="expression" priority="238" dxfId="16">
      <formula>AV40="후보"</formula>
    </cfRule>
  </conditionalFormatting>
  <conditionalFormatting sqref="AC40 N4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41">
    <cfRule type="expression" priority="232" dxfId="17">
      <formula>AV41="X"</formula>
    </cfRule>
    <cfRule type="expression" priority="233" dxfId="16">
      <formula>AV41="후보"</formula>
    </cfRule>
  </conditionalFormatting>
  <conditionalFormatting sqref="AC4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4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41">
    <cfRule type="expression" priority="223" dxfId="3">
      <formula>AND(IF(OR($Q41=1,$Q41=2),1,0),IF($X41&lt;=20,1,0))</formula>
    </cfRule>
    <cfRule type="expression" priority="224" dxfId="2">
      <formula>AND(IF($Q41=2,1,0),IF($X41&lt;30,1,0))</formula>
    </cfRule>
    <cfRule type="expression" priority="225" dxfId="1">
      <formula>AND(IF($Q41=3,1,0),IF($X41&lt;30,1,0))</formula>
    </cfRule>
    <cfRule type="expression" priority="226" dxfId="0">
      <formula>AND(IF($Q41=3,1,IF($Q41=4,1,0)),IF($F41&lt;=85,1,0))</formula>
    </cfRule>
  </conditionalFormatting>
  <conditionalFormatting sqref="X41">
    <cfRule type="expression" priority="219" dxfId="3">
      <formula>AND(IF(OR($Q41=1,$Q41=2),1,0),IF($X41&lt;=20,1,0))</formula>
    </cfRule>
    <cfRule type="expression" priority="220" dxfId="2">
      <formula>AND(IF($Q41=2,1,0),IF($X41&lt;30,1,0))</formula>
    </cfRule>
    <cfRule type="expression" priority="221" dxfId="1">
      <formula>AND(IF($Q41=3,1,0),IF($X41&lt;30,1,0))</formula>
    </cfRule>
    <cfRule type="expression" priority="222" dxfId="0">
      <formula>AND(IF($Q41=3,1,IF($Q41=4,1,0)),IF($F41&lt;=85,1,0))</formula>
    </cfRule>
  </conditionalFormatting>
  <conditionalFormatting sqref="AI41">
    <cfRule type="expression" priority="215" dxfId="3">
      <formula>AND(IF(OR($Q41=1,$Q41=2),1,0),IF($X41&lt;=20,1,0))</formula>
    </cfRule>
    <cfRule type="expression" priority="216" dxfId="2">
      <formula>AND(IF($Q41=2,1,0),IF($X41&lt;30,1,0))</formula>
    </cfRule>
    <cfRule type="expression" priority="217" dxfId="1">
      <formula>AND(IF($Q41=3,1,0),IF($X41&lt;30,1,0))</formula>
    </cfRule>
    <cfRule type="expression" priority="218" dxfId="0">
      <formula>AND(IF($Q41=3,1,IF($Q41=4,1,0)),IF($F41&lt;=85,1,0))</formula>
    </cfRule>
  </conditionalFormatting>
  <conditionalFormatting sqref="AV42">
    <cfRule type="expression" priority="213" dxfId="17">
      <formula>AV42="X"</formula>
    </cfRule>
    <cfRule type="expression" priority="214" dxfId="16">
      <formula>AV42="후보"</formula>
    </cfRule>
  </conditionalFormatting>
  <conditionalFormatting sqref="AC4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4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42">
    <cfRule type="expression" priority="204" dxfId="3">
      <formula>AND(IF(OR($Q42=1,$Q42=2),1,0),IF($X42&lt;=20,1,0))</formula>
    </cfRule>
    <cfRule type="expression" priority="205" dxfId="2">
      <formula>AND(IF($Q42=2,1,0),IF($X42&lt;30,1,0))</formula>
    </cfRule>
    <cfRule type="expression" priority="206" dxfId="1">
      <formula>AND(IF($Q42=3,1,0),IF($X42&lt;30,1,0))</formula>
    </cfRule>
    <cfRule type="expression" priority="207" dxfId="0">
      <formula>AND(IF($Q42=3,1,IF($Q42=4,1,0)),IF($F42&lt;=85,1,0))</formula>
    </cfRule>
  </conditionalFormatting>
  <conditionalFormatting sqref="X42">
    <cfRule type="expression" priority="200" dxfId="3">
      <formula>AND(IF(OR($Q42=1,$Q42=2),1,0),IF($X42&lt;=20,1,0))</formula>
    </cfRule>
    <cfRule type="expression" priority="201" dxfId="2">
      <formula>AND(IF($Q42=2,1,0),IF($X42&lt;30,1,0))</formula>
    </cfRule>
    <cfRule type="expression" priority="202" dxfId="1">
      <formula>AND(IF($Q42=3,1,0),IF($X42&lt;30,1,0))</formula>
    </cfRule>
    <cfRule type="expression" priority="203" dxfId="0">
      <formula>AND(IF($Q42=3,1,IF($Q42=4,1,0)),IF($F42&lt;=85,1,0))</formula>
    </cfRule>
  </conditionalFormatting>
  <conditionalFormatting sqref="AI42">
    <cfRule type="expression" priority="196" dxfId="3">
      <formula>AND(IF(OR($Q42=1,$Q42=2),1,0),IF($X42&lt;=20,1,0))</formula>
    </cfRule>
    <cfRule type="expression" priority="197" dxfId="2">
      <formula>AND(IF($Q42=2,1,0),IF($X42&lt;30,1,0))</formula>
    </cfRule>
    <cfRule type="expression" priority="198" dxfId="1">
      <formula>AND(IF($Q42=3,1,0),IF($X42&lt;30,1,0))</formula>
    </cfRule>
    <cfRule type="expression" priority="199" dxfId="0">
      <formula>AND(IF($Q42=3,1,IF($Q42=4,1,0)),IF($F42&lt;=85,1,0))</formula>
    </cfRule>
  </conditionalFormatting>
  <conditionalFormatting sqref="AV43">
    <cfRule type="expression" priority="194" dxfId="17">
      <formula>AV43="X"</formula>
    </cfRule>
    <cfRule type="expression" priority="195" dxfId="16">
      <formula>AV43="후보"</formula>
    </cfRule>
  </conditionalFormatting>
  <conditionalFormatting sqref="AC4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4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43">
    <cfRule type="expression" priority="185" dxfId="3">
      <formula>AND(IF(OR($Q43=1,$Q43=2),1,0),IF($X43&lt;=20,1,0))</formula>
    </cfRule>
    <cfRule type="expression" priority="186" dxfId="2">
      <formula>AND(IF($Q43=2,1,0),IF($X43&lt;30,1,0))</formula>
    </cfRule>
    <cfRule type="expression" priority="187" dxfId="1">
      <formula>AND(IF($Q43=3,1,0),IF($X43&lt;30,1,0))</formula>
    </cfRule>
    <cfRule type="expression" priority="188" dxfId="0">
      <formula>AND(IF($Q43=3,1,IF($Q43=4,1,0)),IF($F43&lt;=85,1,0))</formula>
    </cfRule>
  </conditionalFormatting>
  <conditionalFormatting sqref="X43">
    <cfRule type="expression" priority="181" dxfId="3">
      <formula>AND(IF(OR($Q43=1,$Q43=2),1,0),IF($X43&lt;=20,1,0))</formula>
    </cfRule>
    <cfRule type="expression" priority="182" dxfId="2">
      <formula>AND(IF($Q43=2,1,0),IF($X43&lt;30,1,0))</formula>
    </cfRule>
    <cfRule type="expression" priority="183" dxfId="1">
      <formula>AND(IF($Q43=3,1,0),IF($X43&lt;30,1,0))</formula>
    </cfRule>
    <cfRule type="expression" priority="184" dxfId="0">
      <formula>AND(IF($Q43=3,1,IF($Q43=4,1,0)),IF($F43&lt;=85,1,0))</formula>
    </cfRule>
  </conditionalFormatting>
  <conditionalFormatting sqref="AI43">
    <cfRule type="expression" priority="177" dxfId="3">
      <formula>AND(IF(OR($Q43=1,$Q43=2),1,0),IF($X43&lt;=20,1,0))</formula>
    </cfRule>
    <cfRule type="expression" priority="178" dxfId="2">
      <formula>AND(IF($Q43=2,1,0),IF($X43&lt;30,1,0))</formula>
    </cfRule>
    <cfRule type="expression" priority="179" dxfId="1">
      <formula>AND(IF($Q43=3,1,0),IF($X43&lt;30,1,0))</formula>
    </cfRule>
    <cfRule type="expression" priority="180" dxfId="0">
      <formula>AND(IF($Q43=3,1,IF($Q43=4,1,0)),IF($F43&lt;=85,1,0))</formula>
    </cfRule>
  </conditionalFormatting>
  <conditionalFormatting sqref="AV44">
    <cfRule type="expression" priority="175" dxfId="17">
      <formula>AV44="X"</formula>
    </cfRule>
    <cfRule type="expression" priority="176" dxfId="16">
      <formula>AV44="후보"</formula>
    </cfRule>
  </conditionalFormatting>
  <conditionalFormatting sqref="AC4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4">
    <cfRule type="expression" priority="166" dxfId="3">
      <formula>AND(IF(OR($Q44=1,$Q44=2),1,0),IF($X44&lt;=20,1,0))</formula>
    </cfRule>
    <cfRule type="expression" priority="167" dxfId="2">
      <formula>AND(IF($Q44=2,1,0),IF($X44&lt;30,1,0))</formula>
    </cfRule>
    <cfRule type="expression" priority="168" dxfId="1">
      <formula>AND(IF($Q44=3,1,0),IF($X44&lt;30,1,0))</formula>
    </cfRule>
    <cfRule type="expression" priority="169" dxfId="0">
      <formula>AND(IF($Q44=3,1,IF($Q44=4,1,0)),IF($F44&lt;=85,1,0))</formula>
    </cfRule>
  </conditionalFormatting>
  <conditionalFormatting sqref="X44">
    <cfRule type="expression" priority="162" dxfId="3">
      <formula>AND(IF(OR($Q44=1,$Q44=2),1,0),IF($X44&lt;=20,1,0))</formula>
    </cfRule>
    <cfRule type="expression" priority="163" dxfId="2">
      <formula>AND(IF($Q44=2,1,0),IF($X44&lt;30,1,0))</formula>
    </cfRule>
    <cfRule type="expression" priority="164" dxfId="1">
      <formula>AND(IF($Q44=3,1,0),IF($X44&lt;30,1,0))</formula>
    </cfRule>
    <cfRule type="expression" priority="165" dxfId="0">
      <formula>AND(IF($Q44=3,1,IF($Q44=4,1,0)),IF($F44&lt;=85,1,0))</formula>
    </cfRule>
  </conditionalFormatting>
  <conditionalFormatting sqref="AI44">
    <cfRule type="expression" priority="158" dxfId="3">
      <formula>AND(IF(OR($Q44=1,$Q44=2),1,0),IF($X44&lt;=20,1,0))</formula>
    </cfRule>
    <cfRule type="expression" priority="159" dxfId="2">
      <formula>AND(IF($Q44=2,1,0),IF($X44&lt;30,1,0))</formula>
    </cfRule>
    <cfRule type="expression" priority="160" dxfId="1">
      <formula>AND(IF($Q44=3,1,0),IF($X44&lt;30,1,0))</formula>
    </cfRule>
    <cfRule type="expression" priority="161" dxfId="0">
      <formula>AND(IF($Q44=3,1,IF($Q44=4,1,0)),IF($F44&lt;=85,1,0))</formula>
    </cfRule>
  </conditionalFormatting>
  <conditionalFormatting sqref="AV45">
    <cfRule type="expression" priority="156" dxfId="17">
      <formula>AV45="X"</formula>
    </cfRule>
    <cfRule type="expression" priority="157" dxfId="16">
      <formula>AV45="후보"</formula>
    </cfRule>
  </conditionalFormatting>
  <conditionalFormatting sqref="AC45 N4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46">
    <cfRule type="expression" priority="151" dxfId="17">
      <formula>AV46="X"</formula>
    </cfRule>
    <cfRule type="expression" priority="152" dxfId="16">
      <formula>AV46="후보"</formula>
    </cfRule>
  </conditionalFormatting>
  <conditionalFormatting sqref="AC46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46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46">
    <cfRule type="expression" priority="142" dxfId="3">
      <formula>AND(IF(OR($Q46=1,$Q46=2),1,0),IF($X46&lt;=20,1,0))</formula>
    </cfRule>
    <cfRule type="expression" priority="143" dxfId="2">
      <formula>AND(IF($Q46=2,1,0),IF($X46&lt;30,1,0))</formula>
    </cfRule>
    <cfRule type="expression" priority="144" dxfId="1">
      <formula>AND(IF($Q46=3,1,0),IF($X46&lt;30,1,0))</formula>
    </cfRule>
    <cfRule type="expression" priority="145" dxfId="0">
      <formula>AND(IF($Q46=3,1,IF($Q46=4,1,0)),IF($F46&lt;=85,1,0))</formula>
    </cfRule>
  </conditionalFormatting>
  <conditionalFormatting sqref="X46">
    <cfRule type="expression" priority="138" dxfId="3">
      <formula>AND(IF(OR($Q46=1,$Q46=2),1,0),IF($X46&lt;=20,1,0))</formula>
    </cfRule>
    <cfRule type="expression" priority="139" dxfId="2">
      <formula>AND(IF($Q46=2,1,0),IF($X46&lt;30,1,0))</formula>
    </cfRule>
    <cfRule type="expression" priority="140" dxfId="1">
      <formula>AND(IF($Q46=3,1,0),IF($X46&lt;30,1,0))</formula>
    </cfRule>
    <cfRule type="expression" priority="141" dxfId="0">
      <formula>AND(IF($Q46=3,1,IF($Q46=4,1,0)),IF($F46&lt;=85,1,0))</formula>
    </cfRule>
  </conditionalFormatting>
  <conditionalFormatting sqref="AI46">
    <cfRule type="expression" priority="134" dxfId="3">
      <formula>AND(IF(OR($Q46=1,$Q46=2),1,0),IF($X46&lt;=20,1,0))</formula>
    </cfRule>
    <cfRule type="expression" priority="135" dxfId="2">
      <formula>AND(IF($Q46=2,1,0),IF($X46&lt;30,1,0))</formula>
    </cfRule>
    <cfRule type="expression" priority="136" dxfId="1">
      <formula>AND(IF($Q46=3,1,0),IF($X46&lt;30,1,0))</formula>
    </cfRule>
    <cfRule type="expression" priority="137" dxfId="0">
      <formula>AND(IF($Q46=3,1,IF($Q46=4,1,0)),IF($F46&lt;=85,1,0))</formula>
    </cfRule>
  </conditionalFormatting>
  <conditionalFormatting sqref="AV47">
    <cfRule type="expression" priority="132" dxfId="17">
      <formula>AV47="X"</formula>
    </cfRule>
    <cfRule type="expression" priority="133" dxfId="16">
      <formula>AV47="후보"</formula>
    </cfRule>
  </conditionalFormatting>
  <conditionalFormatting sqref="AC4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4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47">
    <cfRule type="expression" priority="123" dxfId="3">
      <formula>AND(IF(OR($Q47=1,$Q47=2),1,0),IF($X47&lt;=20,1,0))</formula>
    </cfRule>
    <cfRule type="expression" priority="124" dxfId="2">
      <formula>AND(IF($Q47=2,1,0),IF($X47&lt;30,1,0))</formula>
    </cfRule>
    <cfRule type="expression" priority="125" dxfId="1">
      <formula>AND(IF($Q47=3,1,0),IF($X47&lt;30,1,0))</formula>
    </cfRule>
    <cfRule type="expression" priority="126" dxfId="0">
      <formula>AND(IF($Q47=3,1,IF($Q47=4,1,0)),IF($F47&lt;=85,1,0))</formula>
    </cfRule>
  </conditionalFormatting>
  <conditionalFormatting sqref="X47">
    <cfRule type="expression" priority="119" dxfId="3">
      <formula>AND(IF(OR($Q47=1,$Q47=2),1,0),IF($X47&lt;=20,1,0))</formula>
    </cfRule>
    <cfRule type="expression" priority="120" dxfId="2">
      <formula>AND(IF($Q47=2,1,0),IF($X47&lt;30,1,0))</formula>
    </cfRule>
    <cfRule type="expression" priority="121" dxfId="1">
      <formula>AND(IF($Q47=3,1,0),IF($X47&lt;30,1,0))</formula>
    </cfRule>
    <cfRule type="expression" priority="122" dxfId="0">
      <formula>AND(IF($Q47=3,1,IF($Q47=4,1,0)),IF($F47&lt;=85,1,0))</formula>
    </cfRule>
  </conditionalFormatting>
  <conditionalFormatting sqref="AI47">
    <cfRule type="expression" priority="115" dxfId="3">
      <formula>AND(IF(OR($Q47=1,$Q47=2),1,0),IF($X47&lt;=20,1,0))</formula>
    </cfRule>
    <cfRule type="expression" priority="116" dxfId="2">
      <formula>AND(IF($Q47=2,1,0),IF($X47&lt;30,1,0))</formula>
    </cfRule>
    <cfRule type="expression" priority="117" dxfId="1">
      <formula>AND(IF($Q47=3,1,0),IF($X47&lt;30,1,0))</formula>
    </cfRule>
    <cfRule type="expression" priority="118" dxfId="0">
      <formula>AND(IF($Q47=3,1,IF($Q47=4,1,0)),IF($F47&lt;=85,1,0))</formula>
    </cfRule>
  </conditionalFormatting>
  <conditionalFormatting sqref="AV48">
    <cfRule type="expression" priority="113" dxfId="17">
      <formula>AV48="X"</formula>
    </cfRule>
    <cfRule type="expression" priority="114" dxfId="16">
      <formula>AV48="후보"</formula>
    </cfRule>
  </conditionalFormatting>
  <conditionalFormatting sqref="AC4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8">
    <cfRule type="expression" priority="104" dxfId="3">
      <formula>AND(IF(OR($Q48=1,$Q48=2),1,0),IF($X48&lt;=20,1,0))</formula>
    </cfRule>
    <cfRule type="expression" priority="105" dxfId="2">
      <formula>AND(IF($Q48=2,1,0),IF($X48&lt;30,1,0))</formula>
    </cfRule>
    <cfRule type="expression" priority="106" dxfId="1">
      <formula>AND(IF($Q48=3,1,0),IF($X48&lt;30,1,0))</formula>
    </cfRule>
    <cfRule type="expression" priority="107" dxfId="0">
      <formula>AND(IF($Q48=3,1,IF($Q48=4,1,0)),IF($F48&lt;=85,1,0))</formula>
    </cfRule>
  </conditionalFormatting>
  <conditionalFormatting sqref="X48">
    <cfRule type="expression" priority="100" dxfId="3">
      <formula>AND(IF(OR($Q48=1,$Q48=2),1,0),IF($X48&lt;=20,1,0))</formula>
    </cfRule>
    <cfRule type="expression" priority="101" dxfId="2">
      <formula>AND(IF($Q48=2,1,0),IF($X48&lt;30,1,0))</formula>
    </cfRule>
    <cfRule type="expression" priority="102" dxfId="1">
      <formula>AND(IF($Q48=3,1,0),IF($X48&lt;30,1,0))</formula>
    </cfRule>
    <cfRule type="expression" priority="103" dxfId="0">
      <formula>AND(IF($Q48=3,1,IF($Q48=4,1,0)),IF($F48&lt;=85,1,0))</formula>
    </cfRule>
  </conditionalFormatting>
  <conditionalFormatting sqref="AI48">
    <cfRule type="expression" priority="96" dxfId="3">
      <formula>AND(IF(OR($Q48=1,$Q48=2),1,0),IF($X48&lt;=20,1,0))</formula>
    </cfRule>
    <cfRule type="expression" priority="97" dxfId="2">
      <formula>AND(IF($Q48=2,1,0),IF($X48&lt;30,1,0))</formula>
    </cfRule>
    <cfRule type="expression" priority="98" dxfId="1">
      <formula>AND(IF($Q48=3,1,0),IF($X48&lt;30,1,0))</formula>
    </cfRule>
    <cfRule type="expression" priority="99" dxfId="0">
      <formula>AND(IF($Q48=3,1,IF($Q48=4,1,0)),IF($F48&lt;=85,1,0))</formula>
    </cfRule>
  </conditionalFormatting>
  <conditionalFormatting sqref="AV49">
    <cfRule type="expression" priority="94" dxfId="17">
      <formula>AV49="X"</formula>
    </cfRule>
    <cfRule type="expression" priority="95" dxfId="16">
      <formula>AV49="후보"</formula>
    </cfRule>
  </conditionalFormatting>
  <conditionalFormatting sqref="AC4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9">
    <cfRule type="expression" priority="85" dxfId="3">
      <formula>AND(IF(OR($Q49=1,$Q49=2),1,0),IF($X49&lt;=20,1,0))</formula>
    </cfRule>
    <cfRule type="expression" priority="86" dxfId="2">
      <formula>AND(IF($Q49=2,1,0),IF($X49&lt;30,1,0))</formula>
    </cfRule>
    <cfRule type="expression" priority="87" dxfId="1">
      <formula>AND(IF($Q49=3,1,0),IF($X49&lt;30,1,0))</formula>
    </cfRule>
    <cfRule type="expression" priority="88" dxfId="0">
      <formula>AND(IF($Q49=3,1,IF($Q49=4,1,0)),IF($F49&lt;=85,1,0))</formula>
    </cfRule>
  </conditionalFormatting>
  <conditionalFormatting sqref="X49">
    <cfRule type="expression" priority="81" dxfId="3">
      <formula>AND(IF(OR($Q49=1,$Q49=2),1,0),IF($X49&lt;=20,1,0))</formula>
    </cfRule>
    <cfRule type="expression" priority="82" dxfId="2">
      <formula>AND(IF($Q49=2,1,0),IF($X49&lt;30,1,0))</formula>
    </cfRule>
    <cfRule type="expression" priority="83" dxfId="1">
      <formula>AND(IF($Q49=3,1,0),IF($X49&lt;30,1,0))</formula>
    </cfRule>
    <cfRule type="expression" priority="84" dxfId="0">
      <formula>AND(IF($Q49=3,1,IF($Q49=4,1,0)),IF($F49&lt;=85,1,0))</formula>
    </cfRule>
  </conditionalFormatting>
  <conditionalFormatting sqref="AI49">
    <cfRule type="expression" priority="77" dxfId="3">
      <formula>AND(IF(OR($Q49=1,$Q49=2),1,0),IF($X49&lt;=20,1,0))</formula>
    </cfRule>
    <cfRule type="expression" priority="78" dxfId="2">
      <formula>AND(IF($Q49=2,1,0),IF($X49&lt;30,1,0))</formula>
    </cfRule>
    <cfRule type="expression" priority="79" dxfId="1">
      <formula>AND(IF($Q49=3,1,0),IF($X49&lt;30,1,0))</formula>
    </cfRule>
    <cfRule type="expression" priority="80" dxfId="0">
      <formula>AND(IF($Q49=3,1,IF($Q49=4,1,0)),IF($F49&lt;=85,1,0))</formula>
    </cfRule>
  </conditionalFormatting>
  <conditionalFormatting sqref="AV50">
    <cfRule type="expression" priority="75" dxfId="17">
      <formula>AV50="X"</formula>
    </cfRule>
    <cfRule type="expression" priority="76" dxfId="16">
      <formula>AV50="후보"</formula>
    </cfRule>
  </conditionalFormatting>
  <conditionalFormatting sqref="AC5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0">
    <cfRule type="expression" priority="66" dxfId="3">
      <formula>AND(IF(OR($Q50=1,$Q50=2),1,0),IF($X50&lt;=20,1,0))</formula>
    </cfRule>
    <cfRule type="expression" priority="67" dxfId="2">
      <formula>AND(IF($Q50=2,1,0),IF($X50&lt;30,1,0))</formula>
    </cfRule>
    <cfRule type="expression" priority="68" dxfId="1">
      <formula>AND(IF($Q50=3,1,0),IF($X50&lt;30,1,0))</formula>
    </cfRule>
    <cfRule type="expression" priority="69" dxfId="0">
      <formula>AND(IF($Q50=3,1,IF($Q50=4,1,0)),IF($F50&lt;=85,1,0))</formula>
    </cfRule>
  </conditionalFormatting>
  <conditionalFormatting sqref="X50">
    <cfRule type="expression" priority="62" dxfId="3">
      <formula>AND(IF(OR($Q50=1,$Q50=2),1,0),IF($X50&lt;=20,1,0))</formula>
    </cfRule>
    <cfRule type="expression" priority="63" dxfId="2">
      <formula>AND(IF($Q50=2,1,0),IF($X50&lt;30,1,0))</formula>
    </cfRule>
    <cfRule type="expression" priority="64" dxfId="1">
      <formula>AND(IF($Q50=3,1,0),IF($X50&lt;30,1,0))</formula>
    </cfRule>
    <cfRule type="expression" priority="65" dxfId="0">
      <formula>AND(IF($Q50=3,1,IF($Q50=4,1,0)),IF($F50&lt;=85,1,0))</formula>
    </cfRule>
  </conditionalFormatting>
  <conditionalFormatting sqref="AI50">
    <cfRule type="expression" priority="58" dxfId="3">
      <formula>AND(IF(OR($Q50=1,$Q50=2),1,0),IF($X50&lt;=20,1,0))</formula>
    </cfRule>
    <cfRule type="expression" priority="59" dxfId="2">
      <formula>AND(IF($Q50=2,1,0),IF($X50&lt;30,1,0))</formula>
    </cfRule>
    <cfRule type="expression" priority="60" dxfId="1">
      <formula>AND(IF($Q50=3,1,0),IF($X50&lt;30,1,0))</formula>
    </cfRule>
    <cfRule type="expression" priority="61" dxfId="0">
      <formula>AND(IF($Q50=3,1,IF($Q50=4,1,0)),IF($F50&lt;=85,1,0))</formula>
    </cfRule>
  </conditionalFormatting>
  <conditionalFormatting sqref="AV51">
    <cfRule type="expression" priority="56" dxfId="17">
      <formula>AV51="X"</formula>
    </cfRule>
    <cfRule type="expression" priority="57" dxfId="16">
      <formula>AV51="후보"</formula>
    </cfRule>
  </conditionalFormatting>
  <conditionalFormatting sqref="AC5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1">
    <cfRule type="expression" priority="47" dxfId="3">
      <formula>AND(IF(OR($Q51=1,$Q51=2),1,0),IF($X51&lt;=20,1,0))</formula>
    </cfRule>
    <cfRule type="expression" priority="48" dxfId="2">
      <formula>AND(IF($Q51=2,1,0),IF($X51&lt;30,1,0))</formula>
    </cfRule>
    <cfRule type="expression" priority="49" dxfId="1">
      <formula>AND(IF($Q51=3,1,0),IF($X51&lt;30,1,0))</formula>
    </cfRule>
    <cfRule type="expression" priority="50" dxfId="0">
      <formula>AND(IF($Q51=3,1,IF($Q51=4,1,0)),IF($F51&lt;=85,1,0))</formula>
    </cfRule>
  </conditionalFormatting>
  <conditionalFormatting sqref="X51">
    <cfRule type="expression" priority="43" dxfId="3">
      <formula>AND(IF(OR($Q51=1,$Q51=2),1,0),IF($X51&lt;=20,1,0))</formula>
    </cfRule>
    <cfRule type="expression" priority="44" dxfId="2">
      <formula>AND(IF($Q51=2,1,0),IF($X51&lt;30,1,0))</formula>
    </cfRule>
    <cfRule type="expression" priority="45" dxfId="1">
      <formula>AND(IF($Q51=3,1,0),IF($X51&lt;30,1,0))</formula>
    </cfRule>
    <cfRule type="expression" priority="46" dxfId="0">
      <formula>AND(IF($Q51=3,1,IF($Q51=4,1,0)),IF($F51&lt;=85,1,0))</formula>
    </cfRule>
  </conditionalFormatting>
  <conditionalFormatting sqref="AI51">
    <cfRule type="expression" priority="39" dxfId="3">
      <formula>AND(IF(OR($Q51=1,$Q51=2),1,0),IF($X51&lt;=20,1,0))</formula>
    </cfRule>
    <cfRule type="expression" priority="40" dxfId="2">
      <formula>AND(IF($Q51=2,1,0),IF($X51&lt;30,1,0))</formula>
    </cfRule>
    <cfRule type="expression" priority="41" dxfId="1">
      <formula>AND(IF($Q51=3,1,0),IF($X51&lt;30,1,0))</formula>
    </cfRule>
    <cfRule type="expression" priority="42" dxfId="0">
      <formula>AND(IF($Q51=3,1,IF($Q51=4,1,0)),IF($F51&lt;=85,1,0))</formula>
    </cfRule>
  </conditionalFormatting>
  <conditionalFormatting sqref="AV52">
    <cfRule type="expression" priority="37" dxfId="17">
      <formula>AV52="X"</formula>
    </cfRule>
    <cfRule type="expression" priority="38" dxfId="16">
      <formula>AV52="후보"</formula>
    </cfRule>
  </conditionalFormatting>
  <conditionalFormatting sqref="AC5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2">
    <cfRule type="expression" priority="28" dxfId="3">
      <formula>AND(IF(OR($Q52=1,$Q52=2),1,0),IF($X52&lt;=20,1,0))</formula>
    </cfRule>
    <cfRule type="expression" priority="29" dxfId="2">
      <formula>AND(IF($Q52=2,1,0),IF($X52&lt;30,1,0))</formula>
    </cfRule>
    <cfRule type="expression" priority="30" dxfId="1">
      <formula>AND(IF($Q52=3,1,0),IF($X52&lt;30,1,0))</formula>
    </cfRule>
    <cfRule type="expression" priority="31" dxfId="0">
      <formula>AND(IF($Q52=3,1,IF($Q52=4,1,0)),IF($F52&lt;=85,1,0))</formula>
    </cfRule>
  </conditionalFormatting>
  <conditionalFormatting sqref="X52">
    <cfRule type="expression" priority="24" dxfId="3">
      <formula>AND(IF(OR($Q52=1,$Q52=2),1,0),IF($X52&lt;=20,1,0))</formula>
    </cfRule>
    <cfRule type="expression" priority="25" dxfId="2">
      <formula>AND(IF($Q52=2,1,0),IF($X52&lt;30,1,0))</formula>
    </cfRule>
    <cfRule type="expression" priority="26" dxfId="1">
      <formula>AND(IF($Q52=3,1,0),IF($X52&lt;30,1,0))</formula>
    </cfRule>
    <cfRule type="expression" priority="27" dxfId="0">
      <formula>AND(IF($Q52=3,1,IF($Q52=4,1,0)),IF($F52&lt;=85,1,0))</formula>
    </cfRule>
  </conditionalFormatting>
  <conditionalFormatting sqref="AI52">
    <cfRule type="expression" priority="20" dxfId="3">
      <formula>AND(IF(OR($Q52=1,$Q52=2),1,0),IF($X52&lt;=20,1,0))</formula>
    </cfRule>
    <cfRule type="expression" priority="21" dxfId="2">
      <formula>AND(IF($Q52=2,1,0),IF($X52&lt;30,1,0))</formula>
    </cfRule>
    <cfRule type="expression" priority="22" dxfId="1">
      <formula>AND(IF($Q52=3,1,0),IF($X52&lt;30,1,0))</formula>
    </cfRule>
    <cfRule type="expression" priority="23" dxfId="0">
      <formula>AND(IF($Q52=3,1,IF($Q52=4,1,0)),IF($F52&lt;=85,1,0))</formula>
    </cfRule>
  </conditionalFormatting>
  <conditionalFormatting sqref="AV53">
    <cfRule type="expression" priority="18" dxfId="17">
      <formula>AV53="X"</formula>
    </cfRule>
    <cfRule type="expression" priority="19" dxfId="16">
      <formula>AV53="후보"</formula>
    </cfRule>
  </conditionalFormatting>
  <conditionalFormatting sqref="AC5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3">
    <cfRule type="expression" priority="9" dxfId="3">
      <formula>AND(IF(OR($Q53=1,$Q53=2),1,0),IF($X53&lt;=20,1,0))</formula>
    </cfRule>
    <cfRule type="expression" priority="10" dxfId="2">
      <formula>AND(IF($Q53=2,1,0),IF($X53&lt;30,1,0))</formula>
    </cfRule>
    <cfRule type="expression" priority="11" dxfId="1">
      <formula>AND(IF($Q53=3,1,0),IF($X53&lt;30,1,0))</formula>
    </cfRule>
    <cfRule type="expression" priority="12" dxfId="0">
      <formula>AND(IF($Q53=3,1,IF($Q53=4,1,0)),IF($F53&lt;=85,1,0))</formula>
    </cfRule>
  </conditionalFormatting>
  <conditionalFormatting sqref="X53">
    <cfRule type="expression" priority="5" dxfId="3">
      <formula>AND(IF(OR($Q53=1,$Q53=2),1,0),IF($X53&lt;=20,1,0))</formula>
    </cfRule>
    <cfRule type="expression" priority="6" dxfId="2">
      <formula>AND(IF($Q53=2,1,0),IF($X53&lt;30,1,0))</formula>
    </cfRule>
    <cfRule type="expression" priority="7" dxfId="1">
      <formula>AND(IF($Q53=3,1,0),IF($X53&lt;30,1,0))</formula>
    </cfRule>
    <cfRule type="expression" priority="8" dxfId="0">
      <formula>AND(IF($Q53=3,1,IF($Q53=4,1,0)),IF($F53&lt;=85,1,0))</formula>
    </cfRule>
  </conditionalFormatting>
  <conditionalFormatting sqref="AI53">
    <cfRule type="expression" priority="1" dxfId="3">
      <formula>AND(IF(OR($Q53=1,$Q53=2),1,0),IF($X53&lt;=20,1,0))</formula>
    </cfRule>
    <cfRule type="expression" priority="2" dxfId="2">
      <formula>AND(IF($Q53=2,1,0),IF($X53&lt;30,1,0))</formula>
    </cfRule>
    <cfRule type="expression" priority="3" dxfId="1">
      <formula>AND(IF($Q53=3,1,0),IF($X53&lt;30,1,0))</formula>
    </cfRule>
    <cfRule type="expression" priority="4" dxfId="0">
      <formula>AND(IF($Q53=3,1,IF($Q53=4,1,0)),IF($F53&lt;=85,1,0))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" sqref="A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죽림동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청주가경주공3단지</t>
        </is>
      </c>
      <c r="B6" s="16" t="inlineStr">
        <is>
          <t>'03.11.</t>
        </is>
      </c>
      <c r="C6" s="164" t="n">
        <v>704</v>
      </c>
      <c r="D6" s="161" t="n">
        <v>67.7</v>
      </c>
      <c r="E6" s="163" t="n">
        <v>20</v>
      </c>
      <c r="F6" s="161" t="n">
        <v>51.7</v>
      </c>
      <c r="G6" s="27" t="n">
        <v>16</v>
      </c>
      <c r="H6" s="164" t="n">
        <v>438</v>
      </c>
      <c r="I6" s="165" t="n">
        <v>17000</v>
      </c>
      <c r="J6" s="165" t="inlineStr">
        <is>
          <t>14</t>
        </is>
      </c>
      <c r="K6" s="165" t="n">
        <v>14000</v>
      </c>
      <c r="L6" s="165" t="inlineStr">
        <is>
          <t>중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67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청주가경주공3단지</t>
        </is>
      </c>
      <c r="B7" s="16" t="inlineStr">
        <is>
          <t>'03.11.</t>
        </is>
      </c>
      <c r="C7" s="164" t="n">
        <v>704</v>
      </c>
      <c r="D7" s="161" t="n">
        <v>78.40000000000001</v>
      </c>
      <c r="E7" s="163" t="n">
        <v>24</v>
      </c>
      <c r="F7" s="161" t="n">
        <v>59.9</v>
      </c>
      <c r="G7" s="27" t="n">
        <v>18</v>
      </c>
      <c r="H7" s="164" t="n">
        <v>266</v>
      </c>
      <c r="I7" s="165" t="n">
        <v>19000</v>
      </c>
      <c r="J7" s="165" t="inlineStr">
        <is>
          <t>15</t>
        </is>
      </c>
      <c r="K7" s="165" t="n">
        <v>18000</v>
      </c>
      <c r="L7" s="165" t="inlineStr">
        <is>
          <t>12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78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7">
      <formula>AV4="X"</formula>
    </cfRule>
    <cfRule type="expression" priority="40" dxfId="16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7">
      <formula>AV7="X"</formula>
    </cfRule>
    <cfRule type="expression" priority="19" dxfId="16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2022-06-22T12:54:22Z</dcterms:modified>
  <cp:lastModifiedBy>MinsuKwon</cp:lastModifiedBy>
  <cp:lastPrinted>2018-04-28T10:52:41Z</cp:lastPrinted>
</cp:coreProperties>
</file>