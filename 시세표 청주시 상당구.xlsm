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천동" sheetId="6" state="visible" r:id="rId6"/>
    <sheet xmlns:r="http://schemas.openxmlformats.org/officeDocument/2006/relationships" name="대성동" sheetId="7" state="visible" r:id="rId7"/>
    <sheet xmlns:r="http://schemas.openxmlformats.org/officeDocument/2006/relationships" name="문화동" sheetId="8" state="visible" r:id="rId8"/>
    <sheet xmlns:r="http://schemas.openxmlformats.org/officeDocument/2006/relationships" name="방서동" sheetId="9" state="visible" r:id="rId9"/>
    <sheet xmlns:r="http://schemas.openxmlformats.org/officeDocument/2006/relationships" name="북문로3가" sheetId="10" state="visible" r:id="rId10"/>
    <sheet xmlns:r="http://schemas.openxmlformats.org/officeDocument/2006/relationships" name="영운동" sheetId="11" state="visible" r:id="rId11"/>
    <sheet xmlns:r="http://schemas.openxmlformats.org/officeDocument/2006/relationships" name="용담동" sheetId="12" state="visible" r:id="rId12"/>
    <sheet xmlns:r="http://schemas.openxmlformats.org/officeDocument/2006/relationships" name="용암동" sheetId="13" state="visible" r:id="rId13"/>
    <sheet xmlns:r="http://schemas.openxmlformats.org/officeDocument/2006/relationships" name="용정동" sheetId="14" state="visible" r:id="rId14"/>
    <sheet xmlns:r="http://schemas.openxmlformats.org/officeDocument/2006/relationships" name="운동동" sheetId="15" state="visible" r:id="rId15"/>
    <sheet xmlns:r="http://schemas.openxmlformats.org/officeDocument/2006/relationships" name="탑동" sheetId="16" state="visible" r:id="rId16"/>
    <sheet xmlns:r="http://schemas.openxmlformats.org/officeDocument/2006/relationships" name="양식" sheetId="17" state="visible" r:id="rId17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'단지추출_가격표용'!$A$3:$U$149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'금천동'!$1:$3</definedName>
    <definedName name="_xlnm.Print_Area" localSheetId="5">'금천동'!$A$1:$U$6</definedName>
    <definedName name="_xlnm.Print_Titles" localSheetId="6">'대성동'!$1:$3</definedName>
    <definedName name="_xlnm.Print_Area" localSheetId="6">'대성동'!$A$1:$U$6</definedName>
    <definedName name="_xlnm.Print_Titles" localSheetId="7">'문화동'!$1:$3</definedName>
    <definedName name="_xlnm.Print_Area" localSheetId="7">'문화동'!$A$1:$U$6</definedName>
    <definedName name="_xlnm.Print_Titles" localSheetId="8">'방서동'!$1:$3</definedName>
    <definedName name="_xlnm.Print_Area" localSheetId="8">'방서동'!$A$1:$U$6</definedName>
    <definedName name="_xlnm.Print_Titles" localSheetId="9">'북문로3가'!$1:$3</definedName>
    <definedName name="_xlnm.Print_Area" localSheetId="9">'북문로3가'!$A$1:$U$6</definedName>
    <definedName name="_xlnm.Print_Titles" localSheetId="10">'영운동'!$1:$3</definedName>
    <definedName name="_xlnm.Print_Area" localSheetId="10">'영운동'!$A$1:$U$6</definedName>
    <definedName name="_xlnm.Print_Titles" localSheetId="11">'용담동'!$1:$3</definedName>
    <definedName name="_xlnm.Print_Area" localSheetId="11">'용담동'!$A$1:$U$6</definedName>
    <definedName name="_xlnm.Print_Titles" localSheetId="12">'용암동'!$1:$3</definedName>
    <definedName name="_xlnm.Print_Area" localSheetId="12">'용암동'!$A$1:$U$6</definedName>
    <definedName name="_xlnm.Print_Titles" localSheetId="13">'용정동'!$1:$3</definedName>
    <definedName name="_xlnm.Print_Area" localSheetId="13">'용정동'!$A$1:$U$6</definedName>
    <definedName name="_xlnm.Print_Titles" localSheetId="14">'운동동'!$1:$3</definedName>
    <definedName name="_xlnm.Print_Area" localSheetId="14">'운동동'!$A$1:$U$6</definedName>
    <definedName name="_xlnm.Print_Titles" localSheetId="15">'탑동'!$1:$3</definedName>
    <definedName name="_xlnm.Print_Area" localSheetId="15">'탑동'!$A$1:$U$6</definedName>
    <definedName name="_xlnm.Print_Titles" localSheetId="16">'양식'!$1:$3</definedName>
    <definedName name="_xlnm.Print_Area" localSheetId="1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6" sqref="A236:XFD236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5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X</t>
        </is>
      </c>
      <c r="M1" s="0" t="n"/>
      <c r="N1" s="113" t="inlineStr">
        <is>
          <t>추출기준세대수</t>
        </is>
      </c>
      <c r="O1" s="112" t="n"/>
      <c r="P1" s="126" t="n">
        <v>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6" t="inlineStr">
        <is>
          <t>인천광역시 연수구 전체 등급</t>
        </is>
      </c>
      <c r="AK1" s="115" t="n"/>
      <c r="AL1" s="115" t="n"/>
      <c r="AM1" s="115" t="n"/>
      <c r="AN1" s="112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3" t="inlineStr">
        <is>
          <t>기준연도</t>
        </is>
      </c>
      <c r="AY1" s="113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1" t="inlineStr">
        <is>
          <t>원금보전</t>
        </is>
      </c>
      <c r="AP2" s="115" t="n"/>
      <c r="AQ2" s="112" t="n"/>
      <c r="AR2" s="111" t="inlineStr">
        <is>
          <t>수익성</t>
        </is>
      </c>
      <c r="AS2" s="112" t="n"/>
      <c r="AT2" s="111" t="inlineStr">
        <is>
          <t>환금성</t>
        </is>
      </c>
      <c r="AU2" s="112" t="n"/>
      <c r="AV2" s="111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  <c r="W3" s="111" t="inlineStr">
        <is>
          <t>공급
평형</t>
        </is>
      </c>
      <c r="X3" s="111" t="inlineStr">
        <is>
          <t>공급
면적</t>
        </is>
      </c>
      <c r="Y3" s="128" t="inlineStr">
        <is>
          <t>세대</t>
        </is>
      </c>
      <c r="Z3" s="113" t="inlineStr">
        <is>
          <t>매매가</t>
        </is>
      </c>
      <c r="AA3" s="113" t="inlineStr">
        <is>
          <t>전세가</t>
        </is>
      </c>
      <c r="AB3" s="113" t="inlineStr">
        <is>
          <t>갭</t>
        </is>
      </c>
      <c r="AC3" s="111" t="inlineStr">
        <is>
          <t>전세
가율</t>
        </is>
      </c>
      <c r="AD3" s="113" t="inlineStr">
        <is>
          <t>평단가</t>
        </is>
      </c>
      <c r="AE3" s="111" t="inlineStr">
        <is>
          <t>구
조</t>
        </is>
      </c>
      <c r="AF3" s="35" t="inlineStr">
        <is>
          <t>방/
욕실</t>
        </is>
      </c>
      <c r="AG3" s="25" t="n"/>
      <c r="AH3" s="111" t="inlineStr">
        <is>
          <t>단지명</t>
        </is>
      </c>
      <c r="AI3" s="111" t="inlineStr">
        <is>
          <t>공급
면적</t>
        </is>
      </c>
      <c r="AJ3" s="111" t="inlineStr">
        <is>
          <t>직장</t>
        </is>
      </c>
      <c r="AK3" s="111" t="inlineStr">
        <is>
          <t>교통</t>
        </is>
      </c>
      <c r="AL3" s="111" t="inlineStr">
        <is>
          <t>학군</t>
        </is>
      </c>
      <c r="AM3" s="111" t="inlineStr">
        <is>
          <t>환경</t>
        </is>
      </c>
      <c r="AN3" s="111" t="inlineStr">
        <is>
          <t>공급</t>
        </is>
      </c>
      <c r="AO3" s="111" t="inlineStr">
        <is>
          <t>전세가율★
(80%↑)</t>
        </is>
      </c>
      <c r="AP3" s="111" t="inlineStr">
        <is>
          <t>절대가★
(4.5억↓)</t>
        </is>
      </c>
      <c r="AQ3" s="111" t="inlineStr">
        <is>
          <t>평단가
(1000↓)</t>
        </is>
      </c>
      <c r="AR3" s="111" t="inlineStr">
        <is>
          <t>투자규모★
(갭6천↓)</t>
        </is>
      </c>
      <c r="AS3" s="111" t="inlineStr">
        <is>
          <t>전고점
이하</t>
        </is>
      </c>
      <c r="AT3" s="37" t="inlineStr">
        <is>
          <t>평형★
(15~34평)</t>
        </is>
      </c>
      <c r="AU3" s="111" t="inlineStr">
        <is>
          <t>단지규모★
(300^↑)</t>
        </is>
      </c>
      <c r="AV3" s="111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8" t="n"/>
    </row>
    <row r="4" ht="12" customFormat="1" customHeight="1" s="38">
      <c r="A4" s="122" t="inlineStr">
        <is>
          <t>금천동 효성2차</t>
        </is>
      </c>
      <c r="B4" s="123" t="inlineStr">
        <is>
          <t>98.07.</t>
        </is>
      </c>
      <c r="C4" s="131" t="n">
        <v>253</v>
      </c>
      <c r="D4" s="132" t="n">
        <v>39.5</v>
      </c>
      <c r="E4" s="133" t="n">
        <v>12</v>
      </c>
      <c r="F4" s="132" t="n">
        <v>27.3</v>
      </c>
      <c r="G4" s="17" t="n">
        <v>8</v>
      </c>
      <c r="H4" s="134" t="n">
        <v>253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1</v>
      </c>
      <c r="R4" s="119" t="n">
        <v>1</v>
      </c>
      <c r="S4" s="119" t="inlineStr">
        <is>
          <t>복</t>
        </is>
      </c>
      <c r="T4" s="5" t="n">
        <v>39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19">
        <f>S4</f>
        <v/>
      </c>
      <c r="AF4" s="119">
        <f>Q4&amp;"/"&amp;R4</f>
        <v/>
      </c>
      <c r="AH4" s="20">
        <f>IF(A4="","",A4)</f>
        <v/>
      </c>
      <c r="AI4" s="133">
        <f>IF(E4="","",E4)</f>
        <v/>
      </c>
      <c r="AJ4" s="119">
        <f>IF(AI4="","",$AJ$2)</f>
        <v/>
      </c>
      <c r="AK4" s="119" t="inlineStr">
        <is>
          <t>A</t>
        </is>
      </c>
      <c r="AL4" s="119" t="inlineStr">
        <is>
          <t>A+</t>
        </is>
      </c>
      <c r="AM4" s="119" t="inlineStr">
        <is>
          <t>B+</t>
        </is>
      </c>
      <c r="AN4" s="119">
        <f>IF(AI4="","",$AN$2)</f>
        <v/>
      </c>
      <c r="AO4" s="119">
        <f>IF(N4="","",IF(N4&gt;=$AO$1/100,"O","X"))</f>
        <v/>
      </c>
      <c r="AP4" s="119">
        <f>IF(I4="","",IF(I4&lt;=$AP$1,"O","X"))</f>
        <v/>
      </c>
      <c r="AQ4" s="119">
        <f>IF(O4="","",IF(O4&lt;=$AQ$1,"O","X"))</f>
        <v/>
      </c>
      <c r="AR4" s="119">
        <f>IF(M4="","",IF(M4&lt;=$AR$1,"O","X"))</f>
        <v/>
      </c>
      <c r="AS4" s="119" t="inlineStr">
        <is>
          <t>X</t>
        </is>
      </c>
      <c r="AT4" s="119">
        <f>IF(OR(F4="",AI4=""),"",IF(AND((F4&lt;=85),(AI4&gt;=15)),"O","X"))</f>
        <v/>
      </c>
      <c r="AU4" s="119">
        <f>IF(C4="","",IF(C4&gt;=$AU$1,"O","X"))</f>
        <v/>
      </c>
      <c r="AV4" s="119">
        <f>IF(AO4="","",IF(AND(AO4="O",AP4="O",AR4="O",AT4="O",AU4="O"),"후보","X"))</f>
        <v/>
      </c>
    </row>
    <row r="5" ht="12" customFormat="1" customHeight="1" s="38">
      <c r="A5" s="122" t="inlineStr">
        <is>
          <t>금천동 장자마을2단지현대</t>
        </is>
      </c>
      <c r="B5" s="123" t="inlineStr">
        <is>
          <t>02.10.</t>
        </is>
      </c>
      <c r="C5" s="131" t="n">
        <v>636</v>
      </c>
      <c r="D5" s="132" t="n">
        <v>94.8</v>
      </c>
      <c r="E5" s="133" t="n">
        <v>29</v>
      </c>
      <c r="F5" s="132" t="n">
        <v>75</v>
      </c>
      <c r="G5" s="17" t="n">
        <v>23</v>
      </c>
      <c r="H5" s="134" t="n">
        <v>193</v>
      </c>
      <c r="I5" s="135" t="n">
        <v>21000</v>
      </c>
      <c r="J5" s="135" t="inlineStr">
        <is>
          <t>14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3</v>
      </c>
      <c r="R5" s="119" t="n">
        <v>2</v>
      </c>
      <c r="S5" s="119" t="inlineStr">
        <is>
          <t>계</t>
        </is>
      </c>
      <c r="T5" s="5" t="n">
        <v>94</v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19">
        <f>S5</f>
        <v/>
      </c>
      <c r="AF5" s="119">
        <f>Q5&amp;"/"&amp;R5</f>
        <v/>
      </c>
      <c r="AH5" s="20">
        <f>IF(A5="","",A5)</f>
        <v/>
      </c>
      <c r="AI5" s="133">
        <f>IF(E5="","",E5)</f>
        <v/>
      </c>
      <c r="AJ5" s="119">
        <f>IF(AI5="","",$AJ$2)</f>
        <v/>
      </c>
      <c r="AK5" s="119" t="inlineStr">
        <is>
          <t>A</t>
        </is>
      </c>
      <c r="AL5" s="119" t="inlineStr">
        <is>
          <t>A+</t>
        </is>
      </c>
      <c r="AM5" s="119" t="inlineStr">
        <is>
          <t>B+</t>
        </is>
      </c>
      <c r="AN5" s="119">
        <f>IF(AI5="","",$AN$2)</f>
        <v/>
      </c>
      <c r="AO5" s="119">
        <f>IF(N5="","",IF(N5&gt;=$AO$1/100,"O","X"))</f>
        <v/>
      </c>
      <c r="AP5" s="119">
        <f>IF(I5="","",IF(I5&lt;=$AP$1,"O","X"))</f>
        <v/>
      </c>
      <c r="AQ5" s="119">
        <f>IF(O5="","",IF(O5&lt;=$AQ$1,"O","X"))</f>
        <v/>
      </c>
      <c r="AR5" s="119">
        <f>IF(M5="","",IF(M5&lt;=$AR$1,"O","X"))</f>
        <v/>
      </c>
      <c r="AS5" s="119" t="inlineStr">
        <is>
          <t>X</t>
        </is>
      </c>
      <c r="AT5" s="119">
        <f>IF(OR(F5="",AI5=""),"",IF(AND((F5&lt;=85),(AI5&gt;=15)),"O","X"))</f>
        <v/>
      </c>
      <c r="AU5" s="119">
        <f>IF(C5="","",IF(C5&gt;=$AU$1,"O","X"))</f>
        <v/>
      </c>
      <c r="AV5" s="119">
        <f>IF(AO5="","",IF(AND(AO5="O",AP5="O",AR5="O",AT5="O",AU5="O"),"후보","X"))</f>
        <v/>
      </c>
    </row>
    <row r="6" ht="12" customFormat="1" customHeight="1" s="38">
      <c r="A6" s="122" t="inlineStr">
        <is>
          <t>금천동 장자마을2단지현대</t>
        </is>
      </c>
      <c r="B6" s="123" t="inlineStr">
        <is>
          <t>02.10.</t>
        </is>
      </c>
      <c r="C6" s="131" t="n">
        <v>636</v>
      </c>
      <c r="D6" s="132" t="n">
        <v>107.4</v>
      </c>
      <c r="E6" s="133" t="n">
        <v>33</v>
      </c>
      <c r="F6" s="132" t="n">
        <v>84.90000000000001</v>
      </c>
      <c r="G6" s="17" t="n">
        <v>26</v>
      </c>
      <c r="H6" s="134" t="n">
        <v>267</v>
      </c>
      <c r="I6" s="135" t="n">
        <v>26000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107A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 ht="12" customFormat="1" customHeight="1" s="38">
      <c r="A7" s="122" t="inlineStr">
        <is>
          <t>금천동 장자마을2단지현대</t>
        </is>
      </c>
      <c r="B7" s="123" t="inlineStr">
        <is>
          <t>02.10.</t>
        </is>
      </c>
      <c r="C7" s="131" t="n">
        <v>636</v>
      </c>
      <c r="D7" s="132" t="n">
        <v>109.5</v>
      </c>
      <c r="E7" s="133" t="n">
        <v>33</v>
      </c>
      <c r="F7" s="132" t="n">
        <v>84.90000000000001</v>
      </c>
      <c r="G7" s="17" t="n">
        <v>26</v>
      </c>
      <c r="H7" s="134" t="n">
        <v>176</v>
      </c>
      <c r="I7" s="135" t="n">
        <v>25500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 ht="12" customFormat="1" customHeight="1" s="38">
      <c r="A8" s="122" t="inlineStr">
        <is>
          <t>금천동 금천현대</t>
        </is>
      </c>
      <c r="B8" s="123" t="inlineStr">
        <is>
          <t>92.12.</t>
        </is>
      </c>
      <c r="C8" s="131" t="n">
        <v>1032</v>
      </c>
      <c r="D8" s="132" t="n">
        <v>81.7</v>
      </c>
      <c r="E8" s="133" t="n">
        <v>25</v>
      </c>
      <c r="F8" s="132" t="n">
        <v>62.1</v>
      </c>
      <c r="G8" s="17" t="n">
        <v>19</v>
      </c>
      <c r="H8" s="134" t="n">
        <v>180</v>
      </c>
      <c r="I8" s="135" t="n">
        <v>11500</v>
      </c>
      <c r="J8" s="135" t="inlineStr">
        <is>
          <t>15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복</t>
        </is>
      </c>
      <c r="T8" s="5" t="n">
        <v>81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 ht="12" customFormat="1" customHeight="1" s="38">
      <c r="A9" s="122" t="inlineStr">
        <is>
          <t>금천동 금천현대</t>
        </is>
      </c>
      <c r="B9" s="123" t="inlineStr">
        <is>
          <t>92.12.</t>
        </is>
      </c>
      <c r="C9" s="131" t="n">
        <v>1032</v>
      </c>
      <c r="D9" s="132" t="n">
        <v>86.5</v>
      </c>
      <c r="E9" s="133" t="n">
        <v>26</v>
      </c>
      <c r="F9" s="132" t="n">
        <v>70.2</v>
      </c>
      <c r="G9" s="17" t="n">
        <v>21</v>
      </c>
      <c r="H9" s="134" t="n">
        <v>262</v>
      </c>
      <c r="I9" s="135" t="n">
        <v>15500</v>
      </c>
      <c r="J9" s="135" t="inlineStr">
        <is>
          <t>14</t>
        </is>
      </c>
      <c r="K9" s="135" t="n">
        <v>14000</v>
      </c>
      <c r="L9" s="135" t="inlineStr">
        <is>
          <t>9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86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 ht="12" customFormat="1" customHeight="1" s="38">
      <c r="A10" s="122" t="inlineStr">
        <is>
          <t>금천동 금천현대</t>
        </is>
      </c>
      <c r="B10" s="123" t="inlineStr">
        <is>
          <t>92.12.</t>
        </is>
      </c>
      <c r="C10" s="131" t="n">
        <v>1032</v>
      </c>
      <c r="D10" s="132" t="n">
        <v>102.4</v>
      </c>
      <c r="E10" s="133" t="n">
        <v>31</v>
      </c>
      <c r="F10" s="132" t="n">
        <v>84.8</v>
      </c>
      <c r="G10" s="17" t="n">
        <v>26</v>
      </c>
      <c r="H10" s="134" t="n">
        <v>448</v>
      </c>
      <c r="I10" s="135" t="n">
        <v>15000</v>
      </c>
      <c r="J10" s="135" t="inlineStr">
        <is>
          <t>고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 ht="12" customFormat="1" customHeight="1" s="38">
      <c r="A11" s="122" t="inlineStr">
        <is>
          <t>금천동 금천현대</t>
        </is>
      </c>
      <c r="B11" s="123" t="inlineStr">
        <is>
          <t>92.12.</t>
        </is>
      </c>
      <c r="C11" s="131" t="n">
        <v>1032</v>
      </c>
      <c r="D11" s="132" t="n">
        <v>148.9</v>
      </c>
      <c r="E11" s="133" t="n">
        <v>45</v>
      </c>
      <c r="F11" s="132" t="n">
        <v>127.2</v>
      </c>
      <c r="G11" s="17" t="n">
        <v>38</v>
      </c>
      <c r="H11" s="134" t="n">
        <v>142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148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 ht="12" customFormat="1" customHeight="1" s="38">
      <c r="A12" s="122" t="inlineStr">
        <is>
          <t>금천동 삼일</t>
        </is>
      </c>
      <c r="B12" s="123" t="inlineStr">
        <is>
          <t>87.11.</t>
        </is>
      </c>
      <c r="C12" s="131" t="n">
        <v>299</v>
      </c>
      <c r="D12" s="132" t="n">
        <v>66.40000000000001</v>
      </c>
      <c r="E12" s="133" t="n">
        <v>20</v>
      </c>
      <c r="F12" s="132" t="n">
        <v>55.3</v>
      </c>
      <c r="G12" s="17" t="n">
        <v>17</v>
      </c>
      <c r="H12" s="134" t="n">
        <v>5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n">
        <v>66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 ht="12" customFormat="1" customHeight="1" s="38">
      <c r="A13" s="122" t="inlineStr">
        <is>
          <t>금천동 삼일</t>
        </is>
      </c>
      <c r="B13" s="123" t="inlineStr">
        <is>
          <t>87.11.</t>
        </is>
      </c>
      <c r="C13" s="131" t="n">
        <v>299</v>
      </c>
      <c r="D13" s="132" t="n">
        <v>71.59999999999999</v>
      </c>
      <c r="E13" s="133" t="n">
        <v>22</v>
      </c>
      <c r="F13" s="132" t="n">
        <v>59.7</v>
      </c>
      <c r="G13" s="17" t="n">
        <v>18</v>
      </c>
      <c r="H13" s="134" t="n">
        <v>28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71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 ht="12" customFormat="1" customHeight="1" s="38">
      <c r="A14" s="122" t="inlineStr">
        <is>
          <t>금천동 삼일</t>
        </is>
      </c>
      <c r="B14" s="123" t="inlineStr">
        <is>
          <t>87.11.</t>
        </is>
      </c>
      <c r="C14" s="131" t="n">
        <v>299</v>
      </c>
      <c r="D14" s="132" t="n">
        <v>78.2</v>
      </c>
      <c r="E14" s="133" t="n">
        <v>24</v>
      </c>
      <c r="F14" s="132" t="n">
        <v>59.8</v>
      </c>
      <c r="G14" s="17" t="n">
        <v>18</v>
      </c>
      <c r="H14" s="134" t="n">
        <v>266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 ht="12" customFormat="1" customHeight="1" s="38">
      <c r="A15" s="122" t="inlineStr">
        <is>
          <t>금천동 장자마을7단지부영</t>
        </is>
      </c>
      <c r="B15" s="123" t="inlineStr">
        <is>
          <t>01.11.</t>
        </is>
      </c>
      <c r="C15" s="131" t="n">
        <v>725</v>
      </c>
      <c r="D15" s="132" t="n">
        <v>74.3</v>
      </c>
      <c r="E15" s="133" t="n">
        <v>22</v>
      </c>
      <c r="F15" s="132" t="n">
        <v>48.4</v>
      </c>
      <c r="G15" s="17" t="n">
        <v>15</v>
      </c>
      <c r="H15" s="134" t="n">
        <v>350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2</v>
      </c>
      <c r="R15" s="119" t="n">
        <v>1</v>
      </c>
      <c r="S15" s="119" t="inlineStr">
        <is>
          <t>복</t>
        </is>
      </c>
      <c r="T15" s="5" t="n">
        <v>74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 ht="12" customFormat="1" customHeight="1" s="38">
      <c r="A16" s="122" t="inlineStr">
        <is>
          <t>금천동 장자마을7단지부영</t>
        </is>
      </c>
      <c r="B16" s="123" t="inlineStr">
        <is>
          <t>01.11.</t>
        </is>
      </c>
      <c r="C16" s="131" t="n">
        <v>725</v>
      </c>
      <c r="D16" s="132" t="n">
        <v>83.09999999999999</v>
      </c>
      <c r="E16" s="133" t="n">
        <v>25</v>
      </c>
      <c r="F16" s="132" t="n">
        <v>59.3</v>
      </c>
      <c r="G16" s="17" t="n">
        <v>18</v>
      </c>
      <c r="H16" s="134" t="n">
        <v>375</v>
      </c>
      <c r="I16" s="135" t="n">
        <v>19000</v>
      </c>
      <c r="J16" s="135" t="inlineStr">
        <is>
          <t>10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83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 ht="12" customFormat="1" customHeight="1" s="38">
      <c r="A17" s="122" t="inlineStr">
        <is>
          <t>금천동 풍림</t>
        </is>
      </c>
      <c r="B17" s="123" t="inlineStr">
        <is>
          <t>92.08.</t>
        </is>
      </c>
      <c r="C17" s="131" t="n">
        <v>327</v>
      </c>
      <c r="D17" s="132" t="n">
        <v>72.90000000000001</v>
      </c>
      <c r="E17" s="133" t="n">
        <v>22</v>
      </c>
      <c r="F17" s="132" t="n">
        <v>59.5</v>
      </c>
      <c r="G17" s="17" t="n">
        <v>18</v>
      </c>
      <c r="H17" s="134" t="n">
        <v>38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1</v>
      </c>
      <c r="S17" s="119" t="inlineStr">
        <is>
          <t>계</t>
        </is>
      </c>
      <c r="T17" s="5" t="n">
        <v>72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 ht="12" customFormat="1" customHeight="1" s="38">
      <c r="A18" s="122" t="inlineStr">
        <is>
          <t>금천동 풍림</t>
        </is>
      </c>
      <c r="B18" s="123" t="inlineStr">
        <is>
          <t>92.08.</t>
        </is>
      </c>
      <c r="C18" s="131" t="n">
        <v>327</v>
      </c>
      <c r="D18" s="132" t="n">
        <v>104.4</v>
      </c>
      <c r="E18" s="133" t="n">
        <v>32</v>
      </c>
      <c r="F18" s="132" t="n">
        <v>84.59999999999999</v>
      </c>
      <c r="G18" s="17" t="n">
        <v>26</v>
      </c>
      <c r="H18" s="134" t="n">
        <v>229</v>
      </c>
      <c r="I18" s="135" t="n">
        <v>15500</v>
      </c>
      <c r="J18" s="135" t="inlineStr">
        <is>
          <t>6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 ht="12" customFormat="1" customHeight="1" s="38">
      <c r="A19" s="122" t="inlineStr">
        <is>
          <t>금천동 풍림</t>
        </is>
      </c>
      <c r="B19" s="123" t="inlineStr">
        <is>
          <t>92.08.</t>
        </is>
      </c>
      <c r="C19" s="131" t="n">
        <v>327</v>
      </c>
      <c r="D19" s="132" t="n">
        <v>162.4</v>
      </c>
      <c r="E19" s="133" t="n">
        <v>49</v>
      </c>
      <c r="F19" s="132" t="n">
        <v>136.5</v>
      </c>
      <c r="G19" s="17" t="n">
        <v>41</v>
      </c>
      <c r="H19" s="134" t="n">
        <v>60</v>
      </c>
      <c r="I19" s="135" t="n">
        <v>22000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4</v>
      </c>
      <c r="R19" s="119" t="n">
        <v>2</v>
      </c>
      <c r="S19" s="119" t="inlineStr">
        <is>
          <t>계</t>
        </is>
      </c>
      <c r="T19" s="5" t="n">
        <v>162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 ht="12" customFormat="1" customHeight="1" s="38">
      <c r="A20" s="122" t="inlineStr">
        <is>
          <t>금천동 금천우미린</t>
        </is>
      </c>
      <c r="B20" s="123" t="inlineStr">
        <is>
          <t>14.10.</t>
        </is>
      </c>
      <c r="C20" s="131" t="n">
        <v>319</v>
      </c>
      <c r="D20" s="132" t="n">
        <v>96.7</v>
      </c>
      <c r="E20" s="133" t="n">
        <v>29</v>
      </c>
      <c r="F20" s="132" t="n">
        <v>76</v>
      </c>
      <c r="G20" s="17" t="n">
        <v>23</v>
      </c>
      <c r="H20" s="134" t="n">
        <v>15</v>
      </c>
      <c r="I20" s="135" t="n">
        <v>28500</v>
      </c>
      <c r="J20" s="135" t="inlineStr">
        <is>
          <t>9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96B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 ht="12" customFormat="1" customHeight="1" s="38">
      <c r="A21" s="122" t="inlineStr">
        <is>
          <t>금천동 금천우미린</t>
        </is>
      </c>
      <c r="B21" s="123" t="inlineStr">
        <is>
          <t>14.10.</t>
        </is>
      </c>
      <c r="C21" s="131" t="n">
        <v>319</v>
      </c>
      <c r="D21" s="132" t="n">
        <v>97.8</v>
      </c>
      <c r="E21" s="133" t="n">
        <v>30</v>
      </c>
      <c r="F21" s="132" t="n">
        <v>76.09999999999999</v>
      </c>
      <c r="G21" s="17" t="n">
        <v>23</v>
      </c>
      <c r="H21" s="134" t="n">
        <v>234</v>
      </c>
      <c r="I21" s="135" t="n"/>
      <c r="J21" s="135" t="n"/>
      <c r="K21" s="135" t="n">
        <v>24000</v>
      </c>
      <c r="L21" s="135" t="inlineStr">
        <is>
          <t>12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97A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 ht="12" customFormat="1" customHeight="1" s="38">
      <c r="A22" s="122" t="inlineStr">
        <is>
          <t>금천동 금천우미린</t>
        </is>
      </c>
      <c r="B22" s="123" t="inlineStr">
        <is>
          <t>14.10.</t>
        </is>
      </c>
      <c r="C22" s="131" t="n">
        <v>319</v>
      </c>
      <c r="D22" s="132" t="n">
        <v>109.3</v>
      </c>
      <c r="E22" s="133" t="n">
        <v>33</v>
      </c>
      <c r="F22" s="132" t="n">
        <v>85</v>
      </c>
      <c r="G22" s="17" t="n">
        <v>26</v>
      </c>
      <c r="H22" s="134" t="n">
        <v>42</v>
      </c>
      <c r="I22" s="135" t="n">
        <v>33500</v>
      </c>
      <c r="J22" s="135" t="inlineStr">
        <is>
          <t>15</t>
        </is>
      </c>
      <c r="K22" s="135" t="n">
        <v>30000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109A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 ht="12" customFormat="1" customHeight="1" s="38">
      <c r="A23" s="122" t="inlineStr">
        <is>
          <t>금천동 금천우미린</t>
        </is>
      </c>
      <c r="B23" s="123" t="inlineStr">
        <is>
          <t>14.10.</t>
        </is>
      </c>
      <c r="C23" s="131" t="n">
        <v>319</v>
      </c>
      <c r="D23" s="132" t="n">
        <v>111</v>
      </c>
      <c r="E23" s="133" t="n">
        <v>34</v>
      </c>
      <c r="F23" s="132" t="n">
        <v>85</v>
      </c>
      <c r="G23" s="17" t="n">
        <v>26</v>
      </c>
      <c r="H23" s="134" t="n">
        <v>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 ht="12" customFormat="1" customHeight="1" s="38">
      <c r="A24" s="122" t="inlineStr">
        <is>
          <t>금천동 장자마을9단지부영</t>
        </is>
      </c>
      <c r="B24" s="123" t="inlineStr">
        <is>
          <t>02.08.</t>
        </is>
      </c>
      <c r="C24" s="131" t="n">
        <v>456</v>
      </c>
      <c r="D24" s="132" t="n">
        <v>75.2</v>
      </c>
      <c r="E24" s="133" t="n">
        <v>23</v>
      </c>
      <c r="F24" s="132" t="n">
        <v>48.4</v>
      </c>
      <c r="G24" s="17" t="n">
        <v>15</v>
      </c>
      <c r="H24" s="134" t="n">
        <v>72</v>
      </c>
      <c r="I24" s="135" t="n">
        <v>15000</v>
      </c>
      <c r="J24" s="135" t="inlineStr">
        <is>
          <t>14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복</t>
        </is>
      </c>
      <c r="T24" s="5" t="n">
        <v>75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 ht="12" customFormat="1" customHeight="1" s="38">
      <c r="A25" s="122" t="inlineStr">
        <is>
          <t>금천동 장자마을9단지부영</t>
        </is>
      </c>
      <c r="B25" s="123" t="inlineStr">
        <is>
          <t>02.08.</t>
        </is>
      </c>
      <c r="C25" s="131" t="n">
        <v>456</v>
      </c>
      <c r="D25" s="132" t="n">
        <v>82.59999999999999</v>
      </c>
      <c r="E25" s="133" t="n">
        <v>25</v>
      </c>
      <c r="F25" s="132" t="n">
        <v>59.3</v>
      </c>
      <c r="G25" s="17" t="n">
        <v>18</v>
      </c>
      <c r="H25" s="134" t="n">
        <v>384</v>
      </c>
      <c r="I25" s="135" t="n">
        <v>17800</v>
      </c>
      <c r="J25" s="135" t="inlineStr">
        <is>
          <t>10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복</t>
        </is>
      </c>
      <c r="T25" s="5" t="n">
        <v>82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 ht="12" customFormat="1" customHeight="1" s="38">
      <c r="A26" s="122" t="inlineStr">
        <is>
          <t>금천동 장자마을10단지부영</t>
        </is>
      </c>
      <c r="B26" s="123" t="inlineStr">
        <is>
          <t>02.08.</t>
        </is>
      </c>
      <c r="C26" s="131" t="n">
        <v>330</v>
      </c>
      <c r="D26" s="132" t="n">
        <v>106.3</v>
      </c>
      <c r="E26" s="133" t="n">
        <v>32</v>
      </c>
      <c r="F26" s="132" t="n">
        <v>85</v>
      </c>
      <c r="G26" s="17" t="n">
        <v>26</v>
      </c>
      <c r="H26" s="134" t="n">
        <v>330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106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 ht="12" customFormat="1" customHeight="1" s="38">
      <c r="A27" s="122" t="inlineStr">
        <is>
          <t>금천동 금천경희</t>
        </is>
      </c>
      <c r="B27" s="123" t="inlineStr">
        <is>
          <t>97.09.</t>
        </is>
      </c>
      <c r="C27" s="131" t="n">
        <v>470</v>
      </c>
      <c r="D27" s="132" t="n">
        <v>47.3</v>
      </c>
      <c r="E27" s="133" t="n">
        <v>14</v>
      </c>
      <c r="F27" s="132" t="n">
        <v>31.2</v>
      </c>
      <c r="G27" s="17" t="n">
        <v>9</v>
      </c>
      <c r="H27" s="134" t="n">
        <v>381</v>
      </c>
      <c r="I27" s="135" t="n">
        <v>4100</v>
      </c>
      <c r="J27" s="135" t="inlineStr">
        <is>
          <t>14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1</v>
      </c>
      <c r="R27" s="119" t="n">
        <v>1</v>
      </c>
      <c r="S27" s="119" t="inlineStr">
        <is>
          <t>복</t>
        </is>
      </c>
      <c r="T27" s="5" t="n">
        <v>47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 ht="12" customFormat="1" customHeight="1" s="38">
      <c r="A28" s="122" t="inlineStr">
        <is>
          <t>금천동 금천경희</t>
        </is>
      </c>
      <c r="B28" s="123" t="inlineStr">
        <is>
          <t>97.09.</t>
        </is>
      </c>
      <c r="C28" s="131" t="n">
        <v>470</v>
      </c>
      <c r="D28" s="132" t="n">
        <v>76.8</v>
      </c>
      <c r="E28" s="133" t="n">
        <v>23</v>
      </c>
      <c r="F28" s="132" t="n">
        <v>59.9</v>
      </c>
      <c r="G28" s="17" t="n">
        <v>18</v>
      </c>
      <c r="H28" s="134" t="n">
        <v>89</v>
      </c>
      <c r="I28" s="135" t="n">
        <v>12000</v>
      </c>
      <c r="J28" s="135" t="inlineStr">
        <is>
          <t>중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1</v>
      </c>
      <c r="S28" s="119" t="inlineStr">
        <is>
          <t>계</t>
        </is>
      </c>
      <c r="T28" s="5" t="n">
        <v>76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 ht="12" customFormat="1" customHeight="1" s="38">
      <c r="A29" s="122" t="inlineStr">
        <is>
          <t>금천동 장자마을6단지부영그린타운2차</t>
        </is>
      </c>
      <c r="B29" s="123" t="inlineStr">
        <is>
          <t>05.11.</t>
        </is>
      </c>
      <c r="C29" s="131" t="n">
        <v>320</v>
      </c>
      <c r="D29" s="132" t="n">
        <v>116.9</v>
      </c>
      <c r="E29" s="133" t="n">
        <v>35</v>
      </c>
      <c r="F29" s="132" t="n">
        <v>84.90000000000001</v>
      </c>
      <c r="G29" s="17" t="n">
        <v>26</v>
      </c>
      <c r="H29" s="134" t="n">
        <v>320</v>
      </c>
      <c r="I29" s="135" t="n">
        <v>28800</v>
      </c>
      <c r="J29" s="135" t="inlineStr">
        <is>
          <t>8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n">
        <v>116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 ht="12" customFormat="1" customHeight="1" s="38">
      <c r="A30" s="122" t="inlineStr">
        <is>
          <t>금천동 장자마을8단지부영</t>
        </is>
      </c>
      <c r="B30" s="123" t="inlineStr">
        <is>
          <t>02.12.</t>
        </is>
      </c>
      <c r="C30" s="131" t="n">
        <v>663</v>
      </c>
      <c r="D30" s="132" t="n">
        <v>113.4</v>
      </c>
      <c r="E30" s="133" t="n">
        <v>34</v>
      </c>
      <c r="F30" s="132" t="n">
        <v>85</v>
      </c>
      <c r="G30" s="17" t="n">
        <v>26</v>
      </c>
      <c r="H30" s="134" t="n">
        <v>663</v>
      </c>
      <c r="I30" s="135" t="n">
        <v>22500</v>
      </c>
      <c r="J30" s="135" t="inlineStr">
        <is>
          <t>10</t>
        </is>
      </c>
      <c r="K30" s="135" t="n">
        <v>22200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n">
        <v>113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 ht="12" customFormat="1" customHeight="1" s="38">
      <c r="A31" s="122" t="inlineStr">
        <is>
          <t>금천동 장자마을5단지부영</t>
        </is>
      </c>
      <c r="B31" s="123" t="inlineStr">
        <is>
          <t>03.04.</t>
        </is>
      </c>
      <c r="C31" s="131" t="n">
        <v>379</v>
      </c>
      <c r="D31" s="132" t="n">
        <v>114.1</v>
      </c>
      <c r="E31" s="133" t="n">
        <v>35</v>
      </c>
      <c r="F31" s="132" t="n">
        <v>85</v>
      </c>
      <c r="G31" s="17" t="n">
        <v>26</v>
      </c>
      <c r="H31" s="134" t="n">
        <v>379</v>
      </c>
      <c r="I31" s="135" t="n">
        <v>24500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n">
        <v>114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 ht="12" customFormat="1" customHeight="1" s="38">
      <c r="A32" s="122" t="inlineStr">
        <is>
          <t>금천동 금천뉴타운</t>
        </is>
      </c>
      <c r="B32" s="123" t="inlineStr">
        <is>
          <t>93.05.</t>
        </is>
      </c>
      <c r="C32" s="131" t="n">
        <v>783</v>
      </c>
      <c r="D32" s="132" t="n">
        <v>74.59999999999999</v>
      </c>
      <c r="E32" s="133" t="n">
        <v>23</v>
      </c>
      <c r="F32" s="132" t="n">
        <v>60</v>
      </c>
      <c r="G32" s="17" t="n">
        <v>18</v>
      </c>
      <c r="H32" s="134" t="n">
        <v>286</v>
      </c>
      <c r="I32" s="135" t="n">
        <v>9800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1</v>
      </c>
      <c r="S32" s="119" t="inlineStr">
        <is>
          <t>계</t>
        </is>
      </c>
      <c r="T32" s="5" t="n">
        <v>74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 ht="12" customFormat="1" customHeight="1" s="38">
      <c r="A33" s="122" t="inlineStr">
        <is>
          <t>금천동 금천뉴타운</t>
        </is>
      </c>
      <c r="B33" s="123" t="inlineStr">
        <is>
          <t>93.05.</t>
        </is>
      </c>
      <c r="C33" s="131" t="n">
        <v>783</v>
      </c>
      <c r="D33" s="132" t="n">
        <v>102.4</v>
      </c>
      <c r="E33" s="133" t="n">
        <v>31</v>
      </c>
      <c r="F33" s="132" t="n">
        <v>84.90000000000001</v>
      </c>
      <c r="G33" s="17" t="n">
        <v>26</v>
      </c>
      <c r="H33" s="134" t="n">
        <v>325</v>
      </c>
      <c r="I33" s="135" t="n">
        <v>17000</v>
      </c>
      <c r="J33" s="135" t="inlineStr">
        <is>
          <t>13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102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 ht="12" customFormat="1" customHeight="1" s="38">
      <c r="A34" s="122" t="inlineStr">
        <is>
          <t>금천동 금천뉴타운</t>
        </is>
      </c>
      <c r="B34" s="123" t="inlineStr">
        <is>
          <t>93.05.</t>
        </is>
      </c>
      <c r="C34" s="131" t="n">
        <v>783</v>
      </c>
      <c r="D34" s="132" t="n">
        <v>157.2</v>
      </c>
      <c r="E34" s="133" t="n">
        <v>48</v>
      </c>
      <c r="F34" s="132" t="n">
        <v>134.6</v>
      </c>
      <c r="G34" s="17" t="n">
        <v>41</v>
      </c>
      <c r="H34" s="134" t="n">
        <v>120</v>
      </c>
      <c r="I34" s="135" t="n">
        <v>22000</v>
      </c>
      <c r="J34" s="135" t="inlineStr">
        <is>
          <t>중</t>
        </is>
      </c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157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 ht="12" customFormat="1" customHeight="1" s="38">
      <c r="A35" s="122" t="inlineStr">
        <is>
          <t>금천동 금천뉴타운</t>
        </is>
      </c>
      <c r="B35" s="123" t="inlineStr">
        <is>
          <t>93.05.</t>
        </is>
      </c>
      <c r="C35" s="131" t="n">
        <v>783</v>
      </c>
      <c r="D35" s="132" t="n">
        <v>190.2</v>
      </c>
      <c r="E35" s="133" t="n">
        <v>58</v>
      </c>
      <c r="F35" s="132" t="n">
        <v>164.4</v>
      </c>
      <c r="G35" s="17" t="n">
        <v>50</v>
      </c>
      <c r="H35" s="134" t="n">
        <v>52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5</v>
      </c>
      <c r="R35" s="119" t="n">
        <v>2</v>
      </c>
      <c r="S35" s="119" t="inlineStr">
        <is>
          <t>계</t>
        </is>
      </c>
      <c r="T35" s="5" t="n">
        <v>190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 ht="12" customFormat="1" customHeight="1" s="38">
      <c r="A36" s="122" t="inlineStr">
        <is>
          <t>금천동 효성1차</t>
        </is>
      </c>
      <c r="B36" s="123" t="inlineStr">
        <is>
          <t>98.08.</t>
        </is>
      </c>
      <c r="C36" s="131" t="n">
        <v>495</v>
      </c>
      <c r="D36" s="132" t="n">
        <v>39.1</v>
      </c>
      <c r="E36" s="133" t="n">
        <v>12</v>
      </c>
      <c r="F36" s="132" t="n">
        <v>27.3</v>
      </c>
      <c r="G36" s="17" t="n">
        <v>8</v>
      </c>
      <c r="H36" s="134" t="n">
        <v>300</v>
      </c>
      <c r="I36" s="135" t="n">
        <v>3400</v>
      </c>
      <c r="J36" s="135" t="inlineStr">
        <is>
          <t>6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1</v>
      </c>
      <c r="R36" s="119" t="n">
        <v>1</v>
      </c>
      <c r="S36" s="119" t="inlineStr">
        <is>
          <t>복</t>
        </is>
      </c>
      <c r="T36" s="5" t="n">
        <v>39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 ht="12" customFormat="1" customHeight="1" s="38">
      <c r="A37" s="122" t="inlineStr">
        <is>
          <t>금천동 효성1차</t>
        </is>
      </c>
      <c r="B37" s="123" t="inlineStr">
        <is>
          <t>98.08.</t>
        </is>
      </c>
      <c r="C37" s="131" t="n">
        <v>495</v>
      </c>
      <c r="D37" s="132" t="n">
        <v>85.90000000000001</v>
      </c>
      <c r="E37" s="133" t="n">
        <v>26</v>
      </c>
      <c r="F37" s="132" t="n">
        <v>59.9</v>
      </c>
      <c r="G37" s="17" t="n">
        <v>18</v>
      </c>
      <c r="H37" s="134" t="n">
        <v>45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1</v>
      </c>
      <c r="S37" s="119" t="inlineStr">
        <is>
          <t>복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 ht="12" customFormat="1" customHeight="1" s="38">
      <c r="A38" s="122" t="inlineStr">
        <is>
          <t>금천동 효성1차</t>
        </is>
      </c>
      <c r="B38" s="123" t="inlineStr">
        <is>
          <t>98.08.</t>
        </is>
      </c>
      <c r="C38" s="131" t="n">
        <v>495</v>
      </c>
      <c r="D38" s="132" t="n">
        <v>103.6</v>
      </c>
      <c r="E38" s="133" t="n">
        <v>31</v>
      </c>
      <c r="F38" s="132" t="n">
        <v>85</v>
      </c>
      <c r="G38" s="17" t="n">
        <v>26</v>
      </c>
      <c r="H38" s="134" t="n">
        <v>150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n">
        <v>103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 ht="12" customFormat="1" customHeight="1" s="38">
      <c r="A39" s="122" t="inlineStr">
        <is>
          <t>금천동 청주금천센트럴파크스타힐스</t>
        </is>
      </c>
      <c r="B39" s="123" t="inlineStr">
        <is>
          <t>20.11.</t>
        </is>
      </c>
      <c r="C39" s="131" t="n">
        <v>749</v>
      </c>
      <c r="D39" s="132" t="n">
        <v>92.59999999999999</v>
      </c>
      <c r="E39" s="133" t="n">
        <v>28</v>
      </c>
      <c r="F39" s="132" t="n">
        <v>67.7</v>
      </c>
      <c r="G39" s="17" t="n">
        <v>20</v>
      </c>
      <c r="H39" s="134" t="n">
        <v>272</v>
      </c>
      <c r="I39" s="135" t="n">
        <v>34000</v>
      </c>
      <c r="J39" s="135" t="inlineStr">
        <is>
          <t>중</t>
        </is>
      </c>
      <c r="K39" s="135" t="n">
        <v>27000</v>
      </c>
      <c r="L39" s="135" t="inlineStr">
        <is>
          <t>고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92A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 ht="12" customFormat="1" customHeight="1" s="38">
      <c r="A40" s="122" t="inlineStr">
        <is>
          <t>금천동 청주금천센트럴파크스타힐스</t>
        </is>
      </c>
      <c r="B40" s="123" t="inlineStr">
        <is>
          <t>20.11.</t>
        </is>
      </c>
      <c r="C40" s="131" t="n">
        <v>749</v>
      </c>
      <c r="D40" s="132" t="n">
        <v>92.59999999999999</v>
      </c>
      <c r="E40" s="133" t="n">
        <v>28</v>
      </c>
      <c r="F40" s="132" t="n">
        <v>67.7</v>
      </c>
      <c r="G40" s="17" t="n">
        <v>20</v>
      </c>
      <c r="H40" s="134" t="n">
        <v>94</v>
      </c>
      <c r="I40" s="135" t="n">
        <v>34000</v>
      </c>
      <c r="J40" s="135" t="inlineStr">
        <is>
          <t>중</t>
        </is>
      </c>
      <c r="K40" s="135" t="n">
        <v>27000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2</v>
      </c>
      <c r="S40" s="119" t="inlineStr">
        <is>
          <t>계</t>
        </is>
      </c>
      <c r="T40" s="5" t="inlineStr">
        <is>
          <t>92B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 ht="12" customFormat="1" customHeight="1" s="38">
      <c r="A41" s="122" t="inlineStr">
        <is>
          <t>금천동 청주금천센트럴파크스타힐스</t>
        </is>
      </c>
      <c r="B41" s="123" t="inlineStr">
        <is>
          <t>20.11.</t>
        </is>
      </c>
      <c r="C41" s="131" t="n">
        <v>749</v>
      </c>
      <c r="D41" s="132" t="n">
        <v>104.2</v>
      </c>
      <c r="E41" s="133" t="n">
        <v>32</v>
      </c>
      <c r="F41" s="132" t="n">
        <v>76.90000000000001</v>
      </c>
      <c r="G41" s="17" t="n">
        <v>23</v>
      </c>
      <c r="H41" s="134" t="n">
        <v>54</v>
      </c>
      <c r="I41" s="135" t="n">
        <v>46000</v>
      </c>
      <c r="J41" s="135" t="inlineStr">
        <is>
          <t>중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inlineStr">
        <is>
          <t>104A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 ht="12" customFormat="1" customHeight="1" s="38">
      <c r="A42" s="122" t="inlineStr">
        <is>
          <t>금천동 청주금천센트럴파크스타힐스</t>
        </is>
      </c>
      <c r="B42" s="123" t="inlineStr">
        <is>
          <t>20.11.</t>
        </is>
      </c>
      <c r="C42" s="131" t="n">
        <v>749</v>
      </c>
      <c r="D42" s="132" t="n">
        <v>104.2</v>
      </c>
      <c r="E42" s="133" t="n">
        <v>32</v>
      </c>
      <c r="F42" s="132" t="n">
        <v>76.90000000000001</v>
      </c>
      <c r="G42" s="17" t="n">
        <v>23</v>
      </c>
      <c r="H42" s="134" t="n">
        <v>27</v>
      </c>
      <c r="I42" s="135" t="n">
        <v>46000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 ht="12" customFormat="1" customHeight="1" s="38">
      <c r="A43" s="122" t="inlineStr">
        <is>
          <t>금천동 청주금천센트럴파크스타힐스</t>
        </is>
      </c>
      <c r="B43" s="123" t="inlineStr">
        <is>
          <t>20.11.</t>
        </is>
      </c>
      <c r="C43" s="131" t="n">
        <v>749</v>
      </c>
      <c r="D43" s="132" t="n">
        <v>114.5</v>
      </c>
      <c r="E43" s="133" t="n">
        <v>35</v>
      </c>
      <c r="F43" s="132" t="n">
        <v>84.7</v>
      </c>
      <c r="G43" s="17" t="n">
        <v>26</v>
      </c>
      <c r="H43" s="134" t="n">
        <v>222</v>
      </c>
      <c r="I43" s="135" t="n">
        <v>39000</v>
      </c>
      <c r="J43" s="135" t="inlineStr">
        <is>
          <t>중</t>
        </is>
      </c>
      <c r="K43" s="135" t="n">
        <v>35000</v>
      </c>
      <c r="L43" s="135" t="inlineStr">
        <is>
          <t>14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114A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 ht="12" customFormat="1" customHeight="1" s="38">
      <c r="A44" s="122" t="inlineStr">
        <is>
          <t>금천동 청주금천센트럴파크스타힐스</t>
        </is>
      </c>
      <c r="B44" s="123" t="inlineStr">
        <is>
          <t>20.11.</t>
        </is>
      </c>
      <c r="C44" s="131" t="n">
        <v>749</v>
      </c>
      <c r="D44" s="132" t="n">
        <v>114.5</v>
      </c>
      <c r="E44" s="133" t="n">
        <v>35</v>
      </c>
      <c r="F44" s="132" t="n">
        <v>84.7</v>
      </c>
      <c r="G44" s="17" t="n">
        <v>26</v>
      </c>
      <c r="H44" s="134" t="n">
        <v>80</v>
      </c>
      <c r="I44" s="135" t="n">
        <v>39000</v>
      </c>
      <c r="J44" s="135" t="inlineStr">
        <is>
          <t>중</t>
        </is>
      </c>
      <c r="K44" s="135" t="n">
        <v>35000</v>
      </c>
      <c r="L44" s="135" t="inlineStr">
        <is>
          <t>14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114B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 ht="12" customFormat="1" customHeight="1" s="38">
      <c r="A45" s="122" t="inlineStr">
        <is>
          <t>금천동 장자마을1단지부영</t>
        </is>
      </c>
      <c r="B45" s="123" t="inlineStr">
        <is>
          <t>04.06.</t>
        </is>
      </c>
      <c r="C45" s="131" t="n">
        <v>284</v>
      </c>
      <c r="D45" s="132" t="n">
        <v>106.4</v>
      </c>
      <c r="E45" s="133" t="n">
        <v>32</v>
      </c>
      <c r="F45" s="132" t="n">
        <v>85</v>
      </c>
      <c r="G45" s="17" t="n">
        <v>26</v>
      </c>
      <c r="H45" s="134" t="n">
        <v>284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 ht="12" customFormat="1" customHeight="1" s="38">
      <c r="A46" s="122" t="inlineStr">
        <is>
          <t>금천동 장자마을3단지부영</t>
        </is>
      </c>
      <c r="B46" s="123" t="inlineStr">
        <is>
          <t>03.09.</t>
        </is>
      </c>
      <c r="C46" s="131" t="n">
        <v>378</v>
      </c>
      <c r="D46" s="132" t="n">
        <v>106.3</v>
      </c>
      <c r="E46" s="133" t="n">
        <v>32</v>
      </c>
      <c r="F46" s="132" t="n">
        <v>85</v>
      </c>
      <c r="G46" s="17" t="n">
        <v>26</v>
      </c>
      <c r="H46" s="134" t="n">
        <v>378</v>
      </c>
      <c r="I46" s="135" t="n">
        <v>22500</v>
      </c>
      <c r="J46" s="135" t="inlineStr">
        <is>
          <t>6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n">
        <v>106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 ht="12" customFormat="1" customHeight="1" s="38">
      <c r="A47" s="122" t="inlineStr">
        <is>
          <t>대성동 우성</t>
        </is>
      </c>
      <c r="B47" s="123" t="inlineStr">
        <is>
          <t>91.10.</t>
        </is>
      </c>
      <c r="C47" s="131" t="n">
        <v>554</v>
      </c>
      <c r="D47" s="132" t="n">
        <v>111.4</v>
      </c>
      <c r="E47" s="133" t="n">
        <v>34</v>
      </c>
      <c r="F47" s="132" t="n">
        <v>85</v>
      </c>
      <c r="G47" s="17" t="n">
        <v>26</v>
      </c>
      <c r="H47" s="134" t="n">
        <v>390</v>
      </c>
      <c r="I47" s="135" t="n">
        <v>17000</v>
      </c>
      <c r="J47" s="135" t="inlineStr">
        <is>
          <t>고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n">
        <v>111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 ht="12" customFormat="1" customHeight="1" s="38">
      <c r="A48" s="122" t="inlineStr">
        <is>
          <t>대성동 우성</t>
        </is>
      </c>
      <c r="B48" s="123" t="inlineStr">
        <is>
          <t>91.10.</t>
        </is>
      </c>
      <c r="C48" s="131" t="n">
        <v>554</v>
      </c>
      <c r="D48" s="132" t="n">
        <v>153.7</v>
      </c>
      <c r="E48" s="133" t="n">
        <v>46</v>
      </c>
      <c r="F48" s="132" t="n">
        <v>127.2</v>
      </c>
      <c r="G48" s="17" t="n">
        <v>38</v>
      </c>
      <c r="H48" s="134" t="n">
        <v>112</v>
      </c>
      <c r="I48" s="135" t="n">
        <v>25000</v>
      </c>
      <c r="J48" s="135" t="inlineStr">
        <is>
          <t>5</t>
        </is>
      </c>
      <c r="K48" s="135" t="n">
        <v>23000</v>
      </c>
      <c r="L48" s="135" t="inlineStr">
        <is>
          <t>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4</v>
      </c>
      <c r="R48" s="119" t="n">
        <v>2</v>
      </c>
      <c r="S48" s="119" t="inlineStr">
        <is>
          <t>계</t>
        </is>
      </c>
      <c r="T48" s="5" t="n">
        <v>153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 ht="12" customFormat="1" customHeight="1" s="38">
      <c r="A49" s="122" t="inlineStr">
        <is>
          <t>대성동 우성</t>
        </is>
      </c>
      <c r="B49" s="123" t="inlineStr">
        <is>
          <t>91.10.</t>
        </is>
      </c>
      <c r="C49" s="131" t="n">
        <v>554</v>
      </c>
      <c r="D49" s="132" t="n">
        <v>197.6</v>
      </c>
      <c r="E49" s="133" t="n">
        <v>60</v>
      </c>
      <c r="F49" s="132" t="n">
        <v>156.6</v>
      </c>
      <c r="G49" s="17" t="n">
        <v>47</v>
      </c>
      <c r="H49" s="134" t="n">
        <v>52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197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 ht="12" customFormat="1" customHeight="1" s="38">
      <c r="A50" s="122" t="inlineStr">
        <is>
          <t>문화동 문화센트럴칸타빌</t>
        </is>
      </c>
      <c r="B50" s="123" t="inlineStr">
        <is>
          <t>18.12.</t>
        </is>
      </c>
      <c r="C50" s="131" t="n">
        <v>630</v>
      </c>
      <c r="D50" s="132" t="n">
        <v>113.3</v>
      </c>
      <c r="E50" s="133" t="n">
        <v>34</v>
      </c>
      <c r="F50" s="132" t="n">
        <v>84.90000000000001</v>
      </c>
      <c r="G50" s="17" t="n">
        <v>26</v>
      </c>
      <c r="H50" s="134" t="n">
        <v>96</v>
      </c>
      <c r="I50" s="135" t="n">
        <v>43000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inlineStr">
        <is>
          <t>113C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 ht="12" customFormat="1" customHeight="1" s="38">
      <c r="A51" s="122" t="inlineStr">
        <is>
          <t>문화동 문화센트럴칸타빌</t>
        </is>
      </c>
      <c r="B51" s="123" t="inlineStr">
        <is>
          <t>18.12.</t>
        </is>
      </c>
      <c r="C51" s="131" t="n">
        <v>630</v>
      </c>
      <c r="D51" s="132" t="n">
        <v>114.6</v>
      </c>
      <c r="E51" s="133" t="n">
        <v>35</v>
      </c>
      <c r="F51" s="132" t="n">
        <v>84.7</v>
      </c>
      <c r="G51" s="17" t="n">
        <v>26</v>
      </c>
      <c r="H51" s="134" t="n">
        <v>208</v>
      </c>
      <c r="I51" s="135" t="n">
        <v>39000</v>
      </c>
      <c r="J51" s="135" t="inlineStr">
        <is>
          <t>8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inlineStr">
        <is>
          <t>114B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 ht="12" customFormat="1" customHeight="1" s="38">
      <c r="A52" s="122" t="inlineStr">
        <is>
          <t>문화동 문화센트럴칸타빌</t>
        </is>
      </c>
      <c r="B52" s="123" t="inlineStr">
        <is>
          <t>18.12.</t>
        </is>
      </c>
      <c r="C52" s="131" t="n">
        <v>630</v>
      </c>
      <c r="D52" s="132" t="n">
        <v>114.6</v>
      </c>
      <c r="E52" s="133" t="n">
        <v>35</v>
      </c>
      <c r="F52" s="132" t="n">
        <v>85</v>
      </c>
      <c r="G52" s="17" t="n">
        <v>26</v>
      </c>
      <c r="H52" s="134" t="n">
        <v>204</v>
      </c>
      <c r="I52" s="135" t="n"/>
      <c r="J52" s="135" t="n"/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2</v>
      </c>
      <c r="S52" s="119" t="inlineStr">
        <is>
          <t>계</t>
        </is>
      </c>
      <c r="T52" s="5" t="inlineStr">
        <is>
          <t>114A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 ht="12" customFormat="1" customHeight="1" s="38">
      <c r="A53" s="122" t="inlineStr">
        <is>
          <t>문화동 문화센트럴칸타빌</t>
        </is>
      </c>
      <c r="B53" s="123" t="inlineStr">
        <is>
          <t>18.12.</t>
        </is>
      </c>
      <c r="C53" s="131" t="n">
        <v>630</v>
      </c>
      <c r="D53" s="132" t="n">
        <v>130.3</v>
      </c>
      <c r="E53" s="133" t="n">
        <v>39</v>
      </c>
      <c r="F53" s="132" t="n">
        <v>96.90000000000001</v>
      </c>
      <c r="G53" s="17" t="n">
        <v>29</v>
      </c>
      <c r="H53" s="134" t="n">
        <v>108</v>
      </c>
      <c r="I53" s="135" t="n">
        <v>47000</v>
      </c>
      <c r="J53" s="135" t="inlineStr">
        <is>
          <t>7</t>
        </is>
      </c>
      <c r="K53" s="135" t="n">
        <v>37000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4</v>
      </c>
      <c r="R53" s="119" t="n">
        <v>2</v>
      </c>
      <c r="S53" s="119" t="inlineStr">
        <is>
          <t>계</t>
        </is>
      </c>
      <c r="T53" s="5" t="n">
        <v>130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 ht="12" customFormat="1" customHeight="1" s="38">
      <c r="A54" s="122" t="inlineStr">
        <is>
          <t>문화동 문화센트럴칸타빌</t>
        </is>
      </c>
      <c r="B54" s="123" t="inlineStr">
        <is>
          <t>18.12.</t>
        </is>
      </c>
      <c r="C54" s="131" t="n">
        <v>630</v>
      </c>
      <c r="D54" s="132" t="n">
        <v>174.3</v>
      </c>
      <c r="E54" s="133" t="n">
        <v>53</v>
      </c>
      <c r="F54" s="132" t="n">
        <v>129.1</v>
      </c>
      <c r="G54" s="17" t="n">
        <v>39</v>
      </c>
      <c r="H54" s="134" t="n">
        <v>4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3</v>
      </c>
      <c r="S54" s="119" t="inlineStr">
        <is>
          <t>계</t>
        </is>
      </c>
      <c r="T54" s="5" t="inlineStr">
        <is>
          <t>174A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 ht="12" customFormat="1" customHeight="1" s="38">
      <c r="A55" s="122" t="inlineStr">
        <is>
          <t>문화동 문화센트럴칸타빌</t>
        </is>
      </c>
      <c r="B55" s="123" t="inlineStr">
        <is>
          <t>18.12.</t>
        </is>
      </c>
      <c r="C55" s="131" t="n">
        <v>630</v>
      </c>
      <c r="D55" s="132" t="n">
        <v>176.6</v>
      </c>
      <c r="E55" s="133" t="n">
        <v>53</v>
      </c>
      <c r="F55" s="132" t="n">
        <v>130.3</v>
      </c>
      <c r="G55" s="17" t="n">
        <v>39</v>
      </c>
      <c r="H55" s="134" t="n">
        <v>4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3</v>
      </c>
      <c r="S55" s="119" t="inlineStr">
        <is>
          <t>계</t>
        </is>
      </c>
      <c r="T55" s="5" t="inlineStr">
        <is>
          <t>176B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 ht="12" customFormat="1" customHeight="1" s="38">
      <c r="A56" s="122" t="inlineStr">
        <is>
          <t>문화동 문화센트럴칸타빌</t>
        </is>
      </c>
      <c r="B56" s="123" t="inlineStr">
        <is>
          <t>18.12.</t>
        </is>
      </c>
      <c r="C56" s="131" t="n">
        <v>630</v>
      </c>
      <c r="D56" s="132" t="n">
        <v>181.5</v>
      </c>
      <c r="E56" s="133" t="n">
        <v>55</v>
      </c>
      <c r="F56" s="132" t="n">
        <v>132.9</v>
      </c>
      <c r="G56" s="17" t="n">
        <v>40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4</v>
      </c>
      <c r="R56" s="119" t="n">
        <v>3</v>
      </c>
      <c r="S56" s="119" t="inlineStr">
        <is>
          <t>계</t>
        </is>
      </c>
      <c r="T56" s="5" t="n">
        <v>181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 ht="12" customFormat="1" customHeight="1" s="38">
      <c r="A57" s="122" t="inlineStr">
        <is>
          <t>문화동 문화센트럴칸타빌</t>
        </is>
      </c>
      <c r="B57" s="123" t="inlineStr">
        <is>
          <t>18.12.</t>
        </is>
      </c>
      <c r="C57" s="131" t="n">
        <v>630</v>
      </c>
      <c r="D57" s="132" t="n">
        <v>199.7</v>
      </c>
      <c r="E57" s="133" t="n">
        <v>60</v>
      </c>
      <c r="F57" s="132" t="n">
        <v>147.5</v>
      </c>
      <c r="G57" s="17" t="n">
        <v>45</v>
      </c>
      <c r="H57" s="134" t="n">
        <v>2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5</v>
      </c>
      <c r="R57" s="119" t="n">
        <v>3</v>
      </c>
      <c r="S57" s="119" t="inlineStr">
        <is>
          <t>계</t>
        </is>
      </c>
      <c r="T57" s="5" t="n">
        <v>199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 ht="12" customFormat="1" customHeight="1" s="38">
      <c r="A58" s="122" t="inlineStr">
        <is>
          <t>방서동 청주하트리움리버파크</t>
        </is>
      </c>
      <c r="B58" s="123" t="inlineStr">
        <is>
          <t>19.01.</t>
        </is>
      </c>
      <c r="C58" s="131" t="n">
        <v>600</v>
      </c>
      <c r="D58" s="132" t="n">
        <v>112.9</v>
      </c>
      <c r="E58" s="133" t="n">
        <v>34</v>
      </c>
      <c r="F58" s="132" t="n">
        <v>84.8</v>
      </c>
      <c r="G58" s="17" t="n">
        <v>26</v>
      </c>
      <c r="H58" s="134" t="n">
        <v>400</v>
      </c>
      <c r="I58" s="135" t="n">
        <v>44000</v>
      </c>
      <c r="J58" s="135" t="inlineStr">
        <is>
          <t>15</t>
        </is>
      </c>
      <c r="K58" s="135" t="n">
        <v>34000</v>
      </c>
      <c r="L58" s="135" t="inlineStr">
        <is>
          <t>15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112A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 ht="12" customFormat="1" customHeight="1" s="38">
      <c r="A59" s="122" t="inlineStr">
        <is>
          <t>방서동 청주하트리움리버파크</t>
        </is>
      </c>
      <c r="B59" s="123" t="inlineStr">
        <is>
          <t>19.01.</t>
        </is>
      </c>
      <c r="C59" s="131" t="n">
        <v>600</v>
      </c>
      <c r="D59" s="132" t="n">
        <v>113.6</v>
      </c>
      <c r="E59" s="133" t="n">
        <v>34</v>
      </c>
      <c r="F59" s="132" t="n">
        <v>84.90000000000001</v>
      </c>
      <c r="G59" s="17" t="n">
        <v>26</v>
      </c>
      <c r="H59" s="134" t="n">
        <v>200</v>
      </c>
      <c r="I59" s="135" t="n">
        <v>44000</v>
      </c>
      <c r="J59" s="135" t="inlineStr">
        <is>
          <t>6</t>
        </is>
      </c>
      <c r="K59" s="135" t="n">
        <v>33000</v>
      </c>
      <c r="L59" s="135" t="inlineStr">
        <is>
          <t>중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113B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 ht="12" customFormat="1" customHeight="1" s="38">
      <c r="A60" s="122" t="inlineStr">
        <is>
          <t>방서동 청주센트럴자이</t>
        </is>
      </c>
      <c r="B60" s="123" t="inlineStr">
        <is>
          <t>18.09.</t>
        </is>
      </c>
      <c r="C60" s="131" t="n">
        <v>1500</v>
      </c>
      <c r="D60" s="132" t="n">
        <v>80.59999999999999</v>
      </c>
      <c r="E60" s="133" t="n">
        <v>24</v>
      </c>
      <c r="F60" s="132" t="n">
        <v>60</v>
      </c>
      <c r="G60" s="17" t="n">
        <v>18</v>
      </c>
      <c r="H60" s="134" t="n">
        <v>135</v>
      </c>
      <c r="I60" s="135" t="n">
        <v>42000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80A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 ht="12" customFormat="1" customHeight="1" s="38">
      <c r="A61" s="122" t="inlineStr">
        <is>
          <t>방서동 청주센트럴자이</t>
        </is>
      </c>
      <c r="B61" s="123" t="inlineStr">
        <is>
          <t>18.09.</t>
        </is>
      </c>
      <c r="C61" s="131" t="n">
        <v>1500</v>
      </c>
      <c r="D61" s="132" t="n">
        <v>81.09999999999999</v>
      </c>
      <c r="E61" s="133" t="n">
        <v>25</v>
      </c>
      <c r="F61" s="132" t="n">
        <v>59.8</v>
      </c>
      <c r="G61" s="17" t="n">
        <v>18</v>
      </c>
      <c r="H61" s="134" t="n">
        <v>59</v>
      </c>
      <c r="I61" s="135" t="n">
        <v>41000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81B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 ht="12" customFormat="1" customHeight="1" s="38">
      <c r="A62" s="122" t="inlineStr">
        <is>
          <t>방서동 청주센트럴자이</t>
        </is>
      </c>
      <c r="B62" s="123" t="inlineStr">
        <is>
          <t>18.09.</t>
        </is>
      </c>
      <c r="C62" s="131" t="n">
        <v>1500</v>
      </c>
      <c r="D62" s="132" t="n">
        <v>98.09999999999999</v>
      </c>
      <c r="E62" s="133" t="n">
        <v>30</v>
      </c>
      <c r="F62" s="132" t="n">
        <v>73.59999999999999</v>
      </c>
      <c r="G62" s="17" t="n">
        <v>22</v>
      </c>
      <c r="H62" s="134" t="n">
        <v>166</v>
      </c>
      <c r="I62" s="135" t="n">
        <v>46000</v>
      </c>
      <c r="J62" s="135" t="inlineStr">
        <is>
          <t>25</t>
        </is>
      </c>
      <c r="K62" s="135" t="n">
        <v>36000</v>
      </c>
      <c r="L62" s="135" t="inlineStr">
        <is>
          <t>20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98A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 ht="12" customFormat="1" customHeight="1" s="38">
      <c r="A63" s="122" t="inlineStr">
        <is>
          <t>방서동 청주센트럴자이</t>
        </is>
      </c>
      <c r="B63" s="123" t="inlineStr">
        <is>
          <t>18.09.</t>
        </is>
      </c>
      <c r="C63" s="131" t="n">
        <v>1500</v>
      </c>
      <c r="D63" s="132" t="n">
        <v>99.09999999999999</v>
      </c>
      <c r="E63" s="133" t="n">
        <v>30</v>
      </c>
      <c r="F63" s="132" t="n">
        <v>73.59999999999999</v>
      </c>
      <c r="G63" s="17" t="n">
        <v>22</v>
      </c>
      <c r="H63" s="134" t="n">
        <v>51</v>
      </c>
      <c r="I63" s="135" t="n">
        <v>46000</v>
      </c>
      <c r="J63" s="135" t="inlineStr">
        <is>
          <t>14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inlineStr">
        <is>
          <t>99B</t>
        </is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 ht="12" customFormat="1" customHeight="1" s="38">
      <c r="A64" s="122" t="inlineStr">
        <is>
          <t>방서동 청주센트럴자이</t>
        </is>
      </c>
      <c r="B64" s="123" t="inlineStr">
        <is>
          <t>18.09.</t>
        </is>
      </c>
      <c r="C64" s="131" t="n">
        <v>1500</v>
      </c>
      <c r="D64" s="132" t="n">
        <v>112.4</v>
      </c>
      <c r="E64" s="133" t="n">
        <v>34</v>
      </c>
      <c r="F64" s="132" t="n">
        <v>84.7</v>
      </c>
      <c r="G64" s="17" t="n">
        <v>26</v>
      </c>
      <c r="H64" s="134" t="n">
        <v>683</v>
      </c>
      <c r="I64" s="135" t="n">
        <v>50000</v>
      </c>
      <c r="J64" s="135" t="inlineStr">
        <is>
          <t>17</t>
        </is>
      </c>
      <c r="K64" s="135" t="n">
        <v>40000</v>
      </c>
      <c r="L64" s="135" t="inlineStr">
        <is>
          <t>21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4</v>
      </c>
      <c r="R64" s="119" t="n">
        <v>2</v>
      </c>
      <c r="S64" s="119" t="inlineStr">
        <is>
          <t>계</t>
        </is>
      </c>
      <c r="T64" s="5" t="inlineStr">
        <is>
          <t>112A</t>
        </is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 ht="12" customFormat="1" customHeight="1" s="38">
      <c r="A65" s="122" t="inlineStr">
        <is>
          <t>방서동 청주센트럴자이</t>
        </is>
      </c>
      <c r="B65" s="123" t="inlineStr">
        <is>
          <t>18.09.</t>
        </is>
      </c>
      <c r="C65" s="131" t="n">
        <v>1500</v>
      </c>
      <c r="D65" s="132" t="n">
        <v>112.8</v>
      </c>
      <c r="E65" s="133" t="n">
        <v>34</v>
      </c>
      <c r="F65" s="132" t="n">
        <v>84.8</v>
      </c>
      <c r="G65" s="17" t="n">
        <v>26</v>
      </c>
      <c r="H65" s="134" t="n">
        <v>253</v>
      </c>
      <c r="I65" s="135" t="n">
        <v>49500</v>
      </c>
      <c r="J65" s="135" t="inlineStr">
        <is>
          <t>17</t>
        </is>
      </c>
      <c r="K65" s="135" t="n">
        <v>36000</v>
      </c>
      <c r="L65" s="135" t="inlineStr">
        <is>
          <t>7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4</v>
      </c>
      <c r="R65" s="119" t="n">
        <v>2</v>
      </c>
      <c r="S65" s="119" t="inlineStr">
        <is>
          <t>계</t>
        </is>
      </c>
      <c r="T65" s="5" t="inlineStr">
        <is>
          <t>112B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  <row r="66" ht="12" customFormat="1" customHeight="1" s="38">
      <c r="A66" s="122" t="inlineStr">
        <is>
          <t>방서동 청주센트럴자이</t>
        </is>
      </c>
      <c r="B66" s="123" t="inlineStr">
        <is>
          <t>18.09.</t>
        </is>
      </c>
      <c r="C66" s="131" t="n">
        <v>1500</v>
      </c>
      <c r="D66" s="132" t="n">
        <v>134.9</v>
      </c>
      <c r="E66" s="133" t="n">
        <v>41</v>
      </c>
      <c r="F66" s="132" t="n">
        <v>101.9</v>
      </c>
      <c r="G66" s="17" t="n">
        <v>31</v>
      </c>
      <c r="H66" s="134" t="n">
        <v>145</v>
      </c>
      <c r="I66" s="135" t="n">
        <v>70000</v>
      </c>
      <c r="J66" s="135" t="inlineStr">
        <is>
          <t>22</t>
        </is>
      </c>
      <c r="K66" s="135" t="n">
        <v>50000</v>
      </c>
      <c r="L66" s="135" t="inlineStr">
        <is>
          <t>22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4</v>
      </c>
      <c r="R66" s="119" t="n">
        <v>2</v>
      </c>
      <c r="S66" s="119" t="inlineStr">
        <is>
          <t>계</t>
        </is>
      </c>
      <c r="T66" s="5" t="n">
        <v>134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 ht="12" customFormat="1" customHeight="1" s="38">
      <c r="A67" s="122" t="inlineStr">
        <is>
          <t>방서동 청주센트럴자이</t>
        </is>
      </c>
      <c r="B67" s="123" t="inlineStr">
        <is>
          <t>18.09.</t>
        </is>
      </c>
      <c r="C67" s="131" t="n">
        <v>1500</v>
      </c>
      <c r="D67" s="132" t="n">
        <v>146</v>
      </c>
      <c r="E67" s="133" t="n">
        <v>44</v>
      </c>
      <c r="F67" s="132" t="n">
        <v>108.5</v>
      </c>
      <c r="G67" s="17" t="n">
        <v>33</v>
      </c>
      <c r="H67" s="134" t="n">
        <v>8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4</v>
      </c>
      <c r="R67" s="119" t="n">
        <v>2</v>
      </c>
      <c r="S67" s="119" t="inlineStr">
        <is>
          <t>계</t>
        </is>
      </c>
      <c r="T67" s="5" t="n">
        <v>145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19">
        <f>S67</f>
        <v/>
      </c>
      <c r="AF67" s="119">
        <f>Q67&amp;"/"&amp;R67</f>
        <v/>
      </c>
      <c r="AH67" s="20">
        <f>IF(A67="","",A67)</f>
        <v/>
      </c>
      <c r="AI67" s="133">
        <f>IF(E67="","",E67)</f>
        <v/>
      </c>
      <c r="AJ67" s="119">
        <f>IF(AI67="","",$AJ$2)</f>
        <v/>
      </c>
      <c r="AK67" s="119" t="inlineStr">
        <is>
          <t>A</t>
        </is>
      </c>
      <c r="AL67" s="119" t="inlineStr">
        <is>
          <t>A+</t>
        </is>
      </c>
      <c r="AM67" s="119" t="inlineStr">
        <is>
          <t>B+</t>
        </is>
      </c>
      <c r="AN67" s="119">
        <f>IF(AI67="","",$AN$2)</f>
        <v/>
      </c>
      <c r="AO67" s="119">
        <f>IF(N67="","",IF(N67&gt;=$AO$1/100,"O","X"))</f>
        <v/>
      </c>
      <c r="AP67" s="119">
        <f>IF(I67="","",IF(I67&lt;=$AP$1,"O","X"))</f>
        <v/>
      </c>
      <c r="AQ67" s="119">
        <f>IF(O67="","",IF(O67&lt;=$AQ$1,"O","X"))</f>
        <v/>
      </c>
      <c r="AR67" s="119">
        <f>IF(M67="","",IF(M67&lt;=$AR$1,"O","X"))</f>
        <v/>
      </c>
      <c r="AS67" s="119" t="inlineStr">
        <is>
          <t>X</t>
        </is>
      </c>
      <c r="AT67" s="119">
        <f>IF(OR(F67="",AI67=""),"",IF(AND((F67&lt;=85),(AI67&gt;=15)),"O","X"))</f>
        <v/>
      </c>
      <c r="AU67" s="119">
        <f>IF(C67="","",IF(C67&gt;=$AU$1,"O","X"))</f>
        <v/>
      </c>
      <c r="AV67" s="119">
        <f>IF(AO67="","",IF(AND(AO67="O",AP67="O",AR67="O",AT67="O",AU67="O"),"후보","X"))</f>
        <v/>
      </c>
    </row>
    <row r="68" ht="12" customFormat="1" customHeight="1" s="38">
      <c r="A68" s="122" t="inlineStr">
        <is>
          <t>방서동 호반써밋브룩사이드</t>
        </is>
      </c>
      <c r="B68" s="123" t="inlineStr">
        <is>
          <t>23.07.</t>
        </is>
      </c>
      <c r="C68" s="131" t="n">
        <v>1215</v>
      </c>
      <c r="D68" s="132" t="n">
        <v>100</v>
      </c>
      <c r="E68" s="133" t="n">
        <v>30</v>
      </c>
      <c r="F68" s="132" t="n">
        <v>75</v>
      </c>
      <c r="G68" s="17" t="n">
        <v>23</v>
      </c>
      <c r="H68" s="134" t="n">
        <v>351</v>
      </c>
      <c r="I68" s="135" t="n"/>
      <c r="J68" s="135" t="n"/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4</v>
      </c>
      <c r="R68" s="119" t="n">
        <v>2</v>
      </c>
      <c r="S68" s="119" t="inlineStr">
        <is>
          <t>계</t>
        </is>
      </c>
      <c r="T68" s="5" t="inlineStr">
        <is>
          <t>99A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 ht="12" customFormat="1" customHeight="1" s="38">
      <c r="A69" s="122" t="inlineStr">
        <is>
          <t>방서동 호반써밋브룩사이드</t>
        </is>
      </c>
      <c r="B69" s="123" t="inlineStr">
        <is>
          <t>23.07.</t>
        </is>
      </c>
      <c r="C69" s="131" t="n">
        <v>1215</v>
      </c>
      <c r="D69" s="132" t="n">
        <v>100.7</v>
      </c>
      <c r="E69" s="133" t="n">
        <v>30</v>
      </c>
      <c r="F69" s="132" t="n">
        <v>74.90000000000001</v>
      </c>
      <c r="G69" s="17" t="n">
        <v>23</v>
      </c>
      <c r="H69" s="134" t="n">
        <v>48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inlineStr">
        <is>
          <t>100B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 ht="12" customFormat="1" customHeight="1" s="38">
      <c r="A70" s="122" t="inlineStr">
        <is>
          <t>방서동 호반써밋브룩사이드</t>
        </is>
      </c>
      <c r="B70" s="123" t="inlineStr">
        <is>
          <t>23.07.</t>
        </is>
      </c>
      <c r="C70" s="131" t="n">
        <v>1215</v>
      </c>
      <c r="D70" s="132" t="n">
        <v>111.3</v>
      </c>
      <c r="E70" s="133" t="n">
        <v>34</v>
      </c>
      <c r="F70" s="132" t="n">
        <v>84.90000000000001</v>
      </c>
      <c r="G70" s="17" t="n">
        <v>26</v>
      </c>
      <c r="H70" s="134" t="n">
        <v>816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4</v>
      </c>
      <c r="R70" s="119" t="n">
        <v>2</v>
      </c>
      <c r="S70" s="119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19">
        <f>S70</f>
        <v/>
      </c>
      <c r="AF70" s="119">
        <f>Q70&amp;"/"&amp;R70</f>
        <v/>
      </c>
      <c r="AH70" s="20">
        <f>IF(A70="","",A70)</f>
        <v/>
      </c>
      <c r="AI70" s="133">
        <f>IF(E70="","",E70)</f>
        <v/>
      </c>
      <c r="AJ70" s="119">
        <f>IF(AI70="","",$AJ$2)</f>
        <v/>
      </c>
      <c r="AK70" s="119" t="inlineStr">
        <is>
          <t>A</t>
        </is>
      </c>
      <c r="AL70" s="119" t="inlineStr">
        <is>
          <t>A+</t>
        </is>
      </c>
      <c r="AM70" s="119" t="inlineStr">
        <is>
          <t>B+</t>
        </is>
      </c>
      <c r="AN70" s="119">
        <f>IF(AI70="","",$AN$2)</f>
        <v/>
      </c>
      <c r="AO70" s="119">
        <f>IF(N70="","",IF(N70&gt;=$AO$1/100,"O","X"))</f>
        <v/>
      </c>
      <c r="AP70" s="119">
        <f>IF(I70="","",IF(I70&lt;=$AP$1,"O","X"))</f>
        <v/>
      </c>
      <c r="AQ70" s="119">
        <f>IF(O70="","",IF(O70&lt;=$AQ$1,"O","X"))</f>
        <v/>
      </c>
      <c r="AR70" s="119">
        <f>IF(M70="","",IF(M70&lt;=$AR$1,"O","X"))</f>
        <v/>
      </c>
      <c r="AS70" s="119" t="inlineStr">
        <is>
          <t>X</t>
        </is>
      </c>
      <c r="AT70" s="119">
        <f>IF(OR(F70="",AI70=""),"",IF(AND((F70&lt;=85),(AI70&gt;=15)),"O","X"))</f>
        <v/>
      </c>
      <c r="AU70" s="119">
        <f>IF(C70="","",IF(C70&gt;=$AU$1,"O","X"))</f>
        <v/>
      </c>
      <c r="AV70" s="119">
        <f>IF(AO70="","",IF(AND(AO70="O",AP70="O",AR70="O",AT70="O",AU70="O"),"후보","X"))</f>
        <v/>
      </c>
    </row>
    <row r="71" ht="12" customFormat="1" customHeight="1" s="38">
      <c r="A71" s="122" t="inlineStr">
        <is>
          <t>방서동 중흥S-클래스더퍼스트</t>
        </is>
      </c>
      <c r="B71" s="123" t="inlineStr">
        <is>
          <t>18.09.</t>
        </is>
      </c>
      <c r="C71" s="131" t="n">
        <v>1595</v>
      </c>
      <c r="D71" s="132" t="n">
        <v>111.6</v>
      </c>
      <c r="E71" s="133" t="n">
        <v>34</v>
      </c>
      <c r="F71" s="132" t="n">
        <v>85</v>
      </c>
      <c r="G71" s="17" t="n">
        <v>26</v>
      </c>
      <c r="H71" s="134" t="n">
        <v>1063</v>
      </c>
      <c r="I71" s="135" t="n">
        <v>45000</v>
      </c>
      <c r="J71" s="135" t="inlineStr">
        <is>
          <t>18</t>
        </is>
      </c>
      <c r="K71" s="135" t="n">
        <v>35000</v>
      </c>
      <c r="L71" s="135" t="inlineStr">
        <is>
          <t>13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111A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 ht="12" customFormat="1" customHeight="1" s="38">
      <c r="A72" s="122" t="inlineStr">
        <is>
          <t>방서동 중흥S-클래스더퍼스트</t>
        </is>
      </c>
      <c r="B72" s="123" t="inlineStr">
        <is>
          <t>18.09.</t>
        </is>
      </c>
      <c r="C72" s="131" t="n">
        <v>1595</v>
      </c>
      <c r="D72" s="132" t="n">
        <v>111.6</v>
      </c>
      <c r="E72" s="133" t="n">
        <v>34</v>
      </c>
      <c r="F72" s="132" t="n">
        <v>85</v>
      </c>
      <c r="G72" s="17" t="n">
        <v>26</v>
      </c>
      <c r="H72" s="134" t="n">
        <v>275</v>
      </c>
      <c r="I72" s="135" t="n">
        <v>45000</v>
      </c>
      <c r="J72" s="135" t="inlineStr">
        <is>
          <t>18</t>
        </is>
      </c>
      <c r="K72" s="135" t="n">
        <v>35000</v>
      </c>
      <c r="L72" s="135" t="inlineStr">
        <is>
          <t>13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 ht="12" customFormat="1" customHeight="1" s="38">
      <c r="A73" s="122" t="inlineStr">
        <is>
          <t>방서동 중흥S-클래스더퍼스트</t>
        </is>
      </c>
      <c r="B73" s="123" t="inlineStr">
        <is>
          <t>18.09.</t>
        </is>
      </c>
      <c r="C73" s="131" t="n">
        <v>1595</v>
      </c>
      <c r="D73" s="132" t="n">
        <v>138</v>
      </c>
      <c r="E73" s="133" t="n">
        <v>42</v>
      </c>
      <c r="F73" s="132" t="n">
        <v>105.1</v>
      </c>
      <c r="G73" s="17" t="n">
        <v>32</v>
      </c>
      <c r="H73" s="134" t="n">
        <v>102</v>
      </c>
      <c r="I73" s="135" t="n">
        <v>64000</v>
      </c>
      <c r="J73" s="135" t="inlineStr">
        <is>
          <t>11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3</v>
      </c>
      <c r="R73" s="119" t="n">
        <v>2</v>
      </c>
      <c r="S73" s="119" t="inlineStr">
        <is>
          <t>계</t>
        </is>
      </c>
      <c r="T73" s="5" t="n">
        <v>137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19">
        <f>S73</f>
        <v/>
      </c>
      <c r="AF73" s="119">
        <f>Q73&amp;"/"&amp;R73</f>
        <v/>
      </c>
      <c r="AH73" s="20">
        <f>IF(A73="","",A73)</f>
        <v/>
      </c>
      <c r="AI73" s="133">
        <f>IF(E73="","",E73)</f>
        <v/>
      </c>
      <c r="AJ73" s="119">
        <f>IF(AI73="","",$AJ$2)</f>
        <v/>
      </c>
      <c r="AK73" s="119" t="inlineStr">
        <is>
          <t>A</t>
        </is>
      </c>
      <c r="AL73" s="119" t="inlineStr">
        <is>
          <t>A+</t>
        </is>
      </c>
      <c r="AM73" s="119" t="inlineStr">
        <is>
          <t>B+</t>
        </is>
      </c>
      <c r="AN73" s="119">
        <f>IF(AI73="","",$AN$2)</f>
        <v/>
      </c>
      <c r="AO73" s="119">
        <f>IF(N73="","",IF(N73&gt;=$AO$1/100,"O","X"))</f>
        <v/>
      </c>
      <c r="AP73" s="119">
        <f>IF(I73="","",IF(I73&lt;=$AP$1,"O","X"))</f>
        <v/>
      </c>
      <c r="AQ73" s="119">
        <f>IF(O73="","",IF(O73&lt;=$AQ$1,"O","X"))</f>
        <v/>
      </c>
      <c r="AR73" s="119">
        <f>IF(M73="","",IF(M73&lt;=$AR$1,"O","X"))</f>
        <v/>
      </c>
      <c r="AS73" s="119" t="inlineStr">
        <is>
          <t>X</t>
        </is>
      </c>
      <c r="AT73" s="119">
        <f>IF(OR(F73="",AI73=""),"",IF(AND((F73&lt;=85),(AI73&gt;=15)),"O","X"))</f>
        <v/>
      </c>
      <c r="AU73" s="119">
        <f>IF(C73="","",IF(C73&gt;=$AU$1,"O","X"))</f>
        <v/>
      </c>
      <c r="AV73" s="119">
        <f>IF(AO73="","",IF(AND(AO73="O",AP73="O",AR73="O",AT73="O",AU73="O"),"후보","X"))</f>
        <v/>
      </c>
    </row>
    <row r="74" ht="12" customFormat="1" customHeight="1" s="38">
      <c r="A74" s="122" t="inlineStr">
        <is>
          <t>방서동 중흥S-클래스더퍼스트</t>
        </is>
      </c>
      <c r="B74" s="123" t="inlineStr">
        <is>
          <t>18.09.</t>
        </is>
      </c>
      <c r="C74" s="131" t="n">
        <v>1595</v>
      </c>
      <c r="D74" s="132" t="n">
        <v>144.7</v>
      </c>
      <c r="E74" s="133" t="n">
        <v>44</v>
      </c>
      <c r="F74" s="132" t="n">
        <v>110.2</v>
      </c>
      <c r="G74" s="17" t="n">
        <v>33</v>
      </c>
      <c r="H74" s="134" t="n">
        <v>155</v>
      </c>
      <c r="I74" s="135" t="n">
        <v>73000</v>
      </c>
      <c r="J74" s="135" t="inlineStr">
        <is>
          <t>6</t>
        </is>
      </c>
      <c r="K74" s="135" t="n">
        <v>54000</v>
      </c>
      <c r="L74" s="135" t="inlineStr">
        <is>
          <t>11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144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 ht="12" customFormat="1" customHeight="1" s="38">
      <c r="A75" s="122" t="inlineStr">
        <is>
          <t>방서동 동남지구우미린풀하우스</t>
        </is>
      </c>
      <c r="B75" s="123" t="inlineStr">
        <is>
          <t>20.09.</t>
        </is>
      </c>
      <c r="C75" s="131" t="n">
        <v>1016</v>
      </c>
      <c r="D75" s="132" t="n">
        <v>91.90000000000001</v>
      </c>
      <c r="E75" s="133" t="n">
        <v>28</v>
      </c>
      <c r="F75" s="132" t="n">
        <v>69.8</v>
      </c>
      <c r="G75" s="17" t="n">
        <v>21</v>
      </c>
      <c r="H75" s="134" t="n">
        <v>278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2</v>
      </c>
      <c r="S75" s="119" t="inlineStr">
        <is>
          <t>계</t>
        </is>
      </c>
      <c r="T75" s="5" t="inlineStr">
        <is>
          <t>91A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19">
        <f>S75</f>
        <v/>
      </c>
      <c r="AF75" s="119">
        <f>Q75&amp;"/"&amp;R75</f>
        <v/>
      </c>
      <c r="AH75" s="20">
        <f>IF(A75="","",A75)</f>
        <v/>
      </c>
      <c r="AI75" s="133">
        <f>IF(E75="","",E75)</f>
        <v/>
      </c>
      <c r="AJ75" s="119">
        <f>IF(AI75="","",$AJ$2)</f>
        <v/>
      </c>
      <c r="AK75" s="119" t="inlineStr">
        <is>
          <t>A</t>
        </is>
      </c>
      <c r="AL75" s="119" t="inlineStr">
        <is>
          <t>A+</t>
        </is>
      </c>
      <c r="AM75" s="119" t="inlineStr">
        <is>
          <t>B+</t>
        </is>
      </c>
      <c r="AN75" s="119">
        <f>IF(AI75="","",$AN$2)</f>
        <v/>
      </c>
      <c r="AO75" s="119">
        <f>IF(N75="","",IF(N75&gt;=$AO$1/100,"O","X"))</f>
        <v/>
      </c>
      <c r="AP75" s="119">
        <f>IF(I75="","",IF(I75&lt;=$AP$1,"O","X"))</f>
        <v/>
      </c>
      <c r="AQ75" s="119">
        <f>IF(O75="","",IF(O75&lt;=$AQ$1,"O","X"))</f>
        <v/>
      </c>
      <c r="AR75" s="119">
        <f>IF(M75="","",IF(M75&lt;=$AR$1,"O","X"))</f>
        <v/>
      </c>
      <c r="AS75" s="119" t="inlineStr">
        <is>
          <t>X</t>
        </is>
      </c>
      <c r="AT75" s="119">
        <f>IF(OR(F75="",AI75=""),"",IF(AND((F75&lt;=85),(AI75&gt;=15)),"O","X"))</f>
        <v/>
      </c>
      <c r="AU75" s="119">
        <f>IF(C75="","",IF(C75&gt;=$AU$1,"O","X"))</f>
        <v/>
      </c>
      <c r="AV75" s="119">
        <f>IF(AO75="","",IF(AND(AO75="O",AP75="O",AR75="O",AT75="O",AU75="O"),"후보","X"))</f>
        <v/>
      </c>
    </row>
    <row r="76" ht="12" customFormat="1" customHeight="1" s="38">
      <c r="A76" s="122" t="inlineStr">
        <is>
          <t>방서동 동남지구우미린풀하우스</t>
        </is>
      </c>
      <c r="B76" s="123" t="inlineStr">
        <is>
          <t>20.09.</t>
        </is>
      </c>
      <c r="C76" s="131" t="n">
        <v>1016</v>
      </c>
      <c r="D76" s="132" t="n">
        <v>93.09999999999999</v>
      </c>
      <c r="E76" s="133" t="n">
        <v>28</v>
      </c>
      <c r="F76" s="132" t="n">
        <v>69.7</v>
      </c>
      <c r="G76" s="17" t="n">
        <v>21</v>
      </c>
      <c r="H76" s="134" t="n">
        <v>111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3</v>
      </c>
      <c r="R76" s="119" t="n">
        <v>2</v>
      </c>
      <c r="S76" s="119" t="inlineStr">
        <is>
          <t>계</t>
        </is>
      </c>
      <c r="T76" s="5" t="inlineStr">
        <is>
          <t>93B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 ht="12" customFormat="1" customHeight="1" s="38">
      <c r="A77" s="122" t="inlineStr">
        <is>
          <t>방서동 동남지구우미린풀하우스</t>
        </is>
      </c>
      <c r="B77" s="123" t="inlineStr">
        <is>
          <t>20.09.</t>
        </is>
      </c>
      <c r="C77" s="131" t="n">
        <v>1016</v>
      </c>
      <c r="D77" s="132" t="n">
        <v>102.5</v>
      </c>
      <c r="E77" s="133" t="n">
        <v>31</v>
      </c>
      <c r="F77" s="132" t="n">
        <v>78.5</v>
      </c>
      <c r="G77" s="17" t="n">
        <v>24</v>
      </c>
      <c r="H77" s="134" t="n">
        <v>69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2</v>
      </c>
      <c r="S77" s="119" t="inlineStr">
        <is>
          <t>계</t>
        </is>
      </c>
      <c r="T77" s="5" t="inlineStr">
        <is>
          <t>102A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 ht="12" customFormat="1" customHeight="1" s="38">
      <c r="A78" s="122" t="inlineStr">
        <is>
          <t>방서동 동남지구우미린풀하우스</t>
        </is>
      </c>
      <c r="B78" s="123" t="inlineStr">
        <is>
          <t>20.09.</t>
        </is>
      </c>
      <c r="C78" s="131" t="n">
        <v>1016</v>
      </c>
      <c r="D78" s="132" t="n">
        <v>104.1</v>
      </c>
      <c r="E78" s="133" t="n">
        <v>31</v>
      </c>
      <c r="F78" s="132" t="n">
        <v>78.8</v>
      </c>
      <c r="G78" s="17" t="n">
        <v>24</v>
      </c>
      <c r="H78" s="134" t="n">
        <v>28</v>
      </c>
      <c r="I78" s="135" t="n"/>
      <c r="J78" s="135" t="n"/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2</v>
      </c>
      <c r="S78" s="119" t="inlineStr">
        <is>
          <t>계</t>
        </is>
      </c>
      <c r="T78" s="5" t="inlineStr">
        <is>
          <t>104B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 ht="12" customFormat="1" customHeight="1" s="38">
      <c r="A79" s="122" t="inlineStr">
        <is>
          <t>방서동 동남지구우미린풀하우스</t>
        </is>
      </c>
      <c r="B79" s="123" t="inlineStr">
        <is>
          <t>20.09.</t>
        </is>
      </c>
      <c r="C79" s="131" t="n">
        <v>1016</v>
      </c>
      <c r="D79" s="132" t="n">
        <v>111.4</v>
      </c>
      <c r="E79" s="133" t="n">
        <v>34</v>
      </c>
      <c r="F79" s="132" t="n">
        <v>85</v>
      </c>
      <c r="G79" s="17" t="n">
        <v>26</v>
      </c>
      <c r="H79" s="134" t="n">
        <v>530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4</v>
      </c>
      <c r="R79" s="119" t="n">
        <v>2</v>
      </c>
      <c r="S79" s="119" t="inlineStr">
        <is>
          <t>계</t>
        </is>
      </c>
      <c r="T79" s="5" t="inlineStr">
        <is>
          <t>111A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 ht="12" customFormat="1" customHeight="1" s="38">
      <c r="A80" s="122" t="inlineStr">
        <is>
          <t>북문로3가 북문로한신휴플러스</t>
        </is>
      </c>
      <c r="B80" s="123" t="inlineStr">
        <is>
          <t>13.06.</t>
        </is>
      </c>
      <c r="C80" s="131" t="n">
        <v>286</v>
      </c>
      <c r="D80" s="132" t="n">
        <v>98.7</v>
      </c>
      <c r="E80" s="133" t="n">
        <v>30</v>
      </c>
      <c r="F80" s="132" t="n">
        <v>73.8</v>
      </c>
      <c r="G80" s="17" t="n">
        <v>22</v>
      </c>
      <c r="H80" s="134" t="n">
        <v>48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98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 ht="12" customFormat="1" customHeight="1" s="38">
      <c r="A81" s="122" t="inlineStr">
        <is>
          <t>북문로3가 북문로한신휴플러스</t>
        </is>
      </c>
      <c r="B81" s="123" t="inlineStr">
        <is>
          <t>13.06.</t>
        </is>
      </c>
      <c r="C81" s="131" t="n">
        <v>286</v>
      </c>
      <c r="D81" s="132" t="n">
        <v>107.2</v>
      </c>
      <c r="E81" s="133" t="n">
        <v>32</v>
      </c>
      <c r="F81" s="132" t="n">
        <v>74.8</v>
      </c>
      <c r="G81" s="17" t="n">
        <v>23</v>
      </c>
      <c r="H81" s="134" t="n">
        <v>26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3</v>
      </c>
      <c r="R81" s="119" t="n">
        <v>2</v>
      </c>
      <c r="S81" s="119" t="inlineStr">
        <is>
          <t>계</t>
        </is>
      </c>
      <c r="T81" s="5" t="n">
        <v>107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 ht="12" customFormat="1" customHeight="1" s="38">
      <c r="A82" s="122" t="inlineStr">
        <is>
          <t>북문로3가 북문로한신휴플러스</t>
        </is>
      </c>
      <c r="B82" s="123" t="inlineStr">
        <is>
          <t>13.06.</t>
        </is>
      </c>
      <c r="C82" s="131" t="n">
        <v>286</v>
      </c>
      <c r="D82" s="132" t="n">
        <v>112.6</v>
      </c>
      <c r="E82" s="133" t="n">
        <v>34</v>
      </c>
      <c r="F82" s="132" t="n">
        <v>85</v>
      </c>
      <c r="G82" s="17" t="n">
        <v>26</v>
      </c>
      <c r="H82" s="134" t="n">
        <v>112</v>
      </c>
      <c r="I82" s="135" t="n"/>
      <c r="J82" s="135" t="n"/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2</v>
      </c>
      <c r="S82" s="119" t="inlineStr">
        <is>
          <t>계</t>
        </is>
      </c>
      <c r="T82" s="5" t="inlineStr">
        <is>
          <t>112A</t>
        </is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19">
        <f>S82</f>
        <v/>
      </c>
      <c r="AF82" s="119">
        <f>Q82&amp;"/"&amp;R82</f>
        <v/>
      </c>
      <c r="AH82" s="20">
        <f>IF(A82="","",A82)</f>
        <v/>
      </c>
      <c r="AI82" s="133">
        <f>IF(E82="","",E82)</f>
        <v/>
      </c>
      <c r="AJ82" s="119">
        <f>IF(AI82="","",$AJ$2)</f>
        <v/>
      </c>
      <c r="AK82" s="119" t="inlineStr">
        <is>
          <t>A</t>
        </is>
      </c>
      <c r="AL82" s="119" t="inlineStr">
        <is>
          <t>A+</t>
        </is>
      </c>
      <c r="AM82" s="119" t="inlineStr">
        <is>
          <t>B+</t>
        </is>
      </c>
      <c r="AN82" s="119">
        <f>IF(AI82="","",$AN$2)</f>
        <v/>
      </c>
      <c r="AO82" s="119">
        <f>IF(N82="","",IF(N82&gt;=$AO$1/100,"O","X"))</f>
        <v/>
      </c>
      <c r="AP82" s="119">
        <f>IF(I82="","",IF(I82&lt;=$AP$1,"O","X"))</f>
        <v/>
      </c>
      <c r="AQ82" s="119">
        <f>IF(O82="","",IF(O82&lt;=$AQ$1,"O","X"))</f>
        <v/>
      </c>
      <c r="AR82" s="119">
        <f>IF(M82="","",IF(M82&lt;=$AR$1,"O","X"))</f>
        <v/>
      </c>
      <c r="AS82" s="119" t="inlineStr">
        <is>
          <t>X</t>
        </is>
      </c>
      <c r="AT82" s="119">
        <f>IF(OR(F82="",AI82=""),"",IF(AND((F82&lt;=85),(AI82&gt;=15)),"O","X"))</f>
        <v/>
      </c>
      <c r="AU82" s="119">
        <f>IF(C82="","",IF(C82&gt;=$AU$1,"O","X"))</f>
        <v/>
      </c>
      <c r="AV82" s="119">
        <f>IF(AO82="","",IF(AND(AO82="O",AP82="O",AR82="O",AT82="O",AU82="O"),"후보","X"))</f>
        <v/>
      </c>
    </row>
    <row r="83" ht="12" customFormat="1" customHeight="1" s="38">
      <c r="A83" s="122" t="inlineStr">
        <is>
          <t>북문로3가 북문로한신휴플러스</t>
        </is>
      </c>
      <c r="B83" s="123" t="inlineStr">
        <is>
          <t>13.06.</t>
        </is>
      </c>
      <c r="C83" s="131" t="n">
        <v>286</v>
      </c>
      <c r="D83" s="132" t="n">
        <v>112.7</v>
      </c>
      <c r="E83" s="133" t="n">
        <v>34</v>
      </c>
      <c r="F83" s="132" t="n">
        <v>85</v>
      </c>
      <c r="G83" s="17" t="n">
        <v>26</v>
      </c>
      <c r="H83" s="134" t="n">
        <v>22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inlineStr">
        <is>
          <t>112C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 ht="12" customFormat="1" customHeight="1" s="38">
      <c r="A84" s="122" t="inlineStr">
        <is>
          <t>북문로3가 북문로한신휴플러스</t>
        </is>
      </c>
      <c r="B84" s="123" t="inlineStr">
        <is>
          <t>13.06.</t>
        </is>
      </c>
      <c r="C84" s="131" t="n">
        <v>286</v>
      </c>
      <c r="D84" s="132" t="n">
        <v>113.5</v>
      </c>
      <c r="E84" s="133" t="n">
        <v>34</v>
      </c>
      <c r="F84" s="132" t="n">
        <v>85</v>
      </c>
      <c r="G84" s="17" t="n">
        <v>26</v>
      </c>
      <c r="H84" s="134" t="n">
        <v>68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3</v>
      </c>
      <c r="R84" s="119" t="n">
        <v>2</v>
      </c>
      <c r="S84" s="119" t="inlineStr">
        <is>
          <t>계</t>
        </is>
      </c>
      <c r="T84" s="5" t="inlineStr">
        <is>
          <t>113B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19">
        <f>S84</f>
        <v/>
      </c>
      <c r="AF84" s="119">
        <f>Q84&amp;"/"&amp;R84</f>
        <v/>
      </c>
      <c r="AH84" s="20">
        <f>IF(A84="","",A84)</f>
        <v/>
      </c>
      <c r="AI84" s="133">
        <f>IF(E84="","",E84)</f>
        <v/>
      </c>
      <c r="AJ84" s="119">
        <f>IF(AI84="","",$AJ$2)</f>
        <v/>
      </c>
      <c r="AK84" s="119" t="inlineStr">
        <is>
          <t>A</t>
        </is>
      </c>
      <c r="AL84" s="119" t="inlineStr">
        <is>
          <t>A+</t>
        </is>
      </c>
      <c r="AM84" s="119" t="inlineStr">
        <is>
          <t>B+</t>
        </is>
      </c>
      <c r="AN84" s="119">
        <f>IF(AI84="","",$AN$2)</f>
        <v/>
      </c>
      <c r="AO84" s="119">
        <f>IF(N84="","",IF(N84&gt;=$AO$1/100,"O","X"))</f>
        <v/>
      </c>
      <c r="AP84" s="119">
        <f>IF(I84="","",IF(I84&lt;=$AP$1,"O","X"))</f>
        <v/>
      </c>
      <c r="AQ84" s="119">
        <f>IF(O84="","",IF(O84&lt;=$AQ$1,"O","X"))</f>
        <v/>
      </c>
      <c r="AR84" s="119">
        <f>IF(M84="","",IF(M84&lt;=$AR$1,"O","X"))</f>
        <v/>
      </c>
      <c r="AS84" s="119" t="inlineStr">
        <is>
          <t>X</t>
        </is>
      </c>
      <c r="AT84" s="119">
        <f>IF(OR(F84="",AI84=""),"",IF(AND((F84&lt;=85),(AI84&gt;=15)),"O","X"))</f>
        <v/>
      </c>
      <c r="AU84" s="119">
        <f>IF(C84="","",IF(C84&gt;=$AU$1,"O","X"))</f>
        <v/>
      </c>
      <c r="AV84" s="119">
        <f>IF(AO84="","",IF(AND(AO84="O",AP84="O",AR84="O",AT84="O",AU84="O"),"후보","X"))</f>
        <v/>
      </c>
    </row>
    <row r="85" ht="12" customFormat="1" customHeight="1" s="38">
      <c r="A85" s="122" t="inlineStr">
        <is>
          <t>북문로3가 북문로한신휴플러스</t>
        </is>
      </c>
      <c r="B85" s="123" t="inlineStr">
        <is>
          <t>13.06.</t>
        </is>
      </c>
      <c r="C85" s="131" t="n">
        <v>286</v>
      </c>
      <c r="D85" s="132" t="n">
        <v>178.8</v>
      </c>
      <c r="E85" s="133" t="n">
        <v>54</v>
      </c>
      <c r="F85" s="132" t="n">
        <v>133.2</v>
      </c>
      <c r="G85" s="17" t="n">
        <v>40</v>
      </c>
      <c r="H85" s="134" t="n">
        <v>6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4</v>
      </c>
      <c r="R85" s="119" t="n">
        <v>2</v>
      </c>
      <c r="S85" s="119" t="inlineStr">
        <is>
          <t>계</t>
        </is>
      </c>
      <c r="T85" s="5" t="n">
        <v>178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 ht="12" customFormat="1" customHeight="1" s="38">
      <c r="A86" s="122" t="inlineStr">
        <is>
          <t>북문로3가 북문로한신휴플러스</t>
        </is>
      </c>
      <c r="B86" s="123" t="inlineStr">
        <is>
          <t>13.06.</t>
        </is>
      </c>
      <c r="C86" s="131" t="n">
        <v>286</v>
      </c>
      <c r="D86" s="132" t="n">
        <v>199.7</v>
      </c>
      <c r="E86" s="133" t="n">
        <v>60</v>
      </c>
      <c r="F86" s="132" t="n">
        <v>148.8</v>
      </c>
      <c r="G86" s="17" t="n">
        <v>45</v>
      </c>
      <c r="H86" s="134" t="n">
        <v>4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4</v>
      </c>
      <c r="R86" s="119" t="n">
        <v>2</v>
      </c>
      <c r="S86" s="119" t="inlineStr">
        <is>
          <t>계</t>
        </is>
      </c>
      <c r="T86" s="5" t="n">
        <v>199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 ht="12" customFormat="1" customHeight="1" s="38">
      <c r="A87" s="122" t="inlineStr">
        <is>
          <t>북문로3가 청주행정타운코아루휴티스</t>
        </is>
      </c>
      <c r="B87" s="123" t="inlineStr">
        <is>
          <t>20.12.</t>
        </is>
      </c>
      <c r="C87" s="131" t="n">
        <v>530</v>
      </c>
      <c r="D87" s="132" t="n">
        <v>114</v>
      </c>
      <c r="E87" s="133" t="n">
        <v>34</v>
      </c>
      <c r="F87" s="132" t="n">
        <v>84.7</v>
      </c>
      <c r="G87" s="17" t="n">
        <v>26</v>
      </c>
      <c r="H87" s="134" t="n">
        <v>266</v>
      </c>
      <c r="I87" s="135" t="n"/>
      <c r="J87" s="135" t="n"/>
      <c r="K87" s="135" t="n">
        <v>32000</v>
      </c>
      <c r="L87" s="135" t="inlineStr">
        <is>
          <t>중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4</v>
      </c>
      <c r="R87" s="119" t="n">
        <v>2</v>
      </c>
      <c r="S87" s="119" t="inlineStr">
        <is>
          <t>계</t>
        </is>
      </c>
      <c r="T87" s="5" t="inlineStr">
        <is>
          <t>114B</t>
        </is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19">
        <f>S87</f>
        <v/>
      </c>
      <c r="AF87" s="119">
        <f>Q87&amp;"/"&amp;R87</f>
        <v/>
      </c>
      <c r="AH87" s="20">
        <f>IF(A87="","",A87)</f>
        <v/>
      </c>
      <c r="AI87" s="133">
        <f>IF(E87="","",E87)</f>
        <v/>
      </c>
      <c r="AJ87" s="119">
        <f>IF(AI87="","",$AJ$2)</f>
        <v/>
      </c>
      <c r="AK87" s="119" t="inlineStr">
        <is>
          <t>A</t>
        </is>
      </c>
      <c r="AL87" s="119" t="inlineStr">
        <is>
          <t>A+</t>
        </is>
      </c>
      <c r="AM87" s="119" t="inlineStr">
        <is>
          <t>B+</t>
        </is>
      </c>
      <c r="AN87" s="119">
        <f>IF(AI87="","",$AN$2)</f>
        <v/>
      </c>
      <c r="AO87" s="119">
        <f>IF(N87="","",IF(N87&gt;=$AO$1/100,"O","X"))</f>
        <v/>
      </c>
      <c r="AP87" s="119">
        <f>IF(I87="","",IF(I87&lt;=$AP$1,"O","X"))</f>
        <v/>
      </c>
      <c r="AQ87" s="119">
        <f>IF(O87="","",IF(O87&lt;=$AQ$1,"O","X"))</f>
        <v/>
      </c>
      <c r="AR87" s="119">
        <f>IF(M87="","",IF(M87&lt;=$AR$1,"O","X"))</f>
        <v/>
      </c>
      <c r="AS87" s="119" t="inlineStr">
        <is>
          <t>X</t>
        </is>
      </c>
      <c r="AT87" s="119">
        <f>IF(OR(F87="",AI87=""),"",IF(AND((F87&lt;=85),(AI87&gt;=15)),"O","X"))</f>
        <v/>
      </c>
      <c r="AU87" s="119">
        <f>IF(C87="","",IF(C87&gt;=$AU$1,"O","X"))</f>
        <v/>
      </c>
      <c r="AV87" s="119">
        <f>IF(AO87="","",IF(AND(AO87="O",AP87="O",AR87="O",AT87="O",AU87="O"),"후보","X"))</f>
        <v/>
      </c>
    </row>
    <row r="88" ht="12" customFormat="1" customHeight="1" s="38">
      <c r="A88" s="122" t="inlineStr">
        <is>
          <t>북문로3가 청주행정타운코아루휴티스</t>
        </is>
      </c>
      <c r="B88" s="123" t="inlineStr">
        <is>
          <t>20.12.</t>
        </is>
      </c>
      <c r="C88" s="131" t="n">
        <v>530</v>
      </c>
      <c r="D88" s="132" t="n">
        <v>116.2</v>
      </c>
      <c r="E88" s="133" t="n">
        <v>35</v>
      </c>
      <c r="F88" s="132" t="n">
        <v>85</v>
      </c>
      <c r="G88" s="17" t="n">
        <v>26</v>
      </c>
      <c r="H88" s="134" t="n">
        <v>264</v>
      </c>
      <c r="I88" s="135" t="n">
        <v>47000</v>
      </c>
      <c r="J88" s="135" t="inlineStr">
        <is>
          <t>중</t>
        </is>
      </c>
      <c r="K88" s="135" t="n">
        <v>32000</v>
      </c>
      <c r="L88" s="135" t="inlineStr">
        <is>
          <t>13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4</v>
      </c>
      <c r="R88" s="119" t="n">
        <v>2</v>
      </c>
      <c r="S88" s="119" t="inlineStr">
        <is>
          <t>계</t>
        </is>
      </c>
      <c r="T88" s="5" t="inlineStr">
        <is>
          <t>116A</t>
        </is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 ht="12" customFormat="1" customHeight="1" s="38">
      <c r="A89" s="122" t="inlineStr">
        <is>
          <t>영운동 신라송림</t>
        </is>
      </c>
      <c r="B89" s="123" t="inlineStr">
        <is>
          <t>95.12.</t>
        </is>
      </c>
      <c r="C89" s="131" t="n">
        <v>393</v>
      </c>
      <c r="D89" s="132" t="n">
        <v>62.2</v>
      </c>
      <c r="E89" s="133" t="n">
        <v>19</v>
      </c>
      <c r="F89" s="132" t="n">
        <v>44.6</v>
      </c>
      <c r="G89" s="17" t="n">
        <v>13</v>
      </c>
      <c r="H89" s="134" t="n">
        <v>13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2</v>
      </c>
      <c r="R89" s="119" t="n">
        <v>1</v>
      </c>
      <c r="S89" s="119" t="inlineStr">
        <is>
          <t>복</t>
        </is>
      </c>
      <c r="T89" s="5" t="n">
        <v>62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 ht="12" customFormat="1" customHeight="1" s="38">
      <c r="A90" s="122" t="inlineStr">
        <is>
          <t>영운동 신라송림</t>
        </is>
      </c>
      <c r="B90" s="123" t="inlineStr">
        <is>
          <t>95.12.</t>
        </is>
      </c>
      <c r="C90" s="131" t="n">
        <v>393</v>
      </c>
      <c r="D90" s="132" t="n">
        <v>76</v>
      </c>
      <c r="E90" s="133" t="n">
        <v>23</v>
      </c>
      <c r="F90" s="132" t="n">
        <v>59.9</v>
      </c>
      <c r="G90" s="17" t="n">
        <v>18</v>
      </c>
      <c r="H90" s="134" t="n">
        <v>60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2</v>
      </c>
      <c r="R90" s="119" t="n">
        <v>1</v>
      </c>
      <c r="S90" s="119" t="inlineStr">
        <is>
          <t>복</t>
        </is>
      </c>
      <c r="T90" s="5" t="n">
        <v>76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19">
        <f>S90</f>
        <v/>
      </c>
      <c r="AF90" s="119">
        <f>Q90&amp;"/"&amp;R90</f>
        <v/>
      </c>
      <c r="AH90" s="20">
        <f>IF(A90="","",A90)</f>
        <v/>
      </c>
      <c r="AI90" s="133">
        <f>IF(E90="","",E90)</f>
        <v/>
      </c>
      <c r="AJ90" s="119">
        <f>IF(AI90="","",$AJ$2)</f>
        <v/>
      </c>
      <c r="AK90" s="119" t="inlineStr">
        <is>
          <t>A</t>
        </is>
      </c>
      <c r="AL90" s="119" t="inlineStr">
        <is>
          <t>A+</t>
        </is>
      </c>
      <c r="AM90" s="119" t="inlineStr">
        <is>
          <t>B+</t>
        </is>
      </c>
      <c r="AN90" s="119">
        <f>IF(AI90="","",$AN$2)</f>
        <v/>
      </c>
      <c r="AO90" s="119">
        <f>IF(N90="","",IF(N90&gt;=$AO$1/100,"O","X"))</f>
        <v/>
      </c>
      <c r="AP90" s="119">
        <f>IF(I90="","",IF(I90&lt;=$AP$1,"O","X"))</f>
        <v/>
      </c>
      <c r="AQ90" s="119">
        <f>IF(O90="","",IF(O90&lt;=$AQ$1,"O","X"))</f>
        <v/>
      </c>
      <c r="AR90" s="119">
        <f>IF(M90="","",IF(M90&lt;=$AR$1,"O","X"))</f>
        <v/>
      </c>
      <c r="AS90" s="119" t="inlineStr">
        <is>
          <t>X</t>
        </is>
      </c>
      <c r="AT90" s="119">
        <f>IF(OR(F90="",AI90=""),"",IF(AND((F90&lt;=85),(AI90&gt;=15)),"O","X"))</f>
        <v/>
      </c>
      <c r="AU90" s="119">
        <f>IF(C90="","",IF(C90&gt;=$AU$1,"O","X"))</f>
        <v/>
      </c>
      <c r="AV90" s="119">
        <f>IF(AO90="","",IF(AND(AO90="O",AP90="O",AR90="O",AT90="O",AU90="O"),"후보","X"))</f>
        <v/>
      </c>
    </row>
    <row r="91" ht="12" customFormat="1" customHeight="1" s="38">
      <c r="A91" s="122" t="inlineStr">
        <is>
          <t>영운동 신라송림</t>
        </is>
      </c>
      <c r="B91" s="123" t="inlineStr">
        <is>
          <t>95.12.</t>
        </is>
      </c>
      <c r="C91" s="131" t="n">
        <v>393</v>
      </c>
      <c r="D91" s="132" t="n">
        <v>83.3</v>
      </c>
      <c r="E91" s="133" t="n">
        <v>25</v>
      </c>
      <c r="F91" s="132" t="n">
        <v>59.8</v>
      </c>
      <c r="G91" s="17" t="n">
        <v>18</v>
      </c>
      <c r="H91" s="134" t="n">
        <v>90</v>
      </c>
      <c r="I91" s="135" t="n">
        <v>12000</v>
      </c>
      <c r="J91" s="135" t="inlineStr">
        <is>
          <t>5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계</t>
        </is>
      </c>
      <c r="T91" s="5" t="n">
        <v>83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 ht="12" customFormat="1" customHeight="1" s="38">
      <c r="A92" s="122" t="inlineStr">
        <is>
          <t>영운동 신라송림</t>
        </is>
      </c>
      <c r="B92" s="123" t="inlineStr">
        <is>
          <t>95.12.</t>
        </is>
      </c>
      <c r="C92" s="131" t="n">
        <v>393</v>
      </c>
      <c r="D92" s="132" t="n">
        <v>91.3</v>
      </c>
      <c r="E92" s="133" t="n">
        <v>28</v>
      </c>
      <c r="F92" s="132" t="n">
        <v>73.2</v>
      </c>
      <c r="G92" s="17" t="n">
        <v>22</v>
      </c>
      <c r="H92" s="134" t="n">
        <v>10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91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19">
        <f>S92</f>
        <v/>
      </c>
      <c r="AF92" s="119">
        <f>Q92&amp;"/"&amp;R92</f>
        <v/>
      </c>
      <c r="AH92" s="20">
        <f>IF(A92="","",A92)</f>
        <v/>
      </c>
      <c r="AI92" s="133">
        <f>IF(E92="","",E92)</f>
        <v/>
      </c>
      <c r="AJ92" s="119">
        <f>IF(AI92="","",$AJ$2)</f>
        <v/>
      </c>
      <c r="AK92" s="119" t="inlineStr">
        <is>
          <t>A</t>
        </is>
      </c>
      <c r="AL92" s="119" t="inlineStr">
        <is>
          <t>A+</t>
        </is>
      </c>
      <c r="AM92" s="119" t="inlineStr">
        <is>
          <t>B+</t>
        </is>
      </c>
      <c r="AN92" s="119">
        <f>IF(AI92="","",$AN$2)</f>
        <v/>
      </c>
      <c r="AO92" s="119">
        <f>IF(N92="","",IF(N92&gt;=$AO$1/100,"O","X"))</f>
        <v/>
      </c>
      <c r="AP92" s="119">
        <f>IF(I92="","",IF(I92&lt;=$AP$1,"O","X"))</f>
        <v/>
      </c>
      <c r="AQ92" s="119">
        <f>IF(O92="","",IF(O92&lt;=$AQ$1,"O","X"))</f>
        <v/>
      </c>
      <c r="AR92" s="119">
        <f>IF(M92="","",IF(M92&lt;=$AR$1,"O","X"))</f>
        <v/>
      </c>
      <c r="AS92" s="119" t="inlineStr">
        <is>
          <t>X</t>
        </is>
      </c>
      <c r="AT92" s="119">
        <f>IF(OR(F92="",AI92=""),"",IF(AND((F92&lt;=85),(AI92&gt;=15)),"O","X"))</f>
        <v/>
      </c>
      <c r="AU92" s="119">
        <f>IF(C92="","",IF(C92&gt;=$AU$1,"O","X"))</f>
        <v/>
      </c>
      <c r="AV92" s="119">
        <f>IF(AO92="","",IF(AND(AO92="O",AP92="O",AR92="O",AT92="O",AU92="O"),"후보","X"))</f>
        <v/>
      </c>
    </row>
    <row r="93" ht="12" customFormat="1" customHeight="1" s="38">
      <c r="A93" s="122" t="inlineStr">
        <is>
          <t>영운동 신라송림</t>
        </is>
      </c>
      <c r="B93" s="123" t="inlineStr">
        <is>
          <t>95.12.</t>
        </is>
      </c>
      <c r="C93" s="131" t="n">
        <v>393</v>
      </c>
      <c r="D93" s="132" t="n">
        <v>103.6</v>
      </c>
      <c r="E93" s="133" t="n">
        <v>31</v>
      </c>
      <c r="F93" s="132" t="n">
        <v>84.7</v>
      </c>
      <c r="G93" s="17" t="n">
        <v>26</v>
      </c>
      <c r="H93" s="134" t="n">
        <v>203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103A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 ht="12" customFormat="1" customHeight="1" s="38">
      <c r="A94" s="122" t="inlineStr">
        <is>
          <t>영운동 신라송림</t>
        </is>
      </c>
      <c r="B94" s="123" t="inlineStr">
        <is>
          <t>95.12.</t>
        </is>
      </c>
      <c r="C94" s="131" t="n">
        <v>393</v>
      </c>
      <c r="D94" s="132" t="n">
        <v>105.7</v>
      </c>
      <c r="E94" s="133" t="n">
        <v>32</v>
      </c>
      <c r="F94" s="132" t="n">
        <v>84.7</v>
      </c>
      <c r="G94" s="17" t="n">
        <v>26</v>
      </c>
      <c r="H94" s="134" t="n">
        <v>17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 ht="12" customFormat="1" customHeight="1" s="38">
      <c r="A95" s="122" t="inlineStr">
        <is>
          <t>영운동 영운삼일</t>
        </is>
      </c>
      <c r="B95" s="123" t="inlineStr">
        <is>
          <t>92.08.</t>
        </is>
      </c>
      <c r="C95" s="131" t="n">
        <v>228</v>
      </c>
      <c r="D95" s="132" t="n">
        <v>66.7</v>
      </c>
      <c r="E95" s="133" t="n">
        <v>20</v>
      </c>
      <c r="F95" s="132" t="n">
        <v>53.3</v>
      </c>
      <c r="G95" s="17" t="n">
        <v>16</v>
      </c>
      <c r="H95" s="134" t="n">
        <v>14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1</v>
      </c>
      <c r="S95" s="119" t="inlineStr">
        <is>
          <t>계</t>
        </is>
      </c>
      <c r="T95" s="5" t="n">
        <v>66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 ht="12" customFormat="1" customHeight="1" s="38">
      <c r="A96" s="122" t="inlineStr">
        <is>
          <t>영운동 영운삼일</t>
        </is>
      </c>
      <c r="B96" s="123" t="inlineStr">
        <is>
          <t>92.08.</t>
        </is>
      </c>
      <c r="C96" s="131" t="n">
        <v>228</v>
      </c>
      <c r="D96" s="132" t="n">
        <v>72.8</v>
      </c>
      <c r="E96" s="133" t="n">
        <v>22</v>
      </c>
      <c r="F96" s="132" t="n">
        <v>59.1</v>
      </c>
      <c r="G96" s="17" t="n">
        <v>18</v>
      </c>
      <c r="H96" s="134" t="n">
        <v>78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계</t>
        </is>
      </c>
      <c r="T96" s="5" t="n">
        <v>72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19">
        <f>S96</f>
        <v/>
      </c>
      <c r="AF96" s="119">
        <f>Q96&amp;"/"&amp;R96</f>
        <v/>
      </c>
      <c r="AH96" s="20">
        <f>IF(A96="","",A96)</f>
        <v/>
      </c>
      <c r="AI96" s="133">
        <f>IF(E96="","",E96)</f>
        <v/>
      </c>
      <c r="AJ96" s="119">
        <f>IF(AI96="","",$AJ$2)</f>
        <v/>
      </c>
      <c r="AK96" s="119" t="inlineStr">
        <is>
          <t>A</t>
        </is>
      </c>
      <c r="AL96" s="119" t="inlineStr">
        <is>
          <t>A+</t>
        </is>
      </c>
      <c r="AM96" s="119" t="inlineStr">
        <is>
          <t>B+</t>
        </is>
      </c>
      <c r="AN96" s="119">
        <f>IF(AI96="","",$AN$2)</f>
        <v/>
      </c>
      <c r="AO96" s="119">
        <f>IF(N96="","",IF(N96&gt;=$AO$1/100,"O","X"))</f>
        <v/>
      </c>
      <c r="AP96" s="119">
        <f>IF(I96="","",IF(I96&lt;=$AP$1,"O","X"))</f>
        <v/>
      </c>
      <c r="AQ96" s="119">
        <f>IF(O96="","",IF(O96&lt;=$AQ$1,"O","X"))</f>
        <v/>
      </c>
      <c r="AR96" s="119">
        <f>IF(M96="","",IF(M96&lt;=$AR$1,"O","X"))</f>
        <v/>
      </c>
      <c r="AS96" s="119" t="inlineStr">
        <is>
          <t>X</t>
        </is>
      </c>
      <c r="AT96" s="119">
        <f>IF(OR(F96="",AI96=""),"",IF(AND((F96&lt;=85),(AI96&gt;=15)),"O","X"))</f>
        <v/>
      </c>
      <c r="AU96" s="119">
        <f>IF(C96="","",IF(C96&gt;=$AU$1,"O","X"))</f>
        <v/>
      </c>
      <c r="AV96" s="119">
        <f>IF(AO96="","",IF(AND(AO96="O",AP96="O",AR96="O",AT96="O",AU96="O"),"후보","X"))</f>
        <v/>
      </c>
    </row>
    <row r="97" ht="12" customFormat="1" customHeight="1" s="38">
      <c r="A97" s="122" t="inlineStr">
        <is>
          <t>영운동 영운삼일</t>
        </is>
      </c>
      <c r="B97" s="123" t="inlineStr">
        <is>
          <t>92.08.</t>
        </is>
      </c>
      <c r="C97" s="131" t="n">
        <v>228</v>
      </c>
      <c r="D97" s="132" t="n">
        <v>101.8</v>
      </c>
      <c r="E97" s="133" t="n">
        <v>31</v>
      </c>
      <c r="F97" s="132" t="n">
        <v>84.2</v>
      </c>
      <c r="G97" s="17" t="n">
        <v>25</v>
      </c>
      <c r="H97" s="134" t="n">
        <v>28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101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 ht="12" customFormat="1" customHeight="1" s="38">
      <c r="A98" s="122" t="inlineStr">
        <is>
          <t>영운동 영운삼일</t>
        </is>
      </c>
      <c r="B98" s="123" t="inlineStr">
        <is>
          <t>92.08.</t>
        </is>
      </c>
      <c r="C98" s="131" t="n">
        <v>228</v>
      </c>
      <c r="D98" s="132" t="n">
        <v>106</v>
      </c>
      <c r="E98" s="133" t="n">
        <v>32</v>
      </c>
      <c r="F98" s="132" t="n">
        <v>84.09999999999999</v>
      </c>
      <c r="G98" s="17" t="n">
        <v>25</v>
      </c>
      <c r="H98" s="134" t="n">
        <v>108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19">
        <f>S98</f>
        <v/>
      </c>
      <c r="AF98" s="119">
        <f>Q98&amp;"/"&amp;R98</f>
        <v/>
      </c>
      <c r="AH98" s="20">
        <f>IF(A98="","",A98)</f>
        <v/>
      </c>
      <c r="AI98" s="133">
        <f>IF(E98="","",E98)</f>
        <v/>
      </c>
      <c r="AJ98" s="119">
        <f>IF(AI98="","",$AJ$2)</f>
        <v/>
      </c>
      <c r="AK98" s="119" t="inlineStr">
        <is>
          <t>A</t>
        </is>
      </c>
      <c r="AL98" s="119" t="inlineStr">
        <is>
          <t>A+</t>
        </is>
      </c>
      <c r="AM98" s="119" t="inlineStr">
        <is>
          <t>B+</t>
        </is>
      </c>
      <c r="AN98" s="119">
        <f>IF(AI98="","",$AN$2)</f>
        <v/>
      </c>
      <c r="AO98" s="119">
        <f>IF(N98="","",IF(N98&gt;=$AO$1/100,"O","X"))</f>
        <v/>
      </c>
      <c r="AP98" s="119">
        <f>IF(I98="","",IF(I98&lt;=$AP$1,"O","X"))</f>
        <v/>
      </c>
      <c r="AQ98" s="119">
        <f>IF(O98="","",IF(O98&lt;=$AQ$1,"O","X"))</f>
        <v/>
      </c>
      <c r="AR98" s="119">
        <f>IF(M98="","",IF(M98&lt;=$AR$1,"O","X"))</f>
        <v/>
      </c>
      <c r="AS98" s="119" t="inlineStr">
        <is>
          <t>X</t>
        </is>
      </c>
      <c r="AT98" s="119">
        <f>IF(OR(F98="",AI98=""),"",IF(AND((F98&lt;=85),(AI98&gt;=15)),"O","X"))</f>
        <v/>
      </c>
      <c r="AU98" s="119">
        <f>IF(C98="","",IF(C98&gt;=$AU$1,"O","X"))</f>
        <v/>
      </c>
      <c r="AV98" s="119">
        <f>IF(AO98="","",IF(AND(AO98="O",AP98="O",AR98="O",AT98="O",AU98="O"),"후보","X"))</f>
        <v/>
      </c>
    </row>
    <row r="99" ht="12" customFormat="1" customHeight="1" s="38">
      <c r="A99" s="122" t="inlineStr">
        <is>
          <t>영운동 영운한진신세대</t>
        </is>
      </c>
      <c r="B99" s="123" t="inlineStr">
        <is>
          <t>97.09.</t>
        </is>
      </c>
      <c r="C99" s="131" t="n">
        <v>272</v>
      </c>
      <c r="D99" s="132" t="n">
        <v>58.1</v>
      </c>
      <c r="E99" s="133" t="n">
        <v>18</v>
      </c>
      <c r="F99" s="132" t="n">
        <v>43.2</v>
      </c>
      <c r="G99" s="17" t="n">
        <v>13</v>
      </c>
      <c r="H99" s="134" t="n">
        <v>272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복</t>
        </is>
      </c>
      <c r="T99" s="5" t="n">
        <v>58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 ht="12" customFormat="1" customHeight="1" s="38">
      <c r="A100" s="122" t="inlineStr">
        <is>
          <t>영운동 미림</t>
        </is>
      </c>
      <c r="B100" s="123" t="inlineStr">
        <is>
          <t>91.08.</t>
        </is>
      </c>
      <c r="C100" s="131" t="n">
        <v>250</v>
      </c>
      <c r="D100" s="132" t="n">
        <v>71.5</v>
      </c>
      <c r="E100" s="133" t="n">
        <v>22</v>
      </c>
      <c r="F100" s="132" t="n">
        <v>50</v>
      </c>
      <c r="G100" s="17" t="n">
        <v>15</v>
      </c>
      <c r="H100" s="134" t="n">
        <v>250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3</v>
      </c>
      <c r="R100" s="119" t="n">
        <v>1</v>
      </c>
      <c r="S100" s="119" t="inlineStr">
        <is>
          <t>계</t>
        </is>
      </c>
      <c r="T100" s="5" t="n">
        <v>71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 ht="12" customFormat="1" customHeight="1" s="38">
      <c r="A101" s="122" t="inlineStr">
        <is>
          <t>영운동 태암수정</t>
        </is>
      </c>
      <c r="B101" s="123" t="inlineStr">
        <is>
          <t>95.11.</t>
        </is>
      </c>
      <c r="C101" s="131" t="n">
        <v>486</v>
      </c>
      <c r="D101" s="132" t="n">
        <v>46.3</v>
      </c>
      <c r="E101" s="133" t="n">
        <v>14</v>
      </c>
      <c r="F101" s="132" t="n">
        <v>38.7</v>
      </c>
      <c r="G101" s="17" t="n">
        <v>12</v>
      </c>
      <c r="H101" s="134" t="n">
        <v>72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1</v>
      </c>
      <c r="R101" s="119" t="n">
        <v>1</v>
      </c>
      <c r="S101" s="119" t="inlineStr">
        <is>
          <t>계</t>
        </is>
      </c>
      <c r="T101" s="5" t="n">
        <v>46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 ht="12" customFormat="1" customHeight="1" s="38">
      <c r="A102" s="122" t="inlineStr">
        <is>
          <t>영운동 태암수정</t>
        </is>
      </c>
      <c r="B102" s="123" t="inlineStr">
        <is>
          <t>95.11.</t>
        </is>
      </c>
      <c r="C102" s="131" t="n">
        <v>486</v>
      </c>
      <c r="D102" s="132" t="n">
        <v>50.5</v>
      </c>
      <c r="E102" s="133" t="n">
        <v>15</v>
      </c>
      <c r="F102" s="132" t="n">
        <v>42.2</v>
      </c>
      <c r="G102" s="17" t="n">
        <v>13</v>
      </c>
      <c r="H102" s="134" t="n">
        <v>336</v>
      </c>
      <c r="I102" s="135" t="n">
        <v>5100</v>
      </c>
      <c r="J102" s="135" t="inlineStr">
        <is>
          <t>13</t>
        </is>
      </c>
      <c r="K102" s="135" t="n">
        <v>5000</v>
      </c>
      <c r="L102" s="135" t="inlineStr">
        <is>
          <t>11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1</v>
      </c>
      <c r="R102" s="119" t="n">
        <v>1</v>
      </c>
      <c r="S102" s="119" t="inlineStr">
        <is>
          <t>계</t>
        </is>
      </c>
      <c r="T102" s="5" t="n">
        <v>50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 ht="12" customFormat="1" customHeight="1" s="38">
      <c r="A103" s="122" t="inlineStr">
        <is>
          <t>영운동 태암수정</t>
        </is>
      </c>
      <c r="B103" s="123" t="inlineStr">
        <is>
          <t>95.11.</t>
        </is>
      </c>
      <c r="C103" s="131" t="n">
        <v>486</v>
      </c>
      <c r="D103" s="132" t="n">
        <v>64.7</v>
      </c>
      <c r="E103" s="133" t="n">
        <v>20</v>
      </c>
      <c r="F103" s="132" t="n">
        <v>54.1</v>
      </c>
      <c r="G103" s="17" t="n">
        <v>16</v>
      </c>
      <c r="H103" s="134" t="n">
        <v>78</v>
      </c>
      <c r="I103" s="135" t="n">
        <v>7500</v>
      </c>
      <c r="J103" s="135" t="inlineStr">
        <is>
          <t>7</t>
        </is>
      </c>
      <c r="K103" s="135" t="n">
        <v>7000</v>
      </c>
      <c r="L103" s="135" t="inlineStr">
        <is>
          <t>중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2</v>
      </c>
      <c r="R103" s="119" t="n">
        <v>1</v>
      </c>
      <c r="S103" s="119" t="inlineStr">
        <is>
          <t>계</t>
        </is>
      </c>
      <c r="T103" s="5" t="n">
        <v>64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 ht="12" customFormat="1" customHeight="1" s="38">
      <c r="A104" s="122" t="inlineStr">
        <is>
          <t>영운동 파모스라움</t>
        </is>
      </c>
      <c r="B104" s="123" t="inlineStr">
        <is>
          <t>18.10.</t>
        </is>
      </c>
      <c r="C104" s="131" t="n">
        <v>246</v>
      </c>
      <c r="D104" s="132" t="n">
        <v>86.7</v>
      </c>
      <c r="E104" s="133" t="n">
        <v>26</v>
      </c>
      <c r="F104" s="132" t="n">
        <v>59.6</v>
      </c>
      <c r="G104" s="17" t="n">
        <v>18</v>
      </c>
      <c r="H104" s="134" t="n">
        <v>51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3</v>
      </c>
      <c r="R104" s="119" t="n">
        <v>2</v>
      </c>
      <c r="S104" s="119" t="inlineStr">
        <is>
          <t>계</t>
        </is>
      </c>
      <c r="T104" s="5" t="inlineStr">
        <is>
          <t>86C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19">
        <f>S104</f>
        <v/>
      </c>
      <c r="AF104" s="119">
        <f>Q104&amp;"/"&amp;R104</f>
        <v/>
      </c>
      <c r="AH104" s="20">
        <f>IF(A104="","",A104)</f>
        <v/>
      </c>
      <c r="AI104" s="133">
        <f>IF(E104="","",E104)</f>
        <v/>
      </c>
      <c r="AJ104" s="119">
        <f>IF(AI104="","",$AJ$2)</f>
        <v/>
      </c>
      <c r="AK104" s="119" t="inlineStr">
        <is>
          <t>A</t>
        </is>
      </c>
      <c r="AL104" s="119" t="inlineStr">
        <is>
          <t>A+</t>
        </is>
      </c>
      <c r="AM104" s="119" t="inlineStr">
        <is>
          <t>B+</t>
        </is>
      </c>
      <c r="AN104" s="119">
        <f>IF(AI104="","",$AN$2)</f>
        <v/>
      </c>
      <c r="AO104" s="119">
        <f>IF(N104="","",IF(N104&gt;=$AO$1/100,"O","X"))</f>
        <v/>
      </c>
      <c r="AP104" s="119">
        <f>IF(I104="","",IF(I104&lt;=$AP$1,"O","X"))</f>
        <v/>
      </c>
      <c r="AQ104" s="119">
        <f>IF(O104="","",IF(O104&lt;=$AQ$1,"O","X"))</f>
        <v/>
      </c>
      <c r="AR104" s="119">
        <f>IF(M104="","",IF(M104&lt;=$AR$1,"O","X"))</f>
        <v/>
      </c>
      <c r="AS104" s="119" t="inlineStr">
        <is>
          <t>X</t>
        </is>
      </c>
      <c r="AT104" s="119">
        <f>IF(OR(F104="",AI104=""),"",IF(AND((F104&lt;=85),(AI104&gt;=15)),"O","X"))</f>
        <v/>
      </c>
      <c r="AU104" s="119">
        <f>IF(C104="","",IF(C104&gt;=$AU$1,"O","X"))</f>
        <v/>
      </c>
      <c r="AV104" s="119">
        <f>IF(AO104="","",IF(AND(AO104="O",AP104="O",AR104="O",AT104="O",AU104="O"),"후보","X"))</f>
        <v/>
      </c>
    </row>
    <row r="105" ht="12" customFormat="1" customHeight="1" s="38">
      <c r="A105" s="122" t="inlineStr">
        <is>
          <t>영운동 파모스라움</t>
        </is>
      </c>
      <c r="B105" s="123" t="inlineStr">
        <is>
          <t>18.10.</t>
        </is>
      </c>
      <c r="C105" s="131" t="n">
        <v>246</v>
      </c>
      <c r="D105" s="132" t="n">
        <v>86.3</v>
      </c>
      <c r="E105" s="133" t="n">
        <v>26</v>
      </c>
      <c r="F105" s="132" t="n">
        <v>59.5</v>
      </c>
      <c r="G105" s="17" t="n">
        <v>18</v>
      </c>
      <c r="H105" s="134" t="n">
        <v>31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inlineStr">
        <is>
          <t>86B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 ht="12" customFormat="1" customHeight="1" s="38">
      <c r="A106" s="122" t="inlineStr">
        <is>
          <t>영운동 파모스라움</t>
        </is>
      </c>
      <c r="B106" s="123" t="inlineStr">
        <is>
          <t>18.10.</t>
        </is>
      </c>
      <c r="C106" s="131" t="n">
        <v>246</v>
      </c>
      <c r="D106" s="132" t="n">
        <v>86.7</v>
      </c>
      <c r="E106" s="133" t="n">
        <v>26</v>
      </c>
      <c r="F106" s="132" t="n">
        <v>59.4</v>
      </c>
      <c r="G106" s="17" t="n">
        <v>18</v>
      </c>
      <c r="H106" s="134" t="n">
        <v>9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86F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 ht="12" customFormat="1" customHeight="1" s="38">
      <c r="A107" s="122" t="inlineStr">
        <is>
          <t>영운동 파모스라움</t>
        </is>
      </c>
      <c r="B107" s="123" t="inlineStr">
        <is>
          <t>18.10.</t>
        </is>
      </c>
      <c r="C107" s="131" t="n">
        <v>246</v>
      </c>
      <c r="D107" s="132" t="n">
        <v>87.09999999999999</v>
      </c>
      <c r="E107" s="133" t="n">
        <v>26</v>
      </c>
      <c r="F107" s="132" t="n">
        <v>59.4</v>
      </c>
      <c r="G107" s="17" t="n">
        <v>18</v>
      </c>
      <c r="H107" s="134" t="n">
        <v>142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3</v>
      </c>
      <c r="R107" s="119" t="n">
        <v>2</v>
      </c>
      <c r="S107" s="119" t="inlineStr">
        <is>
          <t>계</t>
        </is>
      </c>
      <c r="T107" s="5" t="inlineStr">
        <is>
          <t>87A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19">
        <f>S107</f>
        <v/>
      </c>
      <c r="AF107" s="119">
        <f>Q107&amp;"/"&amp;R107</f>
        <v/>
      </c>
      <c r="AH107" s="20">
        <f>IF(A107="","",A107)</f>
        <v/>
      </c>
      <c r="AI107" s="133">
        <f>IF(E107="","",E107)</f>
        <v/>
      </c>
      <c r="AJ107" s="119">
        <f>IF(AI107="","",$AJ$2)</f>
        <v/>
      </c>
      <c r="AK107" s="119" t="inlineStr">
        <is>
          <t>A</t>
        </is>
      </c>
      <c r="AL107" s="119" t="inlineStr">
        <is>
          <t>A+</t>
        </is>
      </c>
      <c r="AM107" s="119" t="inlineStr">
        <is>
          <t>B+</t>
        </is>
      </c>
      <c r="AN107" s="119">
        <f>IF(AI107="","",$AN$2)</f>
        <v/>
      </c>
      <c r="AO107" s="119">
        <f>IF(N107="","",IF(N107&gt;=$AO$1/100,"O","X"))</f>
        <v/>
      </c>
      <c r="AP107" s="119">
        <f>IF(I107="","",IF(I107&lt;=$AP$1,"O","X"))</f>
        <v/>
      </c>
      <c r="AQ107" s="119">
        <f>IF(O107="","",IF(O107&lt;=$AQ$1,"O","X"))</f>
        <v/>
      </c>
      <c r="AR107" s="119">
        <f>IF(M107="","",IF(M107&lt;=$AR$1,"O","X"))</f>
        <v/>
      </c>
      <c r="AS107" s="119" t="inlineStr">
        <is>
          <t>X</t>
        </is>
      </c>
      <c r="AT107" s="119">
        <f>IF(OR(F107="",AI107=""),"",IF(AND((F107&lt;=85),(AI107&gt;=15)),"O","X"))</f>
        <v/>
      </c>
      <c r="AU107" s="119">
        <f>IF(C107="","",IF(C107&gt;=$AU$1,"O","X"))</f>
        <v/>
      </c>
      <c r="AV107" s="119">
        <f>IF(AO107="","",IF(AND(AO107="O",AP107="O",AR107="O",AT107="O",AU107="O"),"후보","X"))</f>
        <v/>
      </c>
    </row>
    <row r="108" ht="12" customFormat="1" customHeight="1" s="38">
      <c r="A108" s="122" t="inlineStr">
        <is>
          <t>영운동 파모스라움</t>
        </is>
      </c>
      <c r="B108" s="123" t="inlineStr">
        <is>
          <t>18.10.</t>
        </is>
      </c>
      <c r="C108" s="131" t="n">
        <v>246</v>
      </c>
      <c r="D108" s="132" t="n">
        <v>87</v>
      </c>
      <c r="E108" s="133" t="n">
        <v>26</v>
      </c>
      <c r="F108" s="132" t="n">
        <v>59.7</v>
      </c>
      <c r="G108" s="17" t="n">
        <v>18</v>
      </c>
      <c r="H108" s="134" t="n">
        <v>13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87E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 ht="24" customFormat="1" customHeight="1" s="38">
      <c r="A109" s="122" t="inlineStr">
        <is>
          <t>영운동 영운두산하이츠타운(두산독신자)</t>
        </is>
      </c>
      <c r="B109" s="123" t="inlineStr">
        <is>
          <t>92.06.</t>
        </is>
      </c>
      <c r="C109" s="131" t="n">
        <v>296</v>
      </c>
      <c r="D109" s="132" t="n">
        <v>35</v>
      </c>
      <c r="E109" s="133" t="n">
        <v>11</v>
      </c>
      <c r="F109" s="132" t="n">
        <v>22.9</v>
      </c>
      <c r="G109" s="17" t="n">
        <v>7</v>
      </c>
      <c r="H109" s="134" t="n">
        <v>296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1</v>
      </c>
      <c r="R109" s="119" t="n">
        <v>1</v>
      </c>
      <c r="S109" s="119" t="inlineStr">
        <is>
          <t>계</t>
        </is>
      </c>
      <c r="T109" s="5" t="n">
        <v>35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19">
        <f>S109</f>
        <v/>
      </c>
      <c r="AF109" s="119">
        <f>Q109&amp;"/"&amp;R109</f>
        <v/>
      </c>
      <c r="AH109" s="20">
        <f>IF(A109="","",A109)</f>
        <v/>
      </c>
      <c r="AI109" s="133">
        <f>IF(E109="","",E109)</f>
        <v/>
      </c>
      <c r="AJ109" s="119">
        <f>IF(AI109="","",$AJ$2)</f>
        <v/>
      </c>
      <c r="AK109" s="119" t="inlineStr">
        <is>
          <t>A</t>
        </is>
      </c>
      <c r="AL109" s="119" t="inlineStr">
        <is>
          <t>A+</t>
        </is>
      </c>
      <c r="AM109" s="119" t="inlineStr">
        <is>
          <t>B+</t>
        </is>
      </c>
      <c r="AN109" s="119">
        <f>IF(AI109="","",$AN$2)</f>
        <v/>
      </c>
      <c r="AO109" s="119">
        <f>IF(N109="","",IF(N109&gt;=$AO$1/100,"O","X"))</f>
        <v/>
      </c>
      <c r="AP109" s="119">
        <f>IF(I109="","",IF(I109&lt;=$AP$1,"O","X"))</f>
        <v/>
      </c>
      <c r="AQ109" s="119">
        <f>IF(O109="","",IF(O109&lt;=$AQ$1,"O","X"))</f>
        <v/>
      </c>
      <c r="AR109" s="119">
        <f>IF(M109="","",IF(M109&lt;=$AR$1,"O","X"))</f>
        <v/>
      </c>
      <c r="AS109" s="119" t="inlineStr">
        <is>
          <t>X</t>
        </is>
      </c>
      <c r="AT109" s="119">
        <f>IF(OR(F109="",AI109=""),"",IF(AND((F109&lt;=85),(AI109&gt;=15)),"O","X"))</f>
        <v/>
      </c>
      <c r="AU109" s="119">
        <f>IF(C109="","",IF(C109&gt;=$AU$1,"O","X"))</f>
        <v/>
      </c>
      <c r="AV109" s="119">
        <f>IF(AO109="","",IF(AND(AO109="O",AP109="O",AR109="O",AT109="O",AU109="O"),"후보","X"))</f>
        <v/>
      </c>
    </row>
    <row r="110" ht="12" customFormat="1" customHeight="1" s="38">
      <c r="A110" s="122" t="inlineStr">
        <is>
          <t>용담동 가좌마을5단지부영</t>
        </is>
      </c>
      <c r="B110" s="123" t="inlineStr">
        <is>
          <t>04.06.</t>
        </is>
      </c>
      <c r="C110" s="131" t="n">
        <v>437</v>
      </c>
      <c r="D110" s="132" t="n">
        <v>113.6</v>
      </c>
      <c r="E110" s="133" t="n">
        <v>34</v>
      </c>
      <c r="F110" s="132" t="n">
        <v>85</v>
      </c>
      <c r="G110" s="17" t="n">
        <v>26</v>
      </c>
      <c r="H110" s="134" t="n">
        <v>437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113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 ht="12" customFormat="1" customHeight="1" s="38">
      <c r="A111" s="122" t="inlineStr">
        <is>
          <t>용담동 가좌마을용담세영첼시빌</t>
        </is>
      </c>
      <c r="B111" s="123" t="inlineStr">
        <is>
          <t>05.01.</t>
        </is>
      </c>
      <c r="C111" s="131" t="n">
        <v>568</v>
      </c>
      <c r="D111" s="132" t="n">
        <v>119.4</v>
      </c>
      <c r="E111" s="133" t="n">
        <v>36</v>
      </c>
      <c r="F111" s="132" t="n">
        <v>85</v>
      </c>
      <c r="G111" s="17" t="n">
        <v>26</v>
      </c>
      <c r="H111" s="134" t="n">
        <v>388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3</v>
      </c>
      <c r="R111" s="119" t="n">
        <v>2</v>
      </c>
      <c r="S111" s="119" t="inlineStr">
        <is>
          <t>계</t>
        </is>
      </c>
      <c r="T111" s="5" t="n">
        <v>119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 ht="12" customFormat="1" customHeight="1" s="38">
      <c r="A112" s="122" t="inlineStr">
        <is>
          <t>용담동 가좌마을용담세영첼시빌</t>
        </is>
      </c>
      <c r="B112" s="123" t="inlineStr">
        <is>
          <t>05.01.</t>
        </is>
      </c>
      <c r="C112" s="131" t="n">
        <v>568</v>
      </c>
      <c r="D112" s="132" t="n">
        <v>156</v>
      </c>
      <c r="E112" s="133" t="n">
        <v>47</v>
      </c>
      <c r="F112" s="132" t="n">
        <v>131.3</v>
      </c>
      <c r="G112" s="17" t="n">
        <v>40</v>
      </c>
      <c r="H112" s="134" t="n">
        <v>120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155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  <row r="113" ht="12" customFormat="1" customHeight="1" s="38">
      <c r="A113" s="122" t="inlineStr">
        <is>
          <t>용담동 가좌마을용담세영첼시빌</t>
        </is>
      </c>
      <c r="B113" s="123" t="inlineStr">
        <is>
          <t>05.01.</t>
        </is>
      </c>
      <c r="C113" s="131" t="n">
        <v>568</v>
      </c>
      <c r="D113" s="132" t="n">
        <v>184.5</v>
      </c>
      <c r="E113" s="133" t="n">
        <v>56</v>
      </c>
      <c r="F113" s="132" t="n">
        <v>157</v>
      </c>
      <c r="G113" s="17" t="n">
        <v>48</v>
      </c>
      <c r="H113" s="134" t="n">
        <v>60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4</v>
      </c>
      <c r="R113" s="119" t="n">
        <v>2</v>
      </c>
      <c r="S113" s="119" t="inlineStr">
        <is>
          <t>계</t>
        </is>
      </c>
      <c r="T113" s="5" t="n">
        <v>184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19">
        <f>S113</f>
        <v/>
      </c>
      <c r="AF113" s="119">
        <f>Q113&amp;"/"&amp;R113</f>
        <v/>
      </c>
      <c r="AH113" s="20">
        <f>IF(A113="","",A113)</f>
        <v/>
      </c>
      <c r="AI113" s="133">
        <f>IF(E113="","",E113)</f>
        <v/>
      </c>
      <c r="AJ113" s="119">
        <f>IF(AI113="","",$AJ$2)</f>
        <v/>
      </c>
      <c r="AK113" s="119" t="inlineStr">
        <is>
          <t>A</t>
        </is>
      </c>
      <c r="AL113" s="119" t="inlineStr">
        <is>
          <t>A+</t>
        </is>
      </c>
      <c r="AM113" s="119" t="inlineStr">
        <is>
          <t>B+</t>
        </is>
      </c>
      <c r="AN113" s="119">
        <f>IF(AI113="","",$AN$2)</f>
        <v/>
      </c>
      <c r="AO113" s="119">
        <f>IF(N113="","",IF(N113&gt;=$AO$1/100,"O","X"))</f>
        <v/>
      </c>
      <c r="AP113" s="119">
        <f>IF(I113="","",IF(I113&lt;=$AP$1,"O","X"))</f>
        <v/>
      </c>
      <c r="AQ113" s="119">
        <f>IF(O113="","",IF(O113&lt;=$AQ$1,"O","X"))</f>
        <v/>
      </c>
      <c r="AR113" s="119">
        <f>IF(M113="","",IF(M113&lt;=$AR$1,"O","X"))</f>
        <v/>
      </c>
      <c r="AS113" s="119" t="inlineStr">
        <is>
          <t>X</t>
        </is>
      </c>
      <c r="AT113" s="119">
        <f>IF(OR(F113="",AI113=""),"",IF(AND((F113&lt;=85),(AI113&gt;=15)),"O","X"))</f>
        <v/>
      </c>
      <c r="AU113" s="119">
        <f>IF(C113="","",IF(C113&gt;=$AU$1,"O","X"))</f>
        <v/>
      </c>
      <c r="AV113" s="119">
        <f>IF(AO113="","",IF(AND(AO113="O",AP113="O",AR113="O",AT113="O",AU113="O"),"후보","X"))</f>
        <v/>
      </c>
    </row>
    <row r="114" ht="12" customFormat="1" customHeight="1" s="38">
      <c r="A114" s="122" t="inlineStr">
        <is>
          <t>용담동 가좌마을부영그린타운1차</t>
        </is>
      </c>
      <c r="B114" s="123" t="inlineStr">
        <is>
          <t>03.07.</t>
        </is>
      </c>
      <c r="C114" s="131" t="n">
        <v>380</v>
      </c>
      <c r="D114" s="132" t="n">
        <v>106</v>
      </c>
      <c r="E114" s="133" t="n">
        <v>32</v>
      </c>
      <c r="F114" s="132" t="n">
        <v>85</v>
      </c>
      <c r="G114" s="17" t="n">
        <v>26</v>
      </c>
      <c r="H114" s="134" t="n">
        <v>380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n">
        <v>106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19">
        <f>S114</f>
        <v/>
      </c>
      <c r="AF114" s="119">
        <f>Q114&amp;"/"&amp;R114</f>
        <v/>
      </c>
      <c r="AH114" s="20">
        <f>IF(A114="","",A114)</f>
        <v/>
      </c>
      <c r="AI114" s="133">
        <f>IF(E114="","",E114)</f>
        <v/>
      </c>
      <c r="AJ114" s="119">
        <f>IF(AI114="","",$AJ$2)</f>
        <v/>
      </c>
      <c r="AK114" s="119" t="inlineStr">
        <is>
          <t>A</t>
        </is>
      </c>
      <c r="AL114" s="119" t="inlineStr">
        <is>
          <t>A+</t>
        </is>
      </c>
      <c r="AM114" s="119" t="inlineStr">
        <is>
          <t>B+</t>
        </is>
      </c>
      <c r="AN114" s="119">
        <f>IF(AI114="","",$AN$2)</f>
        <v/>
      </c>
      <c r="AO114" s="119">
        <f>IF(N114="","",IF(N114&gt;=$AO$1/100,"O","X"))</f>
        <v/>
      </c>
      <c r="AP114" s="119">
        <f>IF(I114="","",IF(I114&lt;=$AP$1,"O","X"))</f>
        <v/>
      </c>
      <c r="AQ114" s="119">
        <f>IF(O114="","",IF(O114&lt;=$AQ$1,"O","X"))</f>
        <v/>
      </c>
      <c r="AR114" s="119">
        <f>IF(M114="","",IF(M114&lt;=$AR$1,"O","X"))</f>
        <v/>
      </c>
      <c r="AS114" s="119" t="inlineStr">
        <is>
          <t>X</t>
        </is>
      </c>
      <c r="AT114" s="119">
        <f>IF(OR(F114="",AI114=""),"",IF(AND((F114&lt;=85),(AI114&gt;=15)),"O","X"))</f>
        <v/>
      </c>
      <c r="AU114" s="119">
        <f>IF(C114="","",IF(C114&gt;=$AU$1,"O","X"))</f>
        <v/>
      </c>
      <c r="AV114" s="119">
        <f>IF(AO114="","",IF(AND(AO114="O",AP114="O",AR114="O",AT114="O",AU114="O"),"후보","X"))</f>
        <v/>
      </c>
    </row>
    <row r="115" ht="12" customFormat="1" customHeight="1" s="38">
      <c r="A115" s="122" t="inlineStr">
        <is>
          <t>용담동 용담가좌마을e-편한세상</t>
        </is>
      </c>
      <c r="B115" s="123" t="inlineStr">
        <is>
          <t>04.10.</t>
        </is>
      </c>
      <c r="C115" s="131" t="n">
        <v>421</v>
      </c>
      <c r="D115" s="132" t="n">
        <v>130.1</v>
      </c>
      <c r="E115" s="133" t="n">
        <v>39</v>
      </c>
      <c r="F115" s="132" t="n">
        <v>107.3</v>
      </c>
      <c r="G115" s="17" t="n">
        <v>32</v>
      </c>
      <c r="H115" s="134" t="n">
        <v>174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3</v>
      </c>
      <c r="R115" s="119" t="n">
        <v>2</v>
      </c>
      <c r="S115" s="119" t="inlineStr">
        <is>
          <t>계</t>
        </is>
      </c>
      <c r="T115" s="5" t="inlineStr">
        <is>
          <t>130A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19">
        <f>S115</f>
        <v/>
      </c>
      <c r="AF115" s="119">
        <f>Q115&amp;"/"&amp;R115</f>
        <v/>
      </c>
      <c r="AH115" s="20">
        <f>IF(A115="","",A115)</f>
        <v/>
      </c>
      <c r="AI115" s="133">
        <f>IF(E115="","",E115)</f>
        <v/>
      </c>
      <c r="AJ115" s="119">
        <f>IF(AI115="","",$AJ$2)</f>
        <v/>
      </c>
      <c r="AK115" s="119" t="inlineStr">
        <is>
          <t>A</t>
        </is>
      </c>
      <c r="AL115" s="119" t="inlineStr">
        <is>
          <t>A+</t>
        </is>
      </c>
      <c r="AM115" s="119" t="inlineStr">
        <is>
          <t>B+</t>
        </is>
      </c>
      <c r="AN115" s="119">
        <f>IF(AI115="","",$AN$2)</f>
        <v/>
      </c>
      <c r="AO115" s="119">
        <f>IF(N115="","",IF(N115&gt;=$AO$1/100,"O","X"))</f>
        <v/>
      </c>
      <c r="AP115" s="119">
        <f>IF(I115="","",IF(I115&lt;=$AP$1,"O","X"))</f>
        <v/>
      </c>
      <c r="AQ115" s="119">
        <f>IF(O115="","",IF(O115&lt;=$AQ$1,"O","X"))</f>
        <v/>
      </c>
      <c r="AR115" s="119">
        <f>IF(M115="","",IF(M115&lt;=$AR$1,"O","X"))</f>
        <v/>
      </c>
      <c r="AS115" s="119" t="inlineStr">
        <is>
          <t>X</t>
        </is>
      </c>
      <c r="AT115" s="119">
        <f>IF(OR(F115="",AI115=""),"",IF(AND((F115&lt;=85),(AI115&gt;=15)),"O","X"))</f>
        <v/>
      </c>
      <c r="AU115" s="119">
        <f>IF(C115="","",IF(C115&gt;=$AU$1,"O","X"))</f>
        <v/>
      </c>
      <c r="AV115" s="119">
        <f>IF(AO115="","",IF(AND(AO115="O",AP115="O",AR115="O",AT115="O",AU115="O"),"후보","X"))</f>
        <v/>
      </c>
    </row>
    <row r="116" ht="12" customFormat="1" customHeight="1" s="38">
      <c r="A116" s="122" t="inlineStr">
        <is>
          <t>용담동 용담가좌마을e-편한세상</t>
        </is>
      </c>
      <c r="B116" s="123" t="inlineStr">
        <is>
          <t>04.10.</t>
        </is>
      </c>
      <c r="C116" s="131" t="n">
        <v>421</v>
      </c>
      <c r="D116" s="132" t="n">
        <v>130.5</v>
      </c>
      <c r="E116" s="133" t="n">
        <v>39</v>
      </c>
      <c r="F116" s="132" t="n">
        <v>107.6</v>
      </c>
      <c r="G116" s="17" t="n">
        <v>33</v>
      </c>
      <c r="H116" s="134" t="n">
        <v>13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inlineStr">
        <is>
          <t>130B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19">
        <f>S116</f>
        <v/>
      </c>
      <c r="AF116" s="119">
        <f>Q116&amp;"/"&amp;R116</f>
        <v/>
      </c>
      <c r="AH116" s="20">
        <f>IF(A116="","",A116)</f>
        <v/>
      </c>
      <c r="AI116" s="133">
        <f>IF(E116="","",E116)</f>
        <v/>
      </c>
      <c r="AJ116" s="119">
        <f>IF(AI116="","",$AJ$2)</f>
        <v/>
      </c>
      <c r="AK116" s="119" t="inlineStr">
        <is>
          <t>A</t>
        </is>
      </c>
      <c r="AL116" s="119" t="inlineStr">
        <is>
          <t>A+</t>
        </is>
      </c>
      <c r="AM116" s="119" t="inlineStr">
        <is>
          <t>B+</t>
        </is>
      </c>
      <c r="AN116" s="119">
        <f>IF(AI116="","",$AN$2)</f>
        <v/>
      </c>
      <c r="AO116" s="119">
        <f>IF(N116="","",IF(N116&gt;=$AO$1/100,"O","X"))</f>
        <v/>
      </c>
      <c r="AP116" s="119">
        <f>IF(I116="","",IF(I116&lt;=$AP$1,"O","X"))</f>
        <v/>
      </c>
      <c r="AQ116" s="119">
        <f>IF(O116="","",IF(O116&lt;=$AQ$1,"O","X"))</f>
        <v/>
      </c>
      <c r="AR116" s="119">
        <f>IF(M116="","",IF(M116&lt;=$AR$1,"O","X"))</f>
        <v/>
      </c>
      <c r="AS116" s="119" t="inlineStr">
        <is>
          <t>X</t>
        </is>
      </c>
      <c r="AT116" s="119">
        <f>IF(OR(F116="",AI116=""),"",IF(AND((F116&lt;=85),(AI116&gt;=15)),"O","X"))</f>
        <v/>
      </c>
      <c r="AU116" s="119">
        <f>IF(C116="","",IF(C116&gt;=$AU$1,"O","X"))</f>
        <v/>
      </c>
      <c r="AV116" s="119">
        <f>IF(AO116="","",IF(AND(AO116="O",AP116="O",AR116="O",AT116="O",AU116="O"),"후보","X"))</f>
        <v/>
      </c>
    </row>
    <row r="117" ht="12" customFormat="1" customHeight="1" s="38">
      <c r="A117" s="122" t="inlineStr">
        <is>
          <t>용담동 용담가좌마을e-편한세상</t>
        </is>
      </c>
      <c r="B117" s="123" t="inlineStr">
        <is>
          <t>04.10.</t>
        </is>
      </c>
      <c r="C117" s="131" t="n">
        <v>421</v>
      </c>
      <c r="D117" s="132" t="n">
        <v>161.7</v>
      </c>
      <c r="E117" s="133" t="n">
        <v>49</v>
      </c>
      <c r="F117" s="132" t="n">
        <v>139.2</v>
      </c>
      <c r="G117" s="17" t="n">
        <v>42</v>
      </c>
      <c r="H117" s="134" t="n">
        <v>176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4</v>
      </c>
      <c r="R117" s="119" t="n">
        <v>2</v>
      </c>
      <c r="S117" s="119" t="inlineStr">
        <is>
          <t>계</t>
        </is>
      </c>
      <c r="T117" s="5" t="n">
        <v>161</v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19">
        <f>S117</f>
        <v/>
      </c>
      <c r="AF117" s="119">
        <f>Q117&amp;"/"&amp;R117</f>
        <v/>
      </c>
      <c r="AH117" s="20">
        <f>IF(A117="","",A117)</f>
        <v/>
      </c>
      <c r="AI117" s="133">
        <f>IF(E117="","",E117)</f>
        <v/>
      </c>
      <c r="AJ117" s="119">
        <f>IF(AI117="","",$AJ$2)</f>
        <v/>
      </c>
      <c r="AK117" s="119" t="inlineStr">
        <is>
          <t>A</t>
        </is>
      </c>
      <c r="AL117" s="119" t="inlineStr">
        <is>
          <t>A+</t>
        </is>
      </c>
      <c r="AM117" s="119" t="inlineStr">
        <is>
          <t>B+</t>
        </is>
      </c>
      <c r="AN117" s="119">
        <f>IF(AI117="","",$AN$2)</f>
        <v/>
      </c>
      <c r="AO117" s="119">
        <f>IF(N117="","",IF(N117&gt;=$AO$1/100,"O","X"))</f>
        <v/>
      </c>
      <c r="AP117" s="119">
        <f>IF(I117="","",IF(I117&lt;=$AP$1,"O","X"))</f>
        <v/>
      </c>
      <c r="AQ117" s="119">
        <f>IF(O117="","",IF(O117&lt;=$AQ$1,"O","X"))</f>
        <v/>
      </c>
      <c r="AR117" s="119">
        <f>IF(M117="","",IF(M117&lt;=$AR$1,"O","X"))</f>
        <v/>
      </c>
      <c r="AS117" s="119" t="inlineStr">
        <is>
          <t>X</t>
        </is>
      </c>
      <c r="AT117" s="119">
        <f>IF(OR(F117="",AI117=""),"",IF(AND((F117&lt;=85),(AI117&gt;=15)),"O","X"))</f>
        <v/>
      </c>
      <c r="AU117" s="119">
        <f>IF(C117="","",IF(C117&gt;=$AU$1,"O","X"))</f>
        <v/>
      </c>
      <c r="AV117" s="119">
        <f>IF(AO117="","",IF(AND(AO117="O",AP117="O",AR117="O",AT117="O",AU117="O"),"후보","X"))</f>
        <v/>
      </c>
    </row>
    <row r="118" ht="12" customFormat="1" customHeight="1" s="38">
      <c r="A118" s="122" t="inlineStr">
        <is>
          <t>용담동 용담가좌마을e-편한세상</t>
        </is>
      </c>
      <c r="B118" s="123" t="inlineStr">
        <is>
          <t>04.10.</t>
        </is>
      </c>
      <c r="C118" s="131" t="n">
        <v>421</v>
      </c>
      <c r="D118" s="132" t="n">
        <v>190.2</v>
      </c>
      <c r="E118" s="133" t="n">
        <v>58</v>
      </c>
      <c r="F118" s="132" t="n">
        <v>167.6</v>
      </c>
      <c r="G118" s="17" t="n">
        <v>51</v>
      </c>
      <c r="H118" s="134" t="n">
        <v>58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190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19">
        <f>S118</f>
        <v/>
      </c>
      <c r="AF118" s="119">
        <f>Q118&amp;"/"&amp;R118</f>
        <v/>
      </c>
      <c r="AH118" s="20">
        <f>IF(A118="","",A118)</f>
        <v/>
      </c>
      <c r="AI118" s="133">
        <f>IF(E118="","",E118)</f>
        <v/>
      </c>
      <c r="AJ118" s="119">
        <f>IF(AI118="","",$AJ$2)</f>
        <v/>
      </c>
      <c r="AK118" s="119" t="inlineStr">
        <is>
          <t>A</t>
        </is>
      </c>
      <c r="AL118" s="119" t="inlineStr">
        <is>
          <t>A+</t>
        </is>
      </c>
      <c r="AM118" s="119" t="inlineStr">
        <is>
          <t>B+</t>
        </is>
      </c>
      <c r="AN118" s="119">
        <f>IF(AI118="","",$AN$2)</f>
        <v/>
      </c>
      <c r="AO118" s="119">
        <f>IF(N118="","",IF(N118&gt;=$AO$1/100,"O","X"))</f>
        <v/>
      </c>
      <c r="AP118" s="119">
        <f>IF(I118="","",IF(I118&lt;=$AP$1,"O","X"))</f>
        <v/>
      </c>
      <c r="AQ118" s="119">
        <f>IF(O118="","",IF(O118&lt;=$AQ$1,"O","X"))</f>
        <v/>
      </c>
      <c r="AR118" s="119">
        <f>IF(M118="","",IF(M118&lt;=$AR$1,"O","X"))</f>
        <v/>
      </c>
      <c r="AS118" s="119" t="inlineStr">
        <is>
          <t>X</t>
        </is>
      </c>
      <c r="AT118" s="119">
        <f>IF(OR(F118="",AI118=""),"",IF(AND((F118&lt;=85),(AI118&gt;=15)),"O","X"))</f>
        <v/>
      </c>
      <c r="AU118" s="119">
        <f>IF(C118="","",IF(C118&gt;=$AU$1,"O","X"))</f>
        <v/>
      </c>
      <c r="AV118" s="119">
        <f>IF(AO118="","",IF(AND(AO118="O",AP118="O",AR118="O",AT118="O",AU118="O"),"후보","X"))</f>
        <v/>
      </c>
    </row>
    <row r="119" ht="12" customFormat="1" customHeight="1" s="38">
      <c r="A119" s="122" t="inlineStr">
        <is>
          <t>용담동 우미린에듀파크2단지</t>
        </is>
      </c>
      <c r="B119" s="123" t="inlineStr">
        <is>
          <t>18.02.</t>
        </is>
      </c>
      <c r="C119" s="131" t="n">
        <v>901</v>
      </c>
      <c r="D119" s="132" t="n">
        <v>97.90000000000001</v>
      </c>
      <c r="E119" s="133" t="n">
        <v>30</v>
      </c>
      <c r="F119" s="132" t="n">
        <v>72.90000000000001</v>
      </c>
      <c r="G119" s="17" t="n">
        <v>22</v>
      </c>
      <c r="H119" s="134" t="n">
        <v>93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3</v>
      </c>
      <c r="R119" s="119" t="n">
        <v>2</v>
      </c>
      <c r="S119" s="119" t="inlineStr">
        <is>
          <t>계</t>
        </is>
      </c>
      <c r="T119" s="5" t="n">
        <v>97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19">
        <f>S119</f>
        <v/>
      </c>
      <c r="AF119" s="119">
        <f>Q119&amp;"/"&amp;R119</f>
        <v/>
      </c>
      <c r="AH119" s="20">
        <f>IF(A119="","",A119)</f>
        <v/>
      </c>
      <c r="AI119" s="133">
        <f>IF(E119="","",E119)</f>
        <v/>
      </c>
      <c r="AJ119" s="119">
        <f>IF(AI119="","",$AJ$2)</f>
        <v/>
      </c>
      <c r="AK119" s="119" t="inlineStr">
        <is>
          <t>A</t>
        </is>
      </c>
      <c r="AL119" s="119" t="inlineStr">
        <is>
          <t>A+</t>
        </is>
      </c>
      <c r="AM119" s="119" t="inlineStr">
        <is>
          <t>B+</t>
        </is>
      </c>
      <c r="AN119" s="119">
        <f>IF(AI119="","",$AN$2)</f>
        <v/>
      </c>
      <c r="AO119" s="119">
        <f>IF(N119="","",IF(N119&gt;=$AO$1/100,"O","X"))</f>
        <v/>
      </c>
      <c r="AP119" s="119">
        <f>IF(I119="","",IF(I119&lt;=$AP$1,"O","X"))</f>
        <v/>
      </c>
      <c r="AQ119" s="119">
        <f>IF(O119="","",IF(O119&lt;=$AQ$1,"O","X"))</f>
        <v/>
      </c>
      <c r="AR119" s="119">
        <f>IF(M119="","",IF(M119&lt;=$AR$1,"O","X"))</f>
        <v/>
      </c>
      <c r="AS119" s="119" t="inlineStr">
        <is>
          <t>X</t>
        </is>
      </c>
      <c r="AT119" s="119">
        <f>IF(OR(F119="",AI119=""),"",IF(AND((F119&lt;=85),(AI119&gt;=15)),"O","X"))</f>
        <v/>
      </c>
      <c r="AU119" s="119">
        <f>IF(C119="","",IF(C119&gt;=$AU$1,"O","X"))</f>
        <v/>
      </c>
      <c r="AV119" s="119">
        <f>IF(AO119="","",IF(AND(AO119="O",AP119="O",AR119="O",AT119="O",AU119="O"),"후보","X"))</f>
        <v/>
      </c>
    </row>
    <row r="120" ht="12" customFormat="1" customHeight="1" s="38">
      <c r="A120" s="122" t="inlineStr">
        <is>
          <t>용담동 우미린에듀파크2단지</t>
        </is>
      </c>
      <c r="B120" s="123" t="inlineStr">
        <is>
          <t>18.02.</t>
        </is>
      </c>
      <c r="C120" s="131" t="n">
        <v>901</v>
      </c>
      <c r="D120" s="132" t="n">
        <v>111.2</v>
      </c>
      <c r="E120" s="133" t="n">
        <v>34</v>
      </c>
      <c r="F120" s="132" t="n">
        <v>85</v>
      </c>
      <c r="G120" s="17" t="n">
        <v>26</v>
      </c>
      <c r="H120" s="134" t="n">
        <v>280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inlineStr">
        <is>
          <t>111A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19">
        <f>S120</f>
        <v/>
      </c>
      <c r="AF120" s="119">
        <f>Q120&amp;"/"&amp;R120</f>
        <v/>
      </c>
      <c r="AH120" s="20">
        <f>IF(A120="","",A120)</f>
        <v/>
      </c>
      <c r="AI120" s="133">
        <f>IF(E120="","",E120)</f>
        <v/>
      </c>
      <c r="AJ120" s="119">
        <f>IF(AI120="","",$AJ$2)</f>
        <v/>
      </c>
      <c r="AK120" s="119" t="inlineStr">
        <is>
          <t>A</t>
        </is>
      </c>
      <c r="AL120" s="119" t="inlineStr">
        <is>
          <t>A+</t>
        </is>
      </c>
      <c r="AM120" s="119" t="inlineStr">
        <is>
          <t>B+</t>
        </is>
      </c>
      <c r="AN120" s="119">
        <f>IF(AI120="","",$AN$2)</f>
        <v/>
      </c>
      <c r="AO120" s="119">
        <f>IF(N120="","",IF(N120&gt;=$AO$1/100,"O","X"))</f>
        <v/>
      </c>
      <c r="AP120" s="119">
        <f>IF(I120="","",IF(I120&lt;=$AP$1,"O","X"))</f>
        <v/>
      </c>
      <c r="AQ120" s="119">
        <f>IF(O120="","",IF(O120&lt;=$AQ$1,"O","X"))</f>
        <v/>
      </c>
      <c r="AR120" s="119">
        <f>IF(M120="","",IF(M120&lt;=$AR$1,"O","X"))</f>
        <v/>
      </c>
      <c r="AS120" s="119" t="inlineStr">
        <is>
          <t>X</t>
        </is>
      </c>
      <c r="AT120" s="119">
        <f>IF(OR(F120="",AI120=""),"",IF(AND((F120&lt;=85),(AI120&gt;=15)),"O","X"))</f>
        <v/>
      </c>
      <c r="AU120" s="119">
        <f>IF(C120="","",IF(C120&gt;=$AU$1,"O","X"))</f>
        <v/>
      </c>
      <c r="AV120" s="119">
        <f>IF(AO120="","",IF(AND(AO120="O",AP120="O",AR120="O",AT120="O",AU120="O"),"후보","X"))</f>
        <v/>
      </c>
    </row>
    <row r="121" ht="12" customFormat="1" customHeight="1" s="38">
      <c r="A121" s="122" t="inlineStr">
        <is>
          <t>용담동 우미린에듀파크2단지</t>
        </is>
      </c>
      <c r="B121" s="123" t="inlineStr">
        <is>
          <t>18.02.</t>
        </is>
      </c>
      <c r="C121" s="131" t="n">
        <v>901</v>
      </c>
      <c r="D121" s="132" t="n">
        <v>111.9</v>
      </c>
      <c r="E121" s="133" t="n">
        <v>34</v>
      </c>
      <c r="F121" s="132" t="n">
        <v>85</v>
      </c>
      <c r="G121" s="17" t="n">
        <v>26</v>
      </c>
      <c r="H121" s="134" t="n">
        <v>189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111B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19">
        <f>S121</f>
        <v/>
      </c>
      <c r="AF121" s="119">
        <f>Q121&amp;"/"&amp;R121</f>
        <v/>
      </c>
      <c r="AH121" s="20">
        <f>IF(A121="","",A121)</f>
        <v/>
      </c>
      <c r="AI121" s="133">
        <f>IF(E121="","",E121)</f>
        <v/>
      </c>
      <c r="AJ121" s="119">
        <f>IF(AI121="","",$AJ$2)</f>
        <v/>
      </c>
      <c r="AK121" s="119" t="inlineStr">
        <is>
          <t>A</t>
        </is>
      </c>
      <c r="AL121" s="119" t="inlineStr">
        <is>
          <t>A+</t>
        </is>
      </c>
      <c r="AM121" s="119" t="inlineStr">
        <is>
          <t>B+</t>
        </is>
      </c>
      <c r="AN121" s="119">
        <f>IF(AI121="","",$AN$2)</f>
        <v/>
      </c>
      <c r="AO121" s="119">
        <f>IF(N121="","",IF(N121&gt;=$AO$1/100,"O","X"))</f>
        <v/>
      </c>
      <c r="AP121" s="119">
        <f>IF(I121="","",IF(I121&lt;=$AP$1,"O","X"))</f>
        <v/>
      </c>
      <c r="AQ121" s="119">
        <f>IF(O121="","",IF(O121&lt;=$AQ$1,"O","X"))</f>
        <v/>
      </c>
      <c r="AR121" s="119">
        <f>IF(M121="","",IF(M121&lt;=$AR$1,"O","X"))</f>
        <v/>
      </c>
      <c r="AS121" s="119" t="inlineStr">
        <is>
          <t>X</t>
        </is>
      </c>
      <c r="AT121" s="119">
        <f>IF(OR(F121="",AI121=""),"",IF(AND((F121&lt;=85),(AI121&gt;=15)),"O","X"))</f>
        <v/>
      </c>
      <c r="AU121" s="119">
        <f>IF(C121="","",IF(C121&gt;=$AU$1,"O","X"))</f>
        <v/>
      </c>
      <c r="AV121" s="119">
        <f>IF(AO121="","",IF(AND(AO121="O",AP121="O",AR121="O",AT121="O",AU121="O"),"후보","X"))</f>
        <v/>
      </c>
    </row>
    <row r="122" ht="12" customFormat="1" customHeight="1" s="38">
      <c r="A122" s="122" t="inlineStr">
        <is>
          <t>용담동 우미린에듀파크2단지</t>
        </is>
      </c>
      <c r="B122" s="123" t="inlineStr">
        <is>
          <t>18.02.</t>
        </is>
      </c>
      <c r="C122" s="131" t="n">
        <v>901</v>
      </c>
      <c r="D122" s="132" t="n">
        <v>112.2</v>
      </c>
      <c r="E122" s="133" t="n">
        <v>34</v>
      </c>
      <c r="F122" s="132" t="n">
        <v>85</v>
      </c>
      <c r="G122" s="17" t="n">
        <v>26</v>
      </c>
      <c r="H122" s="134" t="n">
        <v>231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3</v>
      </c>
      <c r="R122" s="119" t="n">
        <v>2</v>
      </c>
      <c r="S122" s="119" t="inlineStr">
        <is>
          <t>계</t>
        </is>
      </c>
      <c r="T122" s="5" t="inlineStr">
        <is>
          <t>112D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19">
        <f>S122</f>
        <v/>
      </c>
      <c r="AF122" s="119">
        <f>Q122&amp;"/"&amp;R122</f>
        <v/>
      </c>
      <c r="AH122" s="20">
        <f>IF(A122="","",A122)</f>
        <v/>
      </c>
      <c r="AI122" s="133">
        <f>IF(E122="","",E122)</f>
        <v/>
      </c>
      <c r="AJ122" s="119">
        <f>IF(AI122="","",$AJ$2)</f>
        <v/>
      </c>
      <c r="AK122" s="119" t="inlineStr">
        <is>
          <t>A</t>
        </is>
      </c>
      <c r="AL122" s="119" t="inlineStr">
        <is>
          <t>A+</t>
        </is>
      </c>
      <c r="AM122" s="119" t="inlineStr">
        <is>
          <t>B+</t>
        </is>
      </c>
      <c r="AN122" s="119">
        <f>IF(AI122="","",$AN$2)</f>
        <v/>
      </c>
      <c r="AO122" s="119">
        <f>IF(N122="","",IF(N122&gt;=$AO$1/100,"O","X"))</f>
        <v/>
      </c>
      <c r="AP122" s="119">
        <f>IF(I122="","",IF(I122&lt;=$AP$1,"O","X"))</f>
        <v/>
      </c>
      <c r="AQ122" s="119">
        <f>IF(O122="","",IF(O122&lt;=$AQ$1,"O","X"))</f>
        <v/>
      </c>
      <c r="AR122" s="119">
        <f>IF(M122="","",IF(M122&lt;=$AR$1,"O","X"))</f>
        <v/>
      </c>
      <c r="AS122" s="119" t="inlineStr">
        <is>
          <t>X</t>
        </is>
      </c>
      <c r="AT122" s="119">
        <f>IF(OR(F122="",AI122=""),"",IF(AND((F122&lt;=85),(AI122&gt;=15)),"O","X"))</f>
        <v/>
      </c>
      <c r="AU122" s="119">
        <f>IF(C122="","",IF(C122&gt;=$AU$1,"O","X"))</f>
        <v/>
      </c>
      <c r="AV122" s="119">
        <f>IF(AO122="","",IF(AND(AO122="O",AP122="O",AR122="O",AT122="O",AU122="O"),"후보","X"))</f>
        <v/>
      </c>
    </row>
    <row r="123" ht="12" customFormat="1" customHeight="1" s="38">
      <c r="A123" s="122" t="inlineStr">
        <is>
          <t>용담동 우미린에듀파크2단지</t>
        </is>
      </c>
      <c r="B123" s="123" t="inlineStr">
        <is>
          <t>18.02.</t>
        </is>
      </c>
      <c r="C123" s="131" t="n">
        <v>901</v>
      </c>
      <c r="D123" s="132" t="n">
        <v>112.1</v>
      </c>
      <c r="E123" s="133" t="n">
        <v>34</v>
      </c>
      <c r="F123" s="132" t="n">
        <v>85</v>
      </c>
      <c r="G123" s="17" t="n">
        <v>26</v>
      </c>
      <c r="H123" s="134" t="n">
        <v>18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3</v>
      </c>
      <c r="R123" s="119" t="n">
        <v>2</v>
      </c>
      <c r="S123" s="119" t="inlineStr">
        <is>
          <t>계</t>
        </is>
      </c>
      <c r="T123" s="5" t="inlineStr">
        <is>
          <t>112C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19">
        <f>S123</f>
        <v/>
      </c>
      <c r="AF123" s="119">
        <f>Q123&amp;"/"&amp;R123</f>
        <v/>
      </c>
      <c r="AH123" s="20">
        <f>IF(A123="","",A123)</f>
        <v/>
      </c>
      <c r="AI123" s="133">
        <f>IF(E123="","",E123)</f>
        <v/>
      </c>
      <c r="AJ123" s="119">
        <f>IF(AI123="","",$AJ$2)</f>
        <v/>
      </c>
      <c r="AK123" s="119" t="inlineStr">
        <is>
          <t>A</t>
        </is>
      </c>
      <c r="AL123" s="119" t="inlineStr">
        <is>
          <t>A+</t>
        </is>
      </c>
      <c r="AM123" s="119" t="inlineStr">
        <is>
          <t>B+</t>
        </is>
      </c>
      <c r="AN123" s="119">
        <f>IF(AI123="","",$AN$2)</f>
        <v/>
      </c>
      <c r="AO123" s="119">
        <f>IF(N123="","",IF(N123&gt;=$AO$1/100,"O","X"))</f>
        <v/>
      </c>
      <c r="AP123" s="119">
        <f>IF(I123="","",IF(I123&lt;=$AP$1,"O","X"))</f>
        <v/>
      </c>
      <c r="AQ123" s="119">
        <f>IF(O123="","",IF(O123&lt;=$AQ$1,"O","X"))</f>
        <v/>
      </c>
      <c r="AR123" s="119">
        <f>IF(M123="","",IF(M123&lt;=$AR$1,"O","X"))</f>
        <v/>
      </c>
      <c r="AS123" s="119" t="inlineStr">
        <is>
          <t>X</t>
        </is>
      </c>
      <c r="AT123" s="119">
        <f>IF(OR(F123="",AI123=""),"",IF(AND((F123&lt;=85),(AI123&gt;=15)),"O","X"))</f>
        <v/>
      </c>
      <c r="AU123" s="119">
        <f>IF(C123="","",IF(C123&gt;=$AU$1,"O","X"))</f>
        <v/>
      </c>
      <c r="AV123" s="119">
        <f>IF(AO123="","",IF(AND(AO123="O",AP123="O",AR123="O",AT123="O",AU123="O"),"후보","X"))</f>
        <v/>
      </c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141.8</v>
      </c>
      <c r="E124" s="133" t="n">
        <v>43</v>
      </c>
      <c r="F124" s="132" t="n">
        <v>113.9</v>
      </c>
      <c r="G124" s="17" t="n">
        <v>34</v>
      </c>
      <c r="H124" s="134" t="n">
        <v>90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4</v>
      </c>
      <c r="R124" s="119" t="n">
        <v>2</v>
      </c>
      <c r="S124" s="119" t="inlineStr">
        <is>
          <t>계</t>
        </is>
      </c>
      <c r="T124" s="5" t="n">
        <v>141</v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19">
        <f>S124</f>
        <v/>
      </c>
      <c r="AF124" s="119">
        <f>Q124&amp;"/"&amp;R124</f>
        <v/>
      </c>
      <c r="AH124" s="20">
        <f>IF(A124="","",A124)</f>
        <v/>
      </c>
      <c r="AI124" s="133">
        <f>IF(E124="","",E124)</f>
        <v/>
      </c>
      <c r="AJ124" s="119">
        <f>IF(AI124="","",$AJ$2)</f>
        <v/>
      </c>
      <c r="AK124" s="119" t="inlineStr">
        <is>
          <t>A</t>
        </is>
      </c>
      <c r="AL124" s="119" t="inlineStr">
        <is>
          <t>A+</t>
        </is>
      </c>
      <c r="AM124" s="119" t="inlineStr">
        <is>
          <t>B+</t>
        </is>
      </c>
      <c r="AN124" s="119">
        <f>IF(AI124="","",$AN$2)</f>
        <v/>
      </c>
      <c r="AO124" s="119">
        <f>IF(N124="","",IF(N124&gt;=$AO$1/100,"O","X"))</f>
        <v/>
      </c>
      <c r="AP124" s="119">
        <f>IF(I124="","",IF(I124&lt;=$AP$1,"O","X"))</f>
        <v/>
      </c>
      <c r="AQ124" s="119">
        <f>IF(O124="","",IF(O124&lt;=$AQ$1,"O","X"))</f>
        <v/>
      </c>
      <c r="AR124" s="119">
        <f>IF(M124="","",IF(M124&lt;=$AR$1,"O","X"))</f>
        <v/>
      </c>
      <c r="AS124" s="119" t="inlineStr">
        <is>
          <t>X</t>
        </is>
      </c>
      <c r="AT124" s="119">
        <f>IF(OR(F124="",AI124=""),"",IF(AND((F124&lt;=85),(AI124&gt;=15)),"O","X"))</f>
        <v/>
      </c>
      <c r="AU124" s="119">
        <f>IF(C124="","",IF(C124&gt;=$AU$1,"O","X"))</f>
        <v/>
      </c>
      <c r="AV124" s="119">
        <f>IF(AO124="","",IF(AND(AO124="O",AP124="O",AR124="O",AT124="O",AU124="O"),"후보","X"))</f>
        <v/>
      </c>
    </row>
    <row r="125" ht="12" customFormat="1" customHeight="1" s="38">
      <c r="A125" s="122" t="inlineStr">
        <is>
          <t>용담동 가좌마을2단지부영</t>
        </is>
      </c>
      <c r="B125" s="123" t="inlineStr">
        <is>
          <t>03.07.</t>
        </is>
      </c>
      <c r="C125" s="131" t="n">
        <v>569</v>
      </c>
      <c r="D125" s="132" t="n">
        <v>78</v>
      </c>
      <c r="E125" s="133" t="n">
        <v>24</v>
      </c>
      <c r="F125" s="132" t="n">
        <v>60</v>
      </c>
      <c r="G125" s="17" t="n">
        <v>18</v>
      </c>
      <c r="H125" s="134" t="n">
        <v>569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n">
        <v>77</v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19">
        <f>S125</f>
        <v/>
      </c>
      <c r="AF125" s="119">
        <f>Q125&amp;"/"&amp;R125</f>
        <v/>
      </c>
      <c r="AH125" s="20">
        <f>IF(A125="","",A125)</f>
        <v/>
      </c>
      <c r="AI125" s="133">
        <f>IF(E125="","",E125)</f>
        <v/>
      </c>
      <c r="AJ125" s="119">
        <f>IF(AI125="","",$AJ$2)</f>
        <v/>
      </c>
      <c r="AK125" s="119" t="inlineStr">
        <is>
          <t>A</t>
        </is>
      </c>
      <c r="AL125" s="119" t="inlineStr">
        <is>
          <t>A+</t>
        </is>
      </c>
      <c r="AM125" s="119" t="inlineStr">
        <is>
          <t>B+</t>
        </is>
      </c>
      <c r="AN125" s="119">
        <f>IF(AI125="","",$AN$2)</f>
        <v/>
      </c>
      <c r="AO125" s="119">
        <f>IF(N125="","",IF(N125&gt;=$AO$1/100,"O","X"))</f>
        <v/>
      </c>
      <c r="AP125" s="119">
        <f>IF(I125="","",IF(I125&lt;=$AP$1,"O","X"))</f>
        <v/>
      </c>
      <c r="AQ125" s="119">
        <f>IF(O125="","",IF(O125&lt;=$AQ$1,"O","X"))</f>
        <v/>
      </c>
      <c r="AR125" s="119">
        <f>IF(M125="","",IF(M125&lt;=$AR$1,"O","X"))</f>
        <v/>
      </c>
      <c r="AS125" s="119" t="inlineStr">
        <is>
          <t>X</t>
        </is>
      </c>
      <c r="AT125" s="119">
        <f>IF(OR(F125="",AI125=""),"",IF(AND((F125&lt;=85),(AI125&gt;=15)),"O","X"))</f>
        <v/>
      </c>
      <c r="AU125" s="119">
        <f>IF(C125="","",IF(C125&gt;=$AU$1,"O","X"))</f>
        <v/>
      </c>
      <c r="AV125" s="119">
        <f>IF(AO125="","",IF(AND(AO125="O",AP125="O",AR125="O",AT125="O",AU125="O"),"후보","X"))</f>
        <v/>
      </c>
    </row>
    <row r="126" ht="12" customFormat="1" customHeight="1" s="38">
      <c r="A126" s="122" t="inlineStr">
        <is>
          <t>용암동 건영</t>
        </is>
      </c>
      <c r="B126" s="123" t="inlineStr">
        <is>
          <t>99.04.</t>
        </is>
      </c>
      <c r="C126" s="131" t="n">
        <v>1046</v>
      </c>
      <c r="D126" s="132" t="n">
        <v>106.7</v>
      </c>
      <c r="E126" s="133" t="n">
        <v>32</v>
      </c>
      <c r="F126" s="132" t="n">
        <v>84.90000000000001</v>
      </c>
      <c r="G126" s="17" t="n">
        <v>26</v>
      </c>
      <c r="H126" s="134" t="n">
        <v>416</v>
      </c>
      <c r="I126" s="135" t="n">
        <v>23000</v>
      </c>
      <c r="J126" s="135" t="inlineStr">
        <is>
          <t>13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3</v>
      </c>
      <c r="R126" s="119" t="n">
        <v>2</v>
      </c>
      <c r="S126" s="119" t="inlineStr">
        <is>
          <t>계</t>
        </is>
      </c>
      <c r="T126" s="5" t="n">
        <v>106</v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19">
        <f>S126</f>
        <v/>
      </c>
      <c r="AF126" s="119">
        <f>Q126&amp;"/"&amp;R126</f>
        <v/>
      </c>
      <c r="AH126" s="20">
        <f>IF(A126="","",A126)</f>
        <v/>
      </c>
      <c r="AI126" s="133">
        <f>IF(E126="","",E126)</f>
        <v/>
      </c>
      <c r="AJ126" s="119">
        <f>IF(AI126="","",$AJ$2)</f>
        <v/>
      </c>
      <c r="AK126" s="119" t="inlineStr">
        <is>
          <t>A</t>
        </is>
      </c>
      <c r="AL126" s="119" t="inlineStr">
        <is>
          <t>A+</t>
        </is>
      </c>
      <c r="AM126" s="119" t="inlineStr">
        <is>
          <t>B+</t>
        </is>
      </c>
      <c r="AN126" s="119">
        <f>IF(AI126="","",$AN$2)</f>
        <v/>
      </c>
      <c r="AO126" s="119">
        <f>IF(N126="","",IF(N126&gt;=$AO$1/100,"O","X"))</f>
        <v/>
      </c>
      <c r="AP126" s="119">
        <f>IF(I126="","",IF(I126&lt;=$AP$1,"O","X"))</f>
        <v/>
      </c>
      <c r="AQ126" s="119">
        <f>IF(O126="","",IF(O126&lt;=$AQ$1,"O","X"))</f>
        <v/>
      </c>
      <c r="AR126" s="119">
        <f>IF(M126="","",IF(M126&lt;=$AR$1,"O","X"))</f>
        <v/>
      </c>
      <c r="AS126" s="119" t="inlineStr">
        <is>
          <t>X</t>
        </is>
      </c>
      <c r="AT126" s="119">
        <f>IF(OR(F126="",AI126=""),"",IF(AND((F126&lt;=85),(AI126&gt;=15)),"O","X"))</f>
        <v/>
      </c>
      <c r="AU126" s="119">
        <f>IF(C126="","",IF(C126&gt;=$AU$1,"O","X"))</f>
        <v/>
      </c>
      <c r="AV126" s="119">
        <f>IF(AO126="","",IF(AND(AO126="O",AP126="O",AR126="O",AT126="O",AU126="O"),"후보","X"))</f>
        <v/>
      </c>
    </row>
    <row r="127" ht="12" customFormat="1" customHeight="1" s="38">
      <c r="A127" s="122" t="inlineStr">
        <is>
          <t>용암동 건영</t>
        </is>
      </c>
      <c r="B127" s="123" t="inlineStr">
        <is>
          <t>99.04.</t>
        </is>
      </c>
      <c r="C127" s="131" t="n">
        <v>1046</v>
      </c>
      <c r="D127" s="132" t="n">
        <v>121</v>
      </c>
      <c r="E127" s="133" t="n">
        <v>37</v>
      </c>
      <c r="F127" s="132" t="n">
        <v>100</v>
      </c>
      <c r="G127" s="17" t="n">
        <v>30</v>
      </c>
      <c r="H127" s="134" t="n">
        <v>330</v>
      </c>
      <c r="I127" s="135" t="n">
        <v>26500</v>
      </c>
      <c r="J127" s="135" t="inlineStr">
        <is>
          <t>10</t>
        </is>
      </c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4</v>
      </c>
      <c r="R127" s="119" t="n">
        <v>2</v>
      </c>
      <c r="S127" s="119" t="inlineStr">
        <is>
          <t>계</t>
        </is>
      </c>
      <c r="T127" s="5" t="n">
        <v>120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19">
        <f>S127</f>
        <v/>
      </c>
      <c r="AF127" s="119">
        <f>Q127&amp;"/"&amp;R127</f>
        <v/>
      </c>
      <c r="AH127" s="20">
        <f>IF(A127="","",A127)</f>
        <v/>
      </c>
      <c r="AI127" s="133">
        <f>IF(E127="","",E127)</f>
        <v/>
      </c>
      <c r="AJ127" s="119">
        <f>IF(AI127="","",$AJ$2)</f>
        <v/>
      </c>
      <c r="AK127" s="119" t="inlineStr">
        <is>
          <t>A</t>
        </is>
      </c>
      <c r="AL127" s="119" t="inlineStr">
        <is>
          <t>A+</t>
        </is>
      </c>
      <c r="AM127" s="119" t="inlineStr">
        <is>
          <t>B+</t>
        </is>
      </c>
      <c r="AN127" s="119">
        <f>IF(AI127="","",$AN$2)</f>
        <v/>
      </c>
      <c r="AO127" s="119">
        <f>IF(N127="","",IF(N127&gt;=$AO$1/100,"O","X"))</f>
        <v/>
      </c>
      <c r="AP127" s="119">
        <f>IF(I127="","",IF(I127&lt;=$AP$1,"O","X"))</f>
        <v/>
      </c>
      <c r="AQ127" s="119">
        <f>IF(O127="","",IF(O127&lt;=$AQ$1,"O","X"))</f>
        <v/>
      </c>
      <c r="AR127" s="119">
        <f>IF(M127="","",IF(M127&lt;=$AR$1,"O","X"))</f>
        <v/>
      </c>
      <c r="AS127" s="119" t="inlineStr">
        <is>
          <t>X</t>
        </is>
      </c>
      <c r="AT127" s="119">
        <f>IF(OR(F127="",AI127=""),"",IF(AND((F127&lt;=85),(AI127&gt;=15)),"O","X"))</f>
        <v/>
      </c>
      <c r="AU127" s="119">
        <f>IF(C127="","",IF(C127&gt;=$AU$1,"O","X"))</f>
        <v/>
      </c>
      <c r="AV127" s="119">
        <f>IF(AO127="","",IF(AND(AO127="O",AP127="O",AR127="O",AT127="O",AU127="O"),"후보","X"))</f>
        <v/>
      </c>
    </row>
    <row r="128" ht="12" customFormat="1" customHeight="1" s="38">
      <c r="A128" s="122" t="inlineStr">
        <is>
          <t>용암동 건영</t>
        </is>
      </c>
      <c r="B128" s="123" t="inlineStr">
        <is>
          <t>99.04.</t>
        </is>
      </c>
      <c r="C128" s="131" t="n">
        <v>1046</v>
      </c>
      <c r="D128" s="132" t="n">
        <v>158.7</v>
      </c>
      <c r="E128" s="133" t="n">
        <v>48</v>
      </c>
      <c r="F128" s="132" t="n">
        <v>134.6</v>
      </c>
      <c r="G128" s="17" t="n">
        <v>41</v>
      </c>
      <c r="H128" s="134" t="n">
        <v>300</v>
      </c>
      <c r="I128" s="135" t="n">
        <v>27500</v>
      </c>
      <c r="J128" s="135" t="inlineStr">
        <is>
          <t>고</t>
        </is>
      </c>
      <c r="K128" s="135" t="n">
        <v>25000</v>
      </c>
      <c r="L128" s="135" t="inlineStr">
        <is>
          <t>15</t>
        </is>
      </c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158</v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19">
        <f>S128</f>
        <v/>
      </c>
      <c r="AF128" s="119">
        <f>Q128&amp;"/"&amp;R128</f>
        <v/>
      </c>
      <c r="AH128" s="20">
        <f>IF(A128="","",A128)</f>
        <v/>
      </c>
      <c r="AI128" s="133">
        <f>IF(E128="","",E128)</f>
        <v/>
      </c>
      <c r="AJ128" s="119">
        <f>IF(AI128="","",$AJ$2)</f>
        <v/>
      </c>
      <c r="AK128" s="119" t="inlineStr">
        <is>
          <t>A</t>
        </is>
      </c>
      <c r="AL128" s="119" t="inlineStr">
        <is>
          <t>A+</t>
        </is>
      </c>
      <c r="AM128" s="119" t="inlineStr">
        <is>
          <t>B+</t>
        </is>
      </c>
      <c r="AN128" s="119">
        <f>IF(AI128="","",$AN$2)</f>
        <v/>
      </c>
      <c r="AO128" s="119">
        <f>IF(N128="","",IF(N128&gt;=$AO$1/100,"O","X"))</f>
        <v/>
      </c>
      <c r="AP128" s="119">
        <f>IF(I128="","",IF(I128&lt;=$AP$1,"O","X"))</f>
        <v/>
      </c>
      <c r="AQ128" s="119">
        <f>IF(O128="","",IF(O128&lt;=$AQ$1,"O","X"))</f>
        <v/>
      </c>
      <c r="AR128" s="119">
        <f>IF(M128="","",IF(M128&lt;=$AR$1,"O","X"))</f>
        <v/>
      </c>
      <c r="AS128" s="119" t="inlineStr">
        <is>
          <t>X</t>
        </is>
      </c>
      <c r="AT128" s="119">
        <f>IF(OR(F128="",AI128=""),"",IF(AND((F128&lt;=85),(AI128&gt;=15)),"O","X"))</f>
        <v/>
      </c>
      <c r="AU128" s="119">
        <f>IF(C128="","",IF(C128&gt;=$AU$1,"O","X"))</f>
        <v/>
      </c>
      <c r="AV128" s="119">
        <f>IF(AO128="","",IF(AND(AO128="O",AP128="O",AR128="O",AT128="O",AU128="O"),"후보","X"))</f>
        <v/>
      </c>
    </row>
    <row r="129" ht="12" customFormat="1" customHeight="1" s="38">
      <c r="A129" s="122" t="inlineStr">
        <is>
          <t>용암동 용암형석</t>
        </is>
      </c>
      <c r="B129" s="123" t="inlineStr">
        <is>
          <t>95.09.</t>
        </is>
      </c>
      <c r="C129" s="131" t="n">
        <v>430</v>
      </c>
      <c r="D129" s="132" t="n">
        <v>104.9</v>
      </c>
      <c r="E129" s="133" t="n">
        <v>32</v>
      </c>
      <c r="F129" s="132" t="n">
        <v>84.8</v>
      </c>
      <c r="G129" s="17" t="n">
        <v>26</v>
      </c>
      <c r="H129" s="134" t="n">
        <v>430</v>
      </c>
      <c r="I129" s="135" t="n">
        <v>19500</v>
      </c>
      <c r="J129" s="135" t="inlineStr">
        <is>
          <t>10</t>
        </is>
      </c>
      <c r="K129" s="135" t="n">
        <v>20000</v>
      </c>
      <c r="L129" s="135" t="inlineStr">
        <is>
          <t>5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3</v>
      </c>
      <c r="R129" s="119" t="n">
        <v>2</v>
      </c>
      <c r="S129" s="119" t="inlineStr">
        <is>
          <t>계</t>
        </is>
      </c>
      <c r="T129" s="5" t="n">
        <v>104</v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19">
        <f>S129</f>
        <v/>
      </c>
      <c r="AF129" s="119">
        <f>Q129&amp;"/"&amp;R129</f>
        <v/>
      </c>
      <c r="AH129" s="20">
        <f>IF(A129="","",A129)</f>
        <v/>
      </c>
      <c r="AI129" s="133">
        <f>IF(E129="","",E129)</f>
        <v/>
      </c>
      <c r="AJ129" s="119">
        <f>IF(AI129="","",$AJ$2)</f>
        <v/>
      </c>
      <c r="AK129" s="119" t="inlineStr">
        <is>
          <t>A</t>
        </is>
      </c>
      <c r="AL129" s="119" t="inlineStr">
        <is>
          <t>A+</t>
        </is>
      </c>
      <c r="AM129" s="119" t="inlineStr">
        <is>
          <t>B+</t>
        </is>
      </c>
      <c r="AN129" s="119">
        <f>IF(AI129="","",$AN$2)</f>
        <v/>
      </c>
      <c r="AO129" s="119">
        <f>IF(N129="","",IF(N129&gt;=$AO$1/100,"O","X"))</f>
        <v/>
      </c>
      <c r="AP129" s="119">
        <f>IF(I129="","",IF(I129&lt;=$AP$1,"O","X"))</f>
        <v/>
      </c>
      <c r="AQ129" s="119">
        <f>IF(O129="","",IF(O129&lt;=$AQ$1,"O","X"))</f>
        <v/>
      </c>
      <c r="AR129" s="119">
        <f>IF(M129="","",IF(M129&lt;=$AR$1,"O","X"))</f>
        <v/>
      </c>
      <c r="AS129" s="119" t="inlineStr">
        <is>
          <t>X</t>
        </is>
      </c>
      <c r="AT129" s="119">
        <f>IF(OR(F129="",AI129=""),"",IF(AND((F129&lt;=85),(AI129&gt;=15)),"O","X"))</f>
        <v/>
      </c>
      <c r="AU129" s="119">
        <f>IF(C129="","",IF(C129&gt;=$AU$1,"O","X"))</f>
        <v/>
      </c>
      <c r="AV129" s="119">
        <f>IF(AO129="","",IF(AND(AO129="O",AP129="O",AR129="O",AT129="O",AU129="O"),"후보","X"))</f>
        <v/>
      </c>
    </row>
    <row r="130" ht="12" customFormat="1" customHeight="1" s="38">
      <c r="A130" s="122" t="inlineStr">
        <is>
          <t>용암동 용암현대1차</t>
        </is>
      </c>
      <c r="B130" s="123" t="inlineStr">
        <is>
          <t>94.12.</t>
        </is>
      </c>
      <c r="C130" s="131" t="n">
        <v>264</v>
      </c>
      <c r="D130" s="132" t="n">
        <v>120.1</v>
      </c>
      <c r="E130" s="133" t="n">
        <v>36</v>
      </c>
      <c r="F130" s="132" t="n">
        <v>101.9</v>
      </c>
      <c r="G130" s="17" t="n">
        <v>31</v>
      </c>
      <c r="H130" s="134" t="n">
        <v>120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4</v>
      </c>
      <c r="R130" s="119" t="n">
        <v>2</v>
      </c>
      <c r="S130" s="119" t="inlineStr">
        <is>
          <t>계</t>
        </is>
      </c>
      <c r="T130" s="5" t="n">
        <v>120</v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19">
        <f>S130</f>
        <v/>
      </c>
      <c r="AF130" s="119">
        <f>Q130&amp;"/"&amp;R130</f>
        <v/>
      </c>
      <c r="AH130" s="20">
        <f>IF(A130="","",A130)</f>
        <v/>
      </c>
      <c r="AI130" s="133">
        <f>IF(E130="","",E130)</f>
        <v/>
      </c>
      <c r="AJ130" s="119">
        <f>IF(AI130="","",$AJ$2)</f>
        <v/>
      </c>
      <c r="AK130" s="119" t="inlineStr">
        <is>
          <t>A</t>
        </is>
      </c>
      <c r="AL130" s="119" t="inlineStr">
        <is>
          <t>A+</t>
        </is>
      </c>
      <c r="AM130" s="119" t="inlineStr">
        <is>
          <t>B+</t>
        </is>
      </c>
      <c r="AN130" s="119">
        <f>IF(AI130="","",$AN$2)</f>
        <v/>
      </c>
      <c r="AO130" s="119">
        <f>IF(N130="","",IF(N130&gt;=$AO$1/100,"O","X"))</f>
        <v/>
      </c>
      <c r="AP130" s="119">
        <f>IF(I130="","",IF(I130&lt;=$AP$1,"O","X"))</f>
        <v/>
      </c>
      <c r="AQ130" s="119">
        <f>IF(O130="","",IF(O130&lt;=$AQ$1,"O","X"))</f>
        <v/>
      </c>
      <c r="AR130" s="119">
        <f>IF(M130="","",IF(M130&lt;=$AR$1,"O","X"))</f>
        <v/>
      </c>
      <c r="AS130" s="119" t="inlineStr">
        <is>
          <t>X</t>
        </is>
      </c>
      <c r="AT130" s="119">
        <f>IF(OR(F130="",AI130=""),"",IF(AND((F130&lt;=85),(AI130&gt;=15)),"O","X"))</f>
        <v/>
      </c>
      <c r="AU130" s="119">
        <f>IF(C130="","",IF(C130&gt;=$AU$1,"O","X"))</f>
        <v/>
      </c>
      <c r="AV130" s="119">
        <f>IF(AO130="","",IF(AND(AO130="O",AP130="O",AR130="O",AT130="O",AU130="O"),"후보","X"))</f>
        <v/>
      </c>
    </row>
    <row r="131" ht="12" customFormat="1" customHeight="1" s="38">
      <c r="A131" s="122" t="inlineStr">
        <is>
          <t>용암동 용암현대1차</t>
        </is>
      </c>
      <c r="B131" s="123" t="inlineStr">
        <is>
          <t>94.12.</t>
        </is>
      </c>
      <c r="C131" s="131" t="n">
        <v>264</v>
      </c>
      <c r="D131" s="132" t="n">
        <v>158.8</v>
      </c>
      <c r="E131" s="133" t="n">
        <v>48</v>
      </c>
      <c r="F131" s="132" t="n">
        <v>134.7</v>
      </c>
      <c r="G131" s="17" t="n">
        <v>41</v>
      </c>
      <c r="H131" s="134" t="n">
        <v>120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158</v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19">
        <f>S131</f>
        <v/>
      </c>
      <c r="AF131" s="119">
        <f>Q131&amp;"/"&amp;R131</f>
        <v/>
      </c>
      <c r="AH131" s="20">
        <f>IF(A131="","",A131)</f>
        <v/>
      </c>
      <c r="AI131" s="133">
        <f>IF(E131="","",E131)</f>
        <v/>
      </c>
      <c r="AJ131" s="119">
        <f>IF(AI131="","",$AJ$2)</f>
        <v/>
      </c>
      <c r="AK131" s="119" t="inlineStr">
        <is>
          <t>A</t>
        </is>
      </c>
      <c r="AL131" s="119" t="inlineStr">
        <is>
          <t>A+</t>
        </is>
      </c>
      <c r="AM131" s="119" t="inlineStr">
        <is>
          <t>B+</t>
        </is>
      </c>
      <c r="AN131" s="119">
        <f>IF(AI131="","",$AN$2)</f>
        <v/>
      </c>
      <c r="AO131" s="119">
        <f>IF(N131="","",IF(N131&gt;=$AO$1/100,"O","X"))</f>
        <v/>
      </c>
      <c r="AP131" s="119">
        <f>IF(I131="","",IF(I131&lt;=$AP$1,"O","X"))</f>
        <v/>
      </c>
      <c r="AQ131" s="119">
        <f>IF(O131="","",IF(O131&lt;=$AQ$1,"O","X"))</f>
        <v/>
      </c>
      <c r="AR131" s="119">
        <f>IF(M131="","",IF(M131&lt;=$AR$1,"O","X"))</f>
        <v/>
      </c>
      <c r="AS131" s="119" t="inlineStr">
        <is>
          <t>X</t>
        </is>
      </c>
      <c r="AT131" s="119">
        <f>IF(OR(F131="",AI131=""),"",IF(AND((F131&lt;=85),(AI131&gt;=15)),"O","X"))</f>
        <v/>
      </c>
      <c r="AU131" s="119">
        <f>IF(C131="","",IF(C131&gt;=$AU$1,"O","X"))</f>
        <v/>
      </c>
      <c r="AV131" s="119">
        <f>IF(AO131="","",IF(AND(AO131="O",AP131="O",AR131="O",AT131="O",AU131="O"),"후보","X"))</f>
        <v/>
      </c>
    </row>
    <row r="132" ht="12" customFormat="1" customHeight="1" s="38">
      <c r="A132" s="122" t="inlineStr">
        <is>
          <t>용암동 용암현대1차</t>
        </is>
      </c>
      <c r="B132" s="123" t="inlineStr">
        <is>
          <t>94.12.</t>
        </is>
      </c>
      <c r="C132" s="131" t="n">
        <v>264</v>
      </c>
      <c r="D132" s="132" t="n">
        <v>204.1</v>
      </c>
      <c r="E132" s="133" t="n">
        <v>62</v>
      </c>
      <c r="F132" s="132" t="n">
        <v>173.2</v>
      </c>
      <c r="G132" s="17" t="n">
        <v>52</v>
      </c>
      <c r="H132" s="134" t="n">
        <v>24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5</v>
      </c>
      <c r="R132" s="119" t="n">
        <v>2</v>
      </c>
      <c r="S132" s="119" t="inlineStr">
        <is>
          <t>계</t>
        </is>
      </c>
      <c r="T132" s="5" t="n">
        <v>204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19">
        <f>S132</f>
        <v/>
      </c>
      <c r="AF132" s="119">
        <f>Q132&amp;"/"&amp;R132</f>
        <v/>
      </c>
      <c r="AH132" s="20">
        <f>IF(A132="","",A132)</f>
        <v/>
      </c>
      <c r="AI132" s="133">
        <f>IF(E132="","",E132)</f>
        <v/>
      </c>
      <c r="AJ132" s="119">
        <f>IF(AI132="","",$AJ$2)</f>
        <v/>
      </c>
      <c r="AK132" s="119" t="inlineStr">
        <is>
          <t>A</t>
        </is>
      </c>
      <c r="AL132" s="119" t="inlineStr">
        <is>
          <t>A+</t>
        </is>
      </c>
      <c r="AM132" s="119" t="inlineStr">
        <is>
          <t>B+</t>
        </is>
      </c>
      <c r="AN132" s="119">
        <f>IF(AI132="","",$AN$2)</f>
        <v/>
      </c>
      <c r="AO132" s="119">
        <f>IF(N132="","",IF(N132&gt;=$AO$1/100,"O","X"))</f>
        <v/>
      </c>
      <c r="AP132" s="119">
        <f>IF(I132="","",IF(I132&lt;=$AP$1,"O","X"))</f>
        <v/>
      </c>
      <c r="AQ132" s="119">
        <f>IF(O132="","",IF(O132&lt;=$AQ$1,"O","X"))</f>
        <v/>
      </c>
      <c r="AR132" s="119">
        <f>IF(M132="","",IF(M132&lt;=$AR$1,"O","X"))</f>
        <v/>
      </c>
      <c r="AS132" s="119" t="inlineStr">
        <is>
          <t>X</t>
        </is>
      </c>
      <c r="AT132" s="119">
        <f>IF(OR(F132="",AI132=""),"",IF(AND((F132&lt;=85),(AI132&gt;=15)),"O","X"))</f>
        <v/>
      </c>
      <c r="AU132" s="119">
        <f>IF(C132="","",IF(C132&gt;=$AU$1,"O","X"))</f>
        <v/>
      </c>
      <c r="AV132" s="119">
        <f>IF(AO132="","",IF(AND(AO132="O",AP132="O",AR132="O",AT132="O",AU132="O"),"후보","X"))</f>
        <v/>
      </c>
    </row>
    <row r="133" ht="12" customFormat="1" customHeight="1" s="38">
      <c r="A133" s="122" t="inlineStr">
        <is>
          <t>용암동 용암현대2차</t>
        </is>
      </c>
      <c r="B133" s="123" t="inlineStr">
        <is>
          <t>94.12.</t>
        </is>
      </c>
      <c r="C133" s="131" t="n">
        <v>315</v>
      </c>
      <c r="D133" s="132" t="n">
        <v>103.7</v>
      </c>
      <c r="E133" s="133" t="n">
        <v>31</v>
      </c>
      <c r="F133" s="132" t="n">
        <v>84.2</v>
      </c>
      <c r="G133" s="17" t="n">
        <v>25</v>
      </c>
      <c r="H133" s="134" t="n">
        <v>315</v>
      </c>
      <c r="I133" s="135" t="n">
        <v>18000</v>
      </c>
      <c r="J133" s="135" t="inlineStr">
        <is>
          <t>15</t>
        </is>
      </c>
      <c r="K133" s="135" t="n">
        <v>21000</v>
      </c>
      <c r="L133" s="135" t="inlineStr">
        <is>
          <t>13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n">
        <v>103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19">
        <f>S133</f>
        <v/>
      </c>
      <c r="AF133" s="119">
        <f>Q133&amp;"/"&amp;R133</f>
        <v/>
      </c>
      <c r="AH133" s="20">
        <f>IF(A133="","",A133)</f>
        <v/>
      </c>
      <c r="AI133" s="133">
        <f>IF(E133="","",E133)</f>
        <v/>
      </c>
      <c r="AJ133" s="119">
        <f>IF(AI133="","",$AJ$2)</f>
        <v/>
      </c>
      <c r="AK133" s="119" t="inlineStr">
        <is>
          <t>A</t>
        </is>
      </c>
      <c r="AL133" s="119" t="inlineStr">
        <is>
          <t>A+</t>
        </is>
      </c>
      <c r="AM133" s="119" t="inlineStr">
        <is>
          <t>B+</t>
        </is>
      </c>
      <c r="AN133" s="119">
        <f>IF(AI133="","",$AN$2)</f>
        <v/>
      </c>
      <c r="AO133" s="119">
        <f>IF(N133="","",IF(N133&gt;=$AO$1/100,"O","X"))</f>
        <v/>
      </c>
      <c r="AP133" s="119">
        <f>IF(I133="","",IF(I133&lt;=$AP$1,"O","X"))</f>
        <v/>
      </c>
      <c r="AQ133" s="119">
        <f>IF(O133="","",IF(O133&lt;=$AQ$1,"O","X"))</f>
        <v/>
      </c>
      <c r="AR133" s="119">
        <f>IF(M133="","",IF(M133&lt;=$AR$1,"O","X"))</f>
        <v/>
      </c>
      <c r="AS133" s="119" t="inlineStr">
        <is>
          <t>X</t>
        </is>
      </c>
      <c r="AT133" s="119">
        <f>IF(OR(F133="",AI133=""),"",IF(AND((F133&lt;=85),(AI133&gt;=15)),"O","X"))</f>
        <v/>
      </c>
      <c r="AU133" s="119">
        <f>IF(C133="","",IF(C133&gt;=$AU$1,"O","X"))</f>
        <v/>
      </c>
      <c r="AV133" s="119">
        <f>IF(AO133="","",IF(AND(AO133="O",AP133="O",AR133="O",AT133="O",AU133="O"),"후보","X"))</f>
        <v/>
      </c>
    </row>
    <row r="134" ht="12" customFormat="1" customHeight="1" s="38">
      <c r="A134" s="122" t="inlineStr">
        <is>
          <t>용암동 대원칸타빌더테라스1단지</t>
        </is>
      </c>
      <c r="B134" s="123" t="inlineStr">
        <is>
          <t>19.12.</t>
        </is>
      </c>
      <c r="C134" s="131" t="n">
        <v>676</v>
      </c>
      <c r="D134" s="132" t="n">
        <v>100.5</v>
      </c>
      <c r="E134" s="133" t="n">
        <v>30</v>
      </c>
      <c r="F134" s="132" t="n">
        <v>78.90000000000001</v>
      </c>
      <c r="G134" s="17" t="n">
        <v>24</v>
      </c>
      <c r="H134" s="134" t="n">
        <v>189</v>
      </c>
      <c r="I134" s="135" t="n">
        <v>48000</v>
      </c>
      <c r="J134" s="135" t="inlineStr">
        <is>
          <t>16</t>
        </is>
      </c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3</v>
      </c>
      <c r="R134" s="119" t="n">
        <v>2</v>
      </c>
      <c r="S134" s="119" t="inlineStr">
        <is>
          <t>계</t>
        </is>
      </c>
      <c r="T134" s="5" t="n">
        <v>100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19">
        <f>S134</f>
        <v/>
      </c>
      <c r="AF134" s="119">
        <f>Q134&amp;"/"&amp;R134</f>
        <v/>
      </c>
      <c r="AH134" s="20">
        <f>IF(A134="","",A134)</f>
        <v/>
      </c>
      <c r="AI134" s="133">
        <f>IF(E134="","",E134)</f>
        <v/>
      </c>
      <c r="AJ134" s="119">
        <f>IF(AI134="","",$AJ$2)</f>
        <v/>
      </c>
      <c r="AK134" s="119" t="inlineStr">
        <is>
          <t>A</t>
        </is>
      </c>
      <c r="AL134" s="119" t="inlineStr">
        <is>
          <t>A+</t>
        </is>
      </c>
      <c r="AM134" s="119" t="inlineStr">
        <is>
          <t>B+</t>
        </is>
      </c>
      <c r="AN134" s="119">
        <f>IF(AI134="","",$AN$2)</f>
        <v/>
      </c>
      <c r="AO134" s="119">
        <f>IF(N134="","",IF(N134&gt;=$AO$1/100,"O","X"))</f>
        <v/>
      </c>
      <c r="AP134" s="119">
        <f>IF(I134="","",IF(I134&lt;=$AP$1,"O","X"))</f>
        <v/>
      </c>
      <c r="AQ134" s="119">
        <f>IF(O134="","",IF(O134&lt;=$AQ$1,"O","X"))</f>
        <v/>
      </c>
      <c r="AR134" s="119">
        <f>IF(M134="","",IF(M134&lt;=$AR$1,"O","X"))</f>
        <v/>
      </c>
      <c r="AS134" s="119" t="inlineStr">
        <is>
          <t>X</t>
        </is>
      </c>
      <c r="AT134" s="119">
        <f>IF(OR(F134="",AI134=""),"",IF(AND((F134&lt;=85),(AI134&gt;=15)),"O","X"))</f>
        <v/>
      </c>
      <c r="AU134" s="119">
        <f>IF(C134="","",IF(C134&gt;=$AU$1,"O","X"))</f>
        <v/>
      </c>
      <c r="AV134" s="119">
        <f>IF(AO134="","",IF(AND(AO134="O",AP134="O",AR134="O",AT134="O",AU134="O"),"후보","X"))</f>
        <v/>
      </c>
    </row>
    <row r="135" ht="12" customFormat="1" customHeight="1" s="38">
      <c r="A135" s="122" t="inlineStr">
        <is>
          <t>용암동 대원칸타빌더테라스1단지</t>
        </is>
      </c>
      <c r="B135" s="123" t="inlineStr">
        <is>
          <t>19.12.</t>
        </is>
      </c>
      <c r="C135" s="131" t="n">
        <v>676</v>
      </c>
      <c r="D135" s="132" t="n">
        <v>108.1</v>
      </c>
      <c r="E135" s="133" t="n">
        <v>33</v>
      </c>
      <c r="F135" s="132" t="n">
        <v>84.59999999999999</v>
      </c>
      <c r="G135" s="17" t="n">
        <v>26</v>
      </c>
      <c r="H135" s="134" t="n">
        <v>96</v>
      </c>
      <c r="I135" s="135" t="n">
        <v>60000</v>
      </c>
      <c r="J135" s="135" t="inlineStr">
        <is>
          <t>고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3</v>
      </c>
      <c r="R135" s="119" t="n">
        <v>2</v>
      </c>
      <c r="S135" s="119" t="inlineStr">
        <is>
          <t>계</t>
        </is>
      </c>
      <c r="T135" s="5" t="inlineStr">
        <is>
          <t>108A</t>
        </is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19">
        <f>S135</f>
        <v/>
      </c>
      <c r="AF135" s="119">
        <f>Q135&amp;"/"&amp;R135</f>
        <v/>
      </c>
      <c r="AH135" s="20">
        <f>IF(A135="","",A135)</f>
        <v/>
      </c>
      <c r="AI135" s="133">
        <f>IF(E135="","",E135)</f>
        <v/>
      </c>
      <c r="AJ135" s="119">
        <f>IF(AI135="","",$AJ$2)</f>
        <v/>
      </c>
      <c r="AK135" s="119" t="inlineStr">
        <is>
          <t>A</t>
        </is>
      </c>
      <c r="AL135" s="119" t="inlineStr">
        <is>
          <t>A+</t>
        </is>
      </c>
      <c r="AM135" s="119" t="inlineStr">
        <is>
          <t>B+</t>
        </is>
      </c>
      <c r="AN135" s="119">
        <f>IF(AI135="","",$AN$2)</f>
        <v/>
      </c>
      <c r="AO135" s="119">
        <f>IF(N135="","",IF(N135&gt;=$AO$1/100,"O","X"))</f>
        <v/>
      </c>
      <c r="AP135" s="119">
        <f>IF(I135="","",IF(I135&lt;=$AP$1,"O","X"))</f>
        <v/>
      </c>
      <c r="AQ135" s="119">
        <f>IF(O135="","",IF(O135&lt;=$AQ$1,"O","X"))</f>
        <v/>
      </c>
      <c r="AR135" s="119">
        <f>IF(M135="","",IF(M135&lt;=$AR$1,"O","X"))</f>
        <v/>
      </c>
      <c r="AS135" s="119" t="inlineStr">
        <is>
          <t>X</t>
        </is>
      </c>
      <c r="AT135" s="119">
        <f>IF(OR(F135="",AI135=""),"",IF(AND((F135&lt;=85),(AI135&gt;=15)),"O","X"))</f>
        <v/>
      </c>
      <c r="AU135" s="119">
        <f>IF(C135="","",IF(C135&gt;=$AU$1,"O","X"))</f>
        <v/>
      </c>
      <c r="AV135" s="119">
        <f>IF(AO135="","",IF(AND(AO135="O",AP135="O",AR135="O",AT135="O",AU135="O"),"후보","X"))</f>
        <v/>
      </c>
    </row>
    <row r="136" ht="12" customFormat="1" customHeight="1" s="38">
      <c r="A136" s="122" t="inlineStr">
        <is>
          <t>용암동 대원칸타빌더테라스1단지</t>
        </is>
      </c>
      <c r="B136" s="123" t="inlineStr">
        <is>
          <t>19.12.</t>
        </is>
      </c>
      <c r="C136" s="131" t="n">
        <v>676</v>
      </c>
      <c r="D136" s="132" t="n">
        <v>110.4</v>
      </c>
      <c r="E136" s="133" t="n">
        <v>33</v>
      </c>
      <c r="F136" s="132" t="n">
        <v>84.90000000000001</v>
      </c>
      <c r="G136" s="17" t="n">
        <v>26</v>
      </c>
      <c r="H136" s="134" t="n">
        <v>95</v>
      </c>
      <c r="I136" s="135" t="n">
        <v>56500</v>
      </c>
      <c r="J136" s="135" t="inlineStr">
        <is>
          <t>5</t>
        </is>
      </c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inlineStr">
        <is>
          <t>110B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19">
        <f>S136</f>
        <v/>
      </c>
      <c r="AF136" s="119">
        <f>Q136&amp;"/"&amp;R136</f>
        <v/>
      </c>
      <c r="AH136" s="20">
        <f>IF(A136="","",A136)</f>
        <v/>
      </c>
      <c r="AI136" s="133">
        <f>IF(E136="","",E136)</f>
        <v/>
      </c>
      <c r="AJ136" s="119">
        <f>IF(AI136="","",$AJ$2)</f>
        <v/>
      </c>
      <c r="AK136" s="119" t="inlineStr">
        <is>
          <t>A</t>
        </is>
      </c>
      <c r="AL136" s="119" t="inlineStr">
        <is>
          <t>A+</t>
        </is>
      </c>
      <c r="AM136" s="119" t="inlineStr">
        <is>
          <t>B+</t>
        </is>
      </c>
      <c r="AN136" s="119">
        <f>IF(AI136="","",$AN$2)</f>
        <v/>
      </c>
      <c r="AO136" s="119">
        <f>IF(N136="","",IF(N136&gt;=$AO$1/100,"O","X"))</f>
        <v/>
      </c>
      <c r="AP136" s="119">
        <f>IF(I136="","",IF(I136&lt;=$AP$1,"O","X"))</f>
        <v/>
      </c>
      <c r="AQ136" s="119">
        <f>IF(O136="","",IF(O136&lt;=$AQ$1,"O","X"))</f>
        <v/>
      </c>
      <c r="AR136" s="119">
        <f>IF(M136="","",IF(M136&lt;=$AR$1,"O","X"))</f>
        <v/>
      </c>
      <c r="AS136" s="119" t="inlineStr">
        <is>
          <t>X</t>
        </is>
      </c>
      <c r="AT136" s="119">
        <f>IF(OR(F136="",AI136=""),"",IF(AND((F136&lt;=85),(AI136&gt;=15)),"O","X"))</f>
        <v/>
      </c>
      <c r="AU136" s="119">
        <f>IF(C136="","",IF(C136&gt;=$AU$1,"O","X"))</f>
        <v/>
      </c>
      <c r="AV136" s="119">
        <f>IF(AO136="","",IF(AND(AO136="O",AP136="O",AR136="O",AT136="O",AU136="O"),"후보","X"))</f>
        <v/>
      </c>
    </row>
    <row r="137" ht="12" customFormat="1" customHeight="1" s="38">
      <c r="A137" s="122" t="inlineStr">
        <is>
          <t>용암동 대원칸타빌더테라스1단지</t>
        </is>
      </c>
      <c r="B137" s="123" t="inlineStr">
        <is>
          <t>19.12.</t>
        </is>
      </c>
      <c r="C137" s="131" t="n">
        <v>676</v>
      </c>
      <c r="D137" s="132" t="n">
        <v>129.2</v>
      </c>
      <c r="E137" s="133" t="n">
        <v>39</v>
      </c>
      <c r="F137" s="132" t="n">
        <v>105.6</v>
      </c>
      <c r="G137" s="17" t="n">
        <v>32</v>
      </c>
      <c r="H137" s="134" t="n">
        <v>100</v>
      </c>
      <c r="I137" s="135" t="n">
        <v>74000</v>
      </c>
      <c r="J137" s="135" t="inlineStr">
        <is>
          <t>24</t>
        </is>
      </c>
      <c r="K137" s="135" t="n">
        <v>50000</v>
      </c>
      <c r="L137" s="135" t="inlineStr">
        <is>
          <t>중</t>
        </is>
      </c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4</v>
      </c>
      <c r="R137" s="119" t="n">
        <v>2</v>
      </c>
      <c r="S137" s="119" t="inlineStr">
        <is>
          <t>계</t>
        </is>
      </c>
      <c r="T137" s="5" t="n">
        <v>129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19">
        <f>S137</f>
        <v/>
      </c>
      <c r="AF137" s="119">
        <f>Q137&amp;"/"&amp;R137</f>
        <v/>
      </c>
      <c r="AH137" s="20">
        <f>IF(A137="","",A137)</f>
        <v/>
      </c>
      <c r="AI137" s="133">
        <f>IF(E137="","",E137)</f>
        <v/>
      </c>
      <c r="AJ137" s="119">
        <f>IF(AI137="","",$AJ$2)</f>
        <v/>
      </c>
      <c r="AK137" s="119" t="inlineStr">
        <is>
          <t>A</t>
        </is>
      </c>
      <c r="AL137" s="119" t="inlineStr">
        <is>
          <t>A+</t>
        </is>
      </c>
      <c r="AM137" s="119" t="inlineStr">
        <is>
          <t>B+</t>
        </is>
      </c>
      <c r="AN137" s="119">
        <f>IF(AI137="","",$AN$2)</f>
        <v/>
      </c>
      <c r="AO137" s="119">
        <f>IF(N137="","",IF(N137&gt;=$AO$1/100,"O","X"))</f>
        <v/>
      </c>
      <c r="AP137" s="119">
        <f>IF(I137="","",IF(I137&lt;=$AP$1,"O","X"))</f>
        <v/>
      </c>
      <c r="AQ137" s="119">
        <f>IF(O137="","",IF(O137&lt;=$AQ$1,"O","X"))</f>
        <v/>
      </c>
      <c r="AR137" s="119">
        <f>IF(M137="","",IF(M137&lt;=$AR$1,"O","X"))</f>
        <v/>
      </c>
      <c r="AS137" s="119" t="inlineStr">
        <is>
          <t>X</t>
        </is>
      </c>
      <c r="AT137" s="119">
        <f>IF(OR(F137="",AI137=""),"",IF(AND((F137&lt;=85),(AI137&gt;=15)),"O","X"))</f>
        <v/>
      </c>
      <c r="AU137" s="119">
        <f>IF(C137="","",IF(C137&gt;=$AU$1,"O","X"))</f>
        <v/>
      </c>
      <c r="AV137" s="119">
        <f>IF(AO137="","",IF(AND(AO137="O",AP137="O",AR137="O",AT137="O",AU137="O"),"후보","X"))</f>
        <v/>
      </c>
    </row>
    <row r="138" ht="12" customFormat="1" customHeight="1" s="38">
      <c r="A138" s="122" t="inlineStr">
        <is>
          <t>용암동 대원칸타빌더테라스1단지</t>
        </is>
      </c>
      <c r="B138" s="123" t="inlineStr">
        <is>
          <t>19.12.</t>
        </is>
      </c>
      <c r="C138" s="131" t="n">
        <v>676</v>
      </c>
      <c r="D138" s="132" t="n">
        <v>140.1</v>
      </c>
      <c r="E138" s="133" t="n">
        <v>42</v>
      </c>
      <c r="F138" s="132" t="n">
        <v>116.6</v>
      </c>
      <c r="G138" s="17" t="n">
        <v>35</v>
      </c>
      <c r="H138" s="134" t="n">
        <v>171</v>
      </c>
      <c r="I138" s="135" t="n">
        <v>80000</v>
      </c>
      <c r="J138" s="135" t="inlineStr">
        <is>
          <t>중</t>
        </is>
      </c>
      <c r="K138" s="135" t="n">
        <v>51000</v>
      </c>
      <c r="L138" s="135" t="inlineStr">
        <is>
          <t>22</t>
        </is>
      </c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140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19">
        <f>S138</f>
        <v/>
      </c>
      <c r="AF138" s="119">
        <f>Q138&amp;"/"&amp;R138</f>
        <v/>
      </c>
      <c r="AH138" s="20">
        <f>IF(A138="","",A138)</f>
        <v/>
      </c>
      <c r="AI138" s="133">
        <f>IF(E138="","",E138)</f>
        <v/>
      </c>
      <c r="AJ138" s="119">
        <f>IF(AI138="","",$AJ$2)</f>
        <v/>
      </c>
      <c r="AK138" s="119" t="inlineStr">
        <is>
          <t>A</t>
        </is>
      </c>
      <c r="AL138" s="119" t="inlineStr">
        <is>
          <t>A+</t>
        </is>
      </c>
      <c r="AM138" s="119" t="inlineStr">
        <is>
          <t>B+</t>
        </is>
      </c>
      <c r="AN138" s="119">
        <f>IF(AI138="","",$AN$2)</f>
        <v/>
      </c>
      <c r="AO138" s="119">
        <f>IF(N138="","",IF(N138&gt;=$AO$1/100,"O","X"))</f>
        <v/>
      </c>
      <c r="AP138" s="119">
        <f>IF(I138="","",IF(I138&lt;=$AP$1,"O","X"))</f>
        <v/>
      </c>
      <c r="AQ138" s="119">
        <f>IF(O138="","",IF(O138&lt;=$AQ$1,"O","X"))</f>
        <v/>
      </c>
      <c r="AR138" s="119">
        <f>IF(M138="","",IF(M138&lt;=$AR$1,"O","X"))</f>
        <v/>
      </c>
      <c r="AS138" s="119" t="inlineStr">
        <is>
          <t>X</t>
        </is>
      </c>
      <c r="AT138" s="119">
        <f>IF(OR(F138="",AI138=""),"",IF(AND((F138&lt;=85),(AI138&gt;=15)),"O","X"))</f>
        <v/>
      </c>
      <c r="AU138" s="119">
        <f>IF(C138="","",IF(C138&gt;=$AU$1,"O","X"))</f>
        <v/>
      </c>
      <c r="AV138" s="119">
        <f>IF(AO138="","",IF(AND(AO138="O",AP138="O",AR138="O",AT138="O",AU138="O"),"후보","X"))</f>
        <v/>
      </c>
    </row>
    <row r="139" ht="12" customFormat="1" customHeight="1" s="38">
      <c r="A139" s="122" t="inlineStr">
        <is>
          <t>용암동 대원칸타빌더테라스1단지</t>
        </is>
      </c>
      <c r="B139" s="123" t="inlineStr">
        <is>
          <t>19.12.</t>
        </is>
      </c>
      <c r="C139" s="131" t="n">
        <v>676</v>
      </c>
      <c r="D139" s="132" t="n">
        <v>145.5</v>
      </c>
      <c r="E139" s="133" t="n">
        <v>44</v>
      </c>
      <c r="F139" s="132" t="n">
        <v>121.2</v>
      </c>
      <c r="G139" s="17" t="n">
        <v>37</v>
      </c>
      <c r="H139" s="134" t="n">
        <v>25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4</v>
      </c>
      <c r="R139" s="119" t="n">
        <v>2</v>
      </c>
      <c r="S139" s="119" t="inlineStr">
        <is>
          <t>계</t>
        </is>
      </c>
      <c r="T139" s="5" t="n">
        <v>145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19">
        <f>S139</f>
        <v/>
      </c>
      <c r="AF139" s="119">
        <f>Q139&amp;"/"&amp;R139</f>
        <v/>
      </c>
      <c r="AH139" s="20">
        <f>IF(A139="","",A139)</f>
        <v/>
      </c>
      <c r="AI139" s="133">
        <f>IF(E139="","",E139)</f>
        <v/>
      </c>
      <c r="AJ139" s="119">
        <f>IF(AI139="","",$AJ$2)</f>
        <v/>
      </c>
      <c r="AK139" s="119" t="inlineStr">
        <is>
          <t>A</t>
        </is>
      </c>
      <c r="AL139" s="119" t="inlineStr">
        <is>
          <t>A+</t>
        </is>
      </c>
      <c r="AM139" s="119" t="inlineStr">
        <is>
          <t>B+</t>
        </is>
      </c>
      <c r="AN139" s="119">
        <f>IF(AI139="","",$AN$2)</f>
        <v/>
      </c>
      <c r="AO139" s="119">
        <f>IF(N139="","",IF(N139&gt;=$AO$1/100,"O","X"))</f>
        <v/>
      </c>
      <c r="AP139" s="119">
        <f>IF(I139="","",IF(I139&lt;=$AP$1,"O","X"))</f>
        <v/>
      </c>
      <c r="AQ139" s="119">
        <f>IF(O139="","",IF(O139&lt;=$AQ$1,"O","X"))</f>
        <v/>
      </c>
      <c r="AR139" s="119">
        <f>IF(M139="","",IF(M139&lt;=$AR$1,"O","X"))</f>
        <v/>
      </c>
      <c r="AS139" s="119" t="inlineStr">
        <is>
          <t>X</t>
        </is>
      </c>
      <c r="AT139" s="119">
        <f>IF(OR(F139="",AI139=""),"",IF(AND((F139&lt;=85),(AI139&gt;=15)),"O","X"))</f>
        <v/>
      </c>
      <c r="AU139" s="119">
        <f>IF(C139="","",IF(C139&gt;=$AU$1,"O","X"))</f>
        <v/>
      </c>
      <c r="AV139" s="119">
        <f>IF(AO139="","",IF(AND(AO139="O",AP139="O",AR139="O",AT139="O",AU139="O"),"후보","X"))</f>
        <v/>
      </c>
    </row>
    <row r="140" ht="12" customFormat="1" customHeight="1" s="38">
      <c r="A140" s="122" t="inlineStr">
        <is>
          <t>용암동 중흥마을2단지부영</t>
        </is>
      </c>
      <c r="B140" s="123" t="inlineStr">
        <is>
          <t>01.09.</t>
        </is>
      </c>
      <c r="C140" s="131" t="n">
        <v>620</v>
      </c>
      <c r="D140" s="132" t="n">
        <v>113</v>
      </c>
      <c r="E140" s="133" t="n">
        <v>34</v>
      </c>
      <c r="F140" s="132" t="n">
        <v>85</v>
      </c>
      <c r="G140" s="17" t="n">
        <v>26</v>
      </c>
      <c r="H140" s="134" t="n">
        <v>620</v>
      </c>
      <c r="I140" s="135" t="n">
        <v>22000</v>
      </c>
      <c r="J140" s="135" t="inlineStr">
        <is>
          <t>5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n">
        <v>113</v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19">
        <f>S140</f>
        <v/>
      </c>
      <c r="AF140" s="119">
        <f>Q140&amp;"/"&amp;R140</f>
        <v/>
      </c>
      <c r="AH140" s="20">
        <f>IF(A140="","",A140)</f>
        <v/>
      </c>
      <c r="AI140" s="133">
        <f>IF(E140="","",E140)</f>
        <v/>
      </c>
      <c r="AJ140" s="119">
        <f>IF(AI140="","",$AJ$2)</f>
        <v/>
      </c>
      <c r="AK140" s="119" t="inlineStr">
        <is>
          <t>A</t>
        </is>
      </c>
      <c r="AL140" s="119" t="inlineStr">
        <is>
          <t>A+</t>
        </is>
      </c>
      <c r="AM140" s="119" t="inlineStr">
        <is>
          <t>B+</t>
        </is>
      </c>
      <c r="AN140" s="119">
        <f>IF(AI140="","",$AN$2)</f>
        <v/>
      </c>
      <c r="AO140" s="119">
        <f>IF(N140="","",IF(N140&gt;=$AO$1/100,"O","X"))</f>
        <v/>
      </c>
      <c r="AP140" s="119">
        <f>IF(I140="","",IF(I140&lt;=$AP$1,"O","X"))</f>
        <v/>
      </c>
      <c r="AQ140" s="119">
        <f>IF(O140="","",IF(O140&lt;=$AQ$1,"O","X"))</f>
        <v/>
      </c>
      <c r="AR140" s="119">
        <f>IF(M140="","",IF(M140&lt;=$AR$1,"O","X"))</f>
        <v/>
      </c>
      <c r="AS140" s="119" t="inlineStr">
        <is>
          <t>X</t>
        </is>
      </c>
      <c r="AT140" s="119">
        <f>IF(OR(F140="",AI140=""),"",IF(AND((F140&lt;=85),(AI140&gt;=15)),"O","X"))</f>
        <v/>
      </c>
      <c r="AU140" s="119">
        <f>IF(C140="","",IF(C140&gt;=$AU$1,"O","X"))</f>
        <v/>
      </c>
      <c r="AV140" s="119">
        <f>IF(AO140="","",IF(AND(AO140="O",AP140="O",AR140="O",AT140="O",AU140="O"),"후보","X"))</f>
        <v/>
      </c>
    </row>
    <row r="141" ht="12" customFormat="1" customHeight="1" s="38">
      <c r="A141" s="122" t="inlineStr">
        <is>
          <t>용암동 청주용암주공1단지</t>
        </is>
      </c>
      <c r="B141" s="123" t="inlineStr">
        <is>
          <t>94.11.</t>
        </is>
      </c>
      <c r="C141" s="131" t="n">
        <v>600</v>
      </c>
      <c r="D141" s="132" t="n">
        <v>69.7</v>
      </c>
      <c r="E141" s="133" t="n">
        <v>21</v>
      </c>
      <c r="F141" s="132" t="n">
        <v>49.8</v>
      </c>
      <c r="G141" s="17" t="n">
        <v>15</v>
      </c>
      <c r="H141" s="134" t="n">
        <v>480</v>
      </c>
      <c r="I141" s="135" t="n">
        <v>10000</v>
      </c>
      <c r="J141" s="135" t="inlineStr">
        <is>
          <t>13</t>
        </is>
      </c>
      <c r="K141" s="135" t="n">
        <v>9500</v>
      </c>
      <c r="L141" s="135" t="inlineStr">
        <is>
          <t>15</t>
        </is>
      </c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2</v>
      </c>
      <c r="R141" s="119" t="n">
        <v>1</v>
      </c>
      <c r="S141" s="119" t="inlineStr">
        <is>
          <t>복</t>
        </is>
      </c>
      <c r="T141" s="5" t="inlineStr">
        <is>
          <t>69A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19">
        <f>S141</f>
        <v/>
      </c>
      <c r="AF141" s="119">
        <f>Q141&amp;"/"&amp;R141</f>
        <v/>
      </c>
      <c r="AH141" s="20">
        <f>IF(A141="","",A141)</f>
        <v/>
      </c>
      <c r="AI141" s="133">
        <f>IF(E141="","",E141)</f>
        <v/>
      </c>
      <c r="AJ141" s="119">
        <f>IF(AI141="","",$AJ$2)</f>
        <v/>
      </c>
      <c r="AK141" s="119" t="inlineStr">
        <is>
          <t>A</t>
        </is>
      </c>
      <c r="AL141" s="119" t="inlineStr">
        <is>
          <t>A+</t>
        </is>
      </c>
      <c r="AM141" s="119" t="inlineStr">
        <is>
          <t>B+</t>
        </is>
      </c>
      <c r="AN141" s="119">
        <f>IF(AI141="","",$AN$2)</f>
        <v/>
      </c>
      <c r="AO141" s="119">
        <f>IF(N141="","",IF(N141&gt;=$AO$1/100,"O","X"))</f>
        <v/>
      </c>
      <c r="AP141" s="119">
        <f>IF(I141="","",IF(I141&lt;=$AP$1,"O","X"))</f>
        <v/>
      </c>
      <c r="AQ141" s="119">
        <f>IF(O141="","",IF(O141&lt;=$AQ$1,"O","X"))</f>
        <v/>
      </c>
      <c r="AR141" s="119">
        <f>IF(M141="","",IF(M141&lt;=$AR$1,"O","X"))</f>
        <v/>
      </c>
      <c r="AS141" s="119" t="inlineStr">
        <is>
          <t>X</t>
        </is>
      </c>
      <c r="AT141" s="119">
        <f>IF(OR(F141="",AI141=""),"",IF(AND((F141&lt;=85),(AI141&gt;=15)),"O","X"))</f>
        <v/>
      </c>
      <c r="AU141" s="119">
        <f>IF(C141="","",IF(C141&gt;=$AU$1,"O","X"))</f>
        <v/>
      </c>
      <c r="AV141" s="119">
        <f>IF(AO141="","",IF(AND(AO141="O",AP141="O",AR141="O",AT141="O",AU141="O"),"후보","X"))</f>
        <v/>
      </c>
    </row>
    <row r="142" ht="12" customFormat="1" customHeight="1" s="38">
      <c r="A142" s="122" t="inlineStr">
        <is>
          <t>용암동 청주용암주공1단지</t>
        </is>
      </c>
      <c r="B142" s="123" t="inlineStr">
        <is>
          <t>94.11.</t>
        </is>
      </c>
      <c r="C142" s="131" t="n">
        <v>600</v>
      </c>
      <c r="D142" s="132" t="n">
        <v>71</v>
      </c>
      <c r="E142" s="133" t="n">
        <v>21</v>
      </c>
      <c r="F142" s="132" t="n">
        <v>49.8</v>
      </c>
      <c r="G142" s="17" t="n">
        <v>15</v>
      </c>
      <c r="H142" s="134" t="n">
        <v>120</v>
      </c>
      <c r="I142" s="135" t="n">
        <v>9500</v>
      </c>
      <c r="J142" s="135" t="inlineStr">
        <is>
          <t>15</t>
        </is>
      </c>
      <c r="K142" s="135" t="n">
        <v>9500</v>
      </c>
      <c r="L142" s="135" t="inlineStr">
        <is>
          <t>8</t>
        </is>
      </c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2</v>
      </c>
      <c r="R142" s="119" t="n">
        <v>1</v>
      </c>
      <c r="S142" s="119" t="inlineStr">
        <is>
          <t>복</t>
        </is>
      </c>
      <c r="T142" s="5" t="inlineStr">
        <is>
          <t>70B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19">
        <f>S142</f>
        <v/>
      </c>
      <c r="AF142" s="119">
        <f>Q142&amp;"/"&amp;R142</f>
        <v/>
      </c>
      <c r="AH142" s="20">
        <f>IF(A142="","",A142)</f>
        <v/>
      </c>
      <c r="AI142" s="133">
        <f>IF(E142="","",E142)</f>
        <v/>
      </c>
      <c r="AJ142" s="119">
        <f>IF(AI142="","",$AJ$2)</f>
        <v/>
      </c>
      <c r="AK142" s="119" t="inlineStr">
        <is>
          <t>A</t>
        </is>
      </c>
      <c r="AL142" s="119" t="inlineStr">
        <is>
          <t>A+</t>
        </is>
      </c>
      <c r="AM142" s="119" t="inlineStr">
        <is>
          <t>B+</t>
        </is>
      </c>
      <c r="AN142" s="119">
        <f>IF(AI142="","",$AN$2)</f>
        <v/>
      </c>
      <c r="AO142" s="119">
        <f>IF(N142="","",IF(N142&gt;=$AO$1/100,"O","X"))</f>
        <v/>
      </c>
      <c r="AP142" s="119">
        <f>IF(I142="","",IF(I142&lt;=$AP$1,"O","X"))</f>
        <v/>
      </c>
      <c r="AQ142" s="119">
        <f>IF(O142="","",IF(O142&lt;=$AQ$1,"O","X"))</f>
        <v/>
      </c>
      <c r="AR142" s="119">
        <f>IF(M142="","",IF(M142&lt;=$AR$1,"O","X"))</f>
        <v/>
      </c>
      <c r="AS142" s="119" t="inlineStr">
        <is>
          <t>X</t>
        </is>
      </c>
      <c r="AT142" s="119">
        <f>IF(OR(F142="",AI142=""),"",IF(AND((F142&lt;=85),(AI142&gt;=15)),"O","X"))</f>
        <v/>
      </c>
      <c r="AU142" s="119">
        <f>IF(C142="","",IF(C142&gt;=$AU$1,"O","X"))</f>
        <v/>
      </c>
      <c r="AV142" s="119">
        <f>IF(AO142="","",IF(AND(AO142="O",AP142="O",AR142="O",AT142="O",AU142="O"),"후보","X"))</f>
        <v/>
      </c>
    </row>
    <row r="143" ht="12" customFormat="1" customHeight="1" s="38">
      <c r="A143" s="122" t="inlineStr">
        <is>
          <t>용암동 청주동남지구우미린에듀포레</t>
        </is>
      </c>
      <c r="B143" s="123" t="inlineStr">
        <is>
          <t>22.01.</t>
        </is>
      </c>
      <c r="C143" s="131" t="n">
        <v>489</v>
      </c>
      <c r="D143" s="132" t="n">
        <v>108.3</v>
      </c>
      <c r="E143" s="133" t="n">
        <v>33</v>
      </c>
      <c r="F143" s="132" t="n">
        <v>85</v>
      </c>
      <c r="G143" s="17" t="n">
        <v>26</v>
      </c>
      <c r="H143" s="134" t="n">
        <v>228</v>
      </c>
      <c r="I143" s="135" t="n"/>
      <c r="J143" s="135" t="n"/>
      <c r="K143" s="135" t="n">
        <v>41000</v>
      </c>
      <c r="L143" s="135" t="inlineStr">
        <is>
          <t>7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108A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19">
        <f>S143</f>
        <v/>
      </c>
      <c r="AF143" s="119">
        <f>Q143&amp;"/"&amp;R143</f>
        <v/>
      </c>
      <c r="AH143" s="20">
        <f>IF(A143="","",A143)</f>
        <v/>
      </c>
      <c r="AI143" s="133">
        <f>IF(E143="","",E143)</f>
        <v/>
      </c>
      <c r="AJ143" s="119">
        <f>IF(AI143="","",$AJ$2)</f>
        <v/>
      </c>
      <c r="AK143" s="119" t="inlineStr">
        <is>
          <t>A</t>
        </is>
      </c>
      <c r="AL143" s="119" t="inlineStr">
        <is>
          <t>A+</t>
        </is>
      </c>
      <c r="AM143" s="119" t="inlineStr">
        <is>
          <t>B+</t>
        </is>
      </c>
      <c r="AN143" s="119">
        <f>IF(AI143="","",$AN$2)</f>
        <v/>
      </c>
      <c r="AO143" s="119">
        <f>IF(N143="","",IF(N143&gt;=$AO$1/100,"O","X"))</f>
        <v/>
      </c>
      <c r="AP143" s="119">
        <f>IF(I143="","",IF(I143&lt;=$AP$1,"O","X"))</f>
        <v/>
      </c>
      <c r="AQ143" s="119">
        <f>IF(O143="","",IF(O143&lt;=$AQ$1,"O","X"))</f>
        <v/>
      </c>
      <c r="AR143" s="119">
        <f>IF(M143="","",IF(M143&lt;=$AR$1,"O","X"))</f>
        <v/>
      </c>
      <c r="AS143" s="119" t="inlineStr">
        <is>
          <t>X</t>
        </is>
      </c>
      <c r="AT143" s="119">
        <f>IF(OR(F143="",AI143=""),"",IF(AND((F143&lt;=85),(AI143&gt;=15)),"O","X"))</f>
        <v/>
      </c>
      <c r="AU143" s="119">
        <f>IF(C143="","",IF(C143&gt;=$AU$1,"O","X"))</f>
        <v/>
      </c>
      <c r="AV143" s="119">
        <f>IF(AO143="","",IF(AND(AO143="O",AP143="O",AR143="O",AT143="O",AU143="O"),"후보","X"))</f>
        <v/>
      </c>
    </row>
    <row r="144" ht="12" customFormat="1" customHeight="1" s="38">
      <c r="A144" s="122" t="inlineStr">
        <is>
          <t>용암동 청주동남지구우미린에듀포레</t>
        </is>
      </c>
      <c r="B144" s="123" t="inlineStr">
        <is>
          <t>22.01.</t>
        </is>
      </c>
      <c r="C144" s="131" t="n">
        <v>489</v>
      </c>
      <c r="D144" s="132" t="n">
        <v>109.1</v>
      </c>
      <c r="E144" s="133" t="n">
        <v>33</v>
      </c>
      <c r="F144" s="132" t="n">
        <v>84.90000000000001</v>
      </c>
      <c r="G144" s="17" t="n">
        <v>26</v>
      </c>
      <c r="H144" s="134" t="n">
        <v>46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inlineStr">
        <is>
          <t>109B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19">
        <f>S144</f>
        <v/>
      </c>
      <c r="AF144" s="119">
        <f>Q144&amp;"/"&amp;R144</f>
        <v/>
      </c>
      <c r="AH144" s="20">
        <f>IF(A144="","",A144)</f>
        <v/>
      </c>
      <c r="AI144" s="133">
        <f>IF(E144="","",E144)</f>
        <v/>
      </c>
      <c r="AJ144" s="119">
        <f>IF(AI144="","",$AJ$2)</f>
        <v/>
      </c>
      <c r="AK144" s="119" t="inlineStr">
        <is>
          <t>A</t>
        </is>
      </c>
      <c r="AL144" s="119" t="inlineStr">
        <is>
          <t>A+</t>
        </is>
      </c>
      <c r="AM144" s="119" t="inlineStr">
        <is>
          <t>B+</t>
        </is>
      </c>
      <c r="AN144" s="119">
        <f>IF(AI144="","",$AN$2)</f>
        <v/>
      </c>
      <c r="AO144" s="119">
        <f>IF(N144="","",IF(N144&gt;=$AO$1/100,"O","X"))</f>
        <v/>
      </c>
      <c r="AP144" s="119">
        <f>IF(I144="","",IF(I144&lt;=$AP$1,"O","X"))</f>
        <v/>
      </c>
      <c r="AQ144" s="119">
        <f>IF(O144="","",IF(O144&lt;=$AQ$1,"O","X"))</f>
        <v/>
      </c>
      <c r="AR144" s="119">
        <f>IF(M144="","",IF(M144&lt;=$AR$1,"O","X"))</f>
        <v/>
      </c>
      <c r="AS144" s="119" t="inlineStr">
        <is>
          <t>X</t>
        </is>
      </c>
      <c r="AT144" s="119">
        <f>IF(OR(F144="",AI144=""),"",IF(AND((F144&lt;=85),(AI144&gt;=15)),"O","X"))</f>
        <v/>
      </c>
      <c r="AU144" s="119">
        <f>IF(C144="","",IF(C144&gt;=$AU$1,"O","X"))</f>
        <v/>
      </c>
      <c r="AV144" s="119">
        <f>IF(AO144="","",IF(AND(AO144="O",AP144="O",AR144="O",AT144="O",AU144="O"),"후보","X"))</f>
        <v/>
      </c>
    </row>
    <row r="145" ht="12" customFormat="1" customHeight="1" s="38">
      <c r="A145" s="122" t="inlineStr">
        <is>
          <t>용암동 청주동남지구우미린에듀포레</t>
        </is>
      </c>
      <c r="B145" s="123" t="inlineStr">
        <is>
          <t>22.01.</t>
        </is>
      </c>
      <c r="C145" s="131" t="n">
        <v>489</v>
      </c>
      <c r="D145" s="132" t="n">
        <v>121.1</v>
      </c>
      <c r="E145" s="133" t="n">
        <v>37</v>
      </c>
      <c r="F145" s="132" t="n">
        <v>95.8</v>
      </c>
      <c r="G145" s="17" t="n">
        <v>29</v>
      </c>
      <c r="H145" s="134" t="n">
        <v>17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inlineStr">
        <is>
          <t>121A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19">
        <f>S145</f>
        <v/>
      </c>
      <c r="AF145" s="119">
        <f>Q145&amp;"/"&amp;R145</f>
        <v/>
      </c>
      <c r="AH145" s="20">
        <f>IF(A145="","",A145)</f>
        <v/>
      </c>
      <c r="AI145" s="133">
        <f>IF(E145="","",E145)</f>
        <v/>
      </c>
      <c r="AJ145" s="119">
        <f>IF(AI145="","",$AJ$2)</f>
        <v/>
      </c>
      <c r="AK145" s="119" t="inlineStr">
        <is>
          <t>A</t>
        </is>
      </c>
      <c r="AL145" s="119" t="inlineStr">
        <is>
          <t>A+</t>
        </is>
      </c>
      <c r="AM145" s="119" t="inlineStr">
        <is>
          <t>B+</t>
        </is>
      </c>
      <c r="AN145" s="119">
        <f>IF(AI145="","",$AN$2)</f>
        <v/>
      </c>
      <c r="AO145" s="119">
        <f>IF(N145="","",IF(N145&gt;=$AO$1/100,"O","X"))</f>
        <v/>
      </c>
      <c r="AP145" s="119">
        <f>IF(I145="","",IF(I145&lt;=$AP$1,"O","X"))</f>
        <v/>
      </c>
      <c r="AQ145" s="119">
        <f>IF(O145="","",IF(O145&lt;=$AQ$1,"O","X"))</f>
        <v/>
      </c>
      <c r="AR145" s="119">
        <f>IF(M145="","",IF(M145&lt;=$AR$1,"O","X"))</f>
        <v/>
      </c>
      <c r="AS145" s="119" t="inlineStr">
        <is>
          <t>X</t>
        </is>
      </c>
      <c r="AT145" s="119">
        <f>IF(OR(F145="",AI145=""),"",IF(AND((F145&lt;=85),(AI145&gt;=15)),"O","X"))</f>
        <v/>
      </c>
      <c r="AU145" s="119">
        <f>IF(C145="","",IF(C145&gt;=$AU$1,"O","X"))</f>
        <v/>
      </c>
      <c r="AV145" s="119">
        <f>IF(AO145="","",IF(AND(AO145="O",AP145="O",AR145="O",AT145="O",AU145="O"),"후보","X"))</f>
        <v/>
      </c>
    </row>
    <row r="146" ht="12" customFormat="1" customHeight="1" s="38">
      <c r="A146" s="122" t="inlineStr">
        <is>
          <t>용암동 청주동남지구우미린에듀포레</t>
        </is>
      </c>
      <c r="B146" s="123" t="inlineStr">
        <is>
          <t>22.01.</t>
        </is>
      </c>
      <c r="C146" s="131" t="n">
        <v>489</v>
      </c>
      <c r="D146" s="132" t="n">
        <v>121.9</v>
      </c>
      <c r="E146" s="133" t="n">
        <v>37</v>
      </c>
      <c r="F146" s="132" t="n">
        <v>95.8</v>
      </c>
      <c r="G146" s="17" t="n">
        <v>29</v>
      </c>
      <c r="H146" s="134" t="n">
        <v>4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inlineStr">
        <is>
          <t>121B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19">
        <f>S146</f>
        <v/>
      </c>
      <c r="AF146" s="119">
        <f>Q146&amp;"/"&amp;R146</f>
        <v/>
      </c>
      <c r="AH146" s="20">
        <f>IF(A146="","",A146)</f>
        <v/>
      </c>
      <c r="AI146" s="133">
        <f>IF(E146="","",E146)</f>
        <v/>
      </c>
      <c r="AJ146" s="119">
        <f>IF(AI146="","",$AJ$2)</f>
        <v/>
      </c>
      <c r="AK146" s="119" t="inlineStr">
        <is>
          <t>A</t>
        </is>
      </c>
      <c r="AL146" s="119" t="inlineStr">
        <is>
          <t>A+</t>
        </is>
      </c>
      <c r="AM146" s="119" t="inlineStr">
        <is>
          <t>B+</t>
        </is>
      </c>
      <c r="AN146" s="119">
        <f>IF(AI146="","",$AN$2)</f>
        <v/>
      </c>
      <c r="AO146" s="119">
        <f>IF(N146="","",IF(N146&gt;=$AO$1/100,"O","X"))</f>
        <v/>
      </c>
      <c r="AP146" s="119">
        <f>IF(I146="","",IF(I146&lt;=$AP$1,"O","X"))</f>
        <v/>
      </c>
      <c r="AQ146" s="119">
        <f>IF(O146="","",IF(O146&lt;=$AQ$1,"O","X"))</f>
        <v/>
      </c>
      <c r="AR146" s="119">
        <f>IF(M146="","",IF(M146&lt;=$AR$1,"O","X"))</f>
        <v/>
      </c>
      <c r="AS146" s="119" t="inlineStr">
        <is>
          <t>X</t>
        </is>
      </c>
      <c r="AT146" s="119">
        <f>IF(OR(F146="",AI146=""),"",IF(AND((F146&lt;=85),(AI146&gt;=15)),"O","X"))</f>
        <v/>
      </c>
      <c r="AU146" s="119">
        <f>IF(C146="","",IF(C146&gt;=$AU$1,"O","X"))</f>
        <v/>
      </c>
      <c r="AV146" s="119">
        <f>IF(AO146="","",IF(AND(AO146="O",AP146="O",AR146="O",AT146="O",AU146="O"),"후보","X"))</f>
        <v/>
      </c>
    </row>
    <row r="147" ht="12" customFormat="1" customHeight="1" s="38">
      <c r="A147" s="122" t="inlineStr">
        <is>
          <t>용암동 청주동남지구우미린에듀포레</t>
        </is>
      </c>
      <c r="B147" s="123" t="inlineStr">
        <is>
          <t>22.01.</t>
        </is>
      </c>
      <c r="C147" s="131" t="n">
        <v>489</v>
      </c>
      <c r="D147" s="132" t="n">
        <v>127.5</v>
      </c>
      <c r="E147" s="133" t="n">
        <v>39</v>
      </c>
      <c r="F147" s="132" t="n">
        <v>101</v>
      </c>
      <c r="G147" s="17" t="n">
        <v>31</v>
      </c>
      <c r="H147" s="134" t="n">
        <v>145</v>
      </c>
      <c r="I147" s="135" t="n"/>
      <c r="J147" s="135" t="n"/>
      <c r="K147" s="135" t="n">
        <v>45000</v>
      </c>
      <c r="L147" s="135" t="inlineStr">
        <is>
          <t>13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4</v>
      </c>
      <c r="R147" s="119" t="n">
        <v>2</v>
      </c>
      <c r="S147" s="119" t="inlineStr">
        <is>
          <t>계</t>
        </is>
      </c>
      <c r="T147" s="5" t="n">
        <v>127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19">
        <f>S147</f>
        <v/>
      </c>
      <c r="AF147" s="119">
        <f>Q147&amp;"/"&amp;R147</f>
        <v/>
      </c>
      <c r="AH147" s="20">
        <f>IF(A147="","",A147)</f>
        <v/>
      </c>
      <c r="AI147" s="133">
        <f>IF(E147="","",E147)</f>
        <v/>
      </c>
      <c r="AJ147" s="119">
        <f>IF(AI147="","",$AJ$2)</f>
        <v/>
      </c>
      <c r="AK147" s="119" t="inlineStr">
        <is>
          <t>A</t>
        </is>
      </c>
      <c r="AL147" s="119" t="inlineStr">
        <is>
          <t>A+</t>
        </is>
      </c>
      <c r="AM147" s="119" t="inlineStr">
        <is>
          <t>B+</t>
        </is>
      </c>
      <c r="AN147" s="119">
        <f>IF(AI147="","",$AN$2)</f>
        <v/>
      </c>
      <c r="AO147" s="119">
        <f>IF(N147="","",IF(N147&gt;=$AO$1/100,"O","X"))</f>
        <v/>
      </c>
      <c r="AP147" s="119">
        <f>IF(I147="","",IF(I147&lt;=$AP$1,"O","X"))</f>
        <v/>
      </c>
      <c r="AQ147" s="119">
        <f>IF(O147="","",IF(O147&lt;=$AQ$1,"O","X"))</f>
        <v/>
      </c>
      <c r="AR147" s="119">
        <f>IF(M147="","",IF(M147&lt;=$AR$1,"O","X"))</f>
        <v/>
      </c>
      <c r="AS147" s="119" t="inlineStr">
        <is>
          <t>X</t>
        </is>
      </c>
      <c r="AT147" s="119">
        <f>IF(OR(F147="",AI147=""),"",IF(AND((F147&lt;=85),(AI147&gt;=15)),"O","X"))</f>
        <v/>
      </c>
      <c r="AU147" s="119">
        <f>IF(C147="","",IF(C147&gt;=$AU$1,"O","X"))</f>
        <v/>
      </c>
      <c r="AV147" s="119">
        <f>IF(AO147="","",IF(AND(AO147="O",AP147="O",AR147="O",AT147="O",AU147="O"),"후보","X"))</f>
        <v/>
      </c>
    </row>
    <row r="148" ht="12" customFormat="1" customHeight="1" s="38">
      <c r="A148" s="122" t="inlineStr">
        <is>
          <t>용암동 청주동남지구우미린에듀포레</t>
        </is>
      </c>
      <c r="B148" s="123" t="inlineStr">
        <is>
          <t>22.01.</t>
        </is>
      </c>
      <c r="C148" s="131" t="n">
        <v>489</v>
      </c>
      <c r="D148" s="132" t="n">
        <v>146.6</v>
      </c>
      <c r="E148" s="133" t="n">
        <v>44</v>
      </c>
      <c r="F148" s="132" t="n">
        <v>116</v>
      </c>
      <c r="G148" s="17" t="n">
        <v>35</v>
      </c>
      <c r="H148" s="134" t="n">
        <v>49</v>
      </c>
      <c r="I148" s="135" t="n"/>
      <c r="J148" s="135" t="n"/>
      <c r="K148" s="135" t="n">
        <v>51000</v>
      </c>
      <c r="L148" s="135" t="inlineStr">
        <is>
          <t>중</t>
        </is>
      </c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4</v>
      </c>
      <c r="R148" s="119" t="n">
        <v>2</v>
      </c>
      <c r="S148" s="119" t="inlineStr">
        <is>
          <t>계</t>
        </is>
      </c>
      <c r="T148" s="5" t="n">
        <v>146</v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19">
        <f>S148</f>
        <v/>
      </c>
      <c r="AF148" s="119">
        <f>Q148&amp;"/"&amp;R148</f>
        <v/>
      </c>
      <c r="AH148" s="20">
        <f>IF(A148="","",A148)</f>
        <v/>
      </c>
      <c r="AI148" s="133">
        <f>IF(E148="","",E148)</f>
        <v/>
      </c>
      <c r="AJ148" s="119">
        <f>IF(AI148="","",$AJ$2)</f>
        <v/>
      </c>
      <c r="AK148" s="119" t="inlineStr">
        <is>
          <t>A</t>
        </is>
      </c>
      <c r="AL148" s="119" t="inlineStr">
        <is>
          <t>A+</t>
        </is>
      </c>
      <c r="AM148" s="119" t="inlineStr">
        <is>
          <t>B+</t>
        </is>
      </c>
      <c r="AN148" s="119">
        <f>IF(AI148="","",$AN$2)</f>
        <v/>
      </c>
      <c r="AO148" s="119">
        <f>IF(N148="","",IF(N148&gt;=$AO$1/100,"O","X"))</f>
        <v/>
      </c>
      <c r="AP148" s="119">
        <f>IF(I148="","",IF(I148&lt;=$AP$1,"O","X"))</f>
        <v/>
      </c>
      <c r="AQ148" s="119">
        <f>IF(O148="","",IF(O148&lt;=$AQ$1,"O","X"))</f>
        <v/>
      </c>
      <c r="AR148" s="119">
        <f>IF(M148="","",IF(M148&lt;=$AR$1,"O","X"))</f>
        <v/>
      </c>
      <c r="AS148" s="119" t="inlineStr">
        <is>
          <t>X</t>
        </is>
      </c>
      <c r="AT148" s="119">
        <f>IF(OR(F148="",AI148=""),"",IF(AND((F148&lt;=85),(AI148&gt;=15)),"O","X"))</f>
        <v/>
      </c>
      <c r="AU148" s="119">
        <f>IF(C148="","",IF(C148&gt;=$AU$1,"O","X"))</f>
        <v/>
      </c>
      <c r="AV148" s="119">
        <f>IF(AO148="","",IF(AND(AO148="O",AP148="O",AR148="O",AT148="O",AU148="O"),"후보","X"))</f>
        <v/>
      </c>
    </row>
    <row r="149" ht="12" customFormat="1" customHeight="1" s="38">
      <c r="A149" s="122" t="inlineStr">
        <is>
          <t>용암동 중흥마을마이빌</t>
        </is>
      </c>
      <c r="B149" s="123" t="inlineStr">
        <is>
          <t>03.07.</t>
        </is>
      </c>
      <c r="C149" s="131" t="n">
        <v>856</v>
      </c>
      <c r="D149" s="132" t="n">
        <v>75</v>
      </c>
      <c r="E149" s="133" t="n">
        <v>23</v>
      </c>
      <c r="F149" s="132" t="n">
        <v>59.9</v>
      </c>
      <c r="G149" s="17" t="n">
        <v>18</v>
      </c>
      <c r="H149" s="134" t="n">
        <v>390</v>
      </c>
      <c r="I149" s="135" t="n">
        <v>17500</v>
      </c>
      <c r="J149" s="135" t="inlineStr">
        <is>
          <t>8</t>
        </is>
      </c>
      <c r="K149" s="135" t="n">
        <v>13000</v>
      </c>
      <c r="L149" s="135" t="inlineStr">
        <is>
          <t>고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2</v>
      </c>
      <c r="S149" s="119" t="inlineStr">
        <is>
          <t>계</t>
        </is>
      </c>
      <c r="T149" s="5" t="inlineStr">
        <is>
          <t>75A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19">
        <f>S149</f>
        <v/>
      </c>
      <c r="AF149" s="119">
        <f>Q149&amp;"/"&amp;R149</f>
        <v/>
      </c>
      <c r="AH149" s="20">
        <f>IF(A149="","",A149)</f>
        <v/>
      </c>
      <c r="AI149" s="133">
        <f>IF(E149="","",E149)</f>
        <v/>
      </c>
      <c r="AJ149" s="119">
        <f>IF(AI149="","",$AJ$2)</f>
        <v/>
      </c>
      <c r="AK149" s="119" t="inlineStr">
        <is>
          <t>A</t>
        </is>
      </c>
      <c r="AL149" s="119" t="inlineStr">
        <is>
          <t>A+</t>
        </is>
      </c>
      <c r="AM149" s="119" t="inlineStr">
        <is>
          <t>B+</t>
        </is>
      </c>
      <c r="AN149" s="119">
        <f>IF(AI149="","",$AN$2)</f>
        <v/>
      </c>
      <c r="AO149" s="119">
        <f>IF(N149="","",IF(N149&gt;=$AO$1/100,"O","X"))</f>
        <v/>
      </c>
      <c r="AP149" s="119">
        <f>IF(I149="","",IF(I149&lt;=$AP$1,"O","X"))</f>
        <v/>
      </c>
      <c r="AQ149" s="119">
        <f>IF(O149="","",IF(O149&lt;=$AQ$1,"O","X"))</f>
        <v/>
      </c>
      <c r="AR149" s="119">
        <f>IF(M149="","",IF(M149&lt;=$AR$1,"O","X"))</f>
        <v/>
      </c>
      <c r="AS149" s="119" t="inlineStr">
        <is>
          <t>X</t>
        </is>
      </c>
      <c r="AT149" s="119">
        <f>IF(OR(F149="",AI149=""),"",IF(AND((F149&lt;=85),(AI149&gt;=15)),"O","X"))</f>
        <v/>
      </c>
      <c r="AU149" s="119">
        <f>IF(C149="","",IF(C149&gt;=$AU$1,"O","X"))</f>
        <v/>
      </c>
      <c r="AV149" s="119">
        <f>IF(AO149="","",IF(AND(AO149="O",AP149="O",AR149="O",AT149="O",AU149="O"),"후보","X"))</f>
        <v/>
      </c>
    </row>
    <row r="150" ht="12" customFormat="1" customHeight="1" s="38">
      <c r="A150" s="122" t="inlineStr">
        <is>
          <t>용암동 중흥마을마이빌</t>
        </is>
      </c>
      <c r="B150" s="123" t="inlineStr">
        <is>
          <t>03.07.</t>
        </is>
      </c>
      <c r="C150" s="131" t="n">
        <v>856</v>
      </c>
      <c r="D150" s="132" t="n">
        <v>75.09999999999999</v>
      </c>
      <c r="E150" s="133" t="n">
        <v>23</v>
      </c>
      <c r="F150" s="132" t="n">
        <v>59.4</v>
      </c>
      <c r="G150" s="17" t="n">
        <v>18</v>
      </c>
      <c r="H150" s="134" t="n">
        <v>214</v>
      </c>
      <c r="I150" s="135" t="n">
        <v>17500</v>
      </c>
      <c r="J150" s="135" t="inlineStr">
        <is>
          <t>11</t>
        </is>
      </c>
      <c r="K150" s="135" t="n">
        <v>17000</v>
      </c>
      <c r="L150" s="135" t="inlineStr">
        <is>
          <t>12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19" t="n">
        <v>2</v>
      </c>
      <c r="R150" s="119" t="n">
        <v>1</v>
      </c>
      <c r="S150" s="119" t="inlineStr">
        <is>
          <t>계</t>
        </is>
      </c>
      <c r="T150" s="5" t="inlineStr">
        <is>
          <t>75C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19">
        <f>S150</f>
        <v/>
      </c>
      <c r="AF150" s="119">
        <f>Q150&amp;"/"&amp;R150</f>
        <v/>
      </c>
      <c r="AH150" s="20">
        <f>IF(A150="","",A150)</f>
        <v/>
      </c>
      <c r="AI150" s="133">
        <f>IF(E150="","",E150)</f>
        <v/>
      </c>
      <c r="AJ150" s="119">
        <f>IF(AI150="","",$AJ$2)</f>
        <v/>
      </c>
      <c r="AK150" s="119" t="inlineStr">
        <is>
          <t>A</t>
        </is>
      </c>
      <c r="AL150" s="119" t="inlineStr">
        <is>
          <t>A+</t>
        </is>
      </c>
      <c r="AM150" s="119" t="inlineStr">
        <is>
          <t>B+</t>
        </is>
      </c>
      <c r="AN150" s="119">
        <f>IF(AI150="","",$AN$2)</f>
        <v/>
      </c>
      <c r="AO150" s="119">
        <f>IF(N150="","",IF(N150&gt;=$AO$1/100,"O","X"))</f>
        <v/>
      </c>
      <c r="AP150" s="119">
        <f>IF(I150="","",IF(I150&lt;=$AP$1,"O","X"))</f>
        <v/>
      </c>
      <c r="AQ150" s="119">
        <f>IF(O150="","",IF(O150&lt;=$AQ$1,"O","X"))</f>
        <v/>
      </c>
      <c r="AR150" s="119">
        <f>IF(M150="","",IF(M150&lt;=$AR$1,"O","X"))</f>
        <v/>
      </c>
      <c r="AS150" s="119" t="inlineStr">
        <is>
          <t>X</t>
        </is>
      </c>
      <c r="AT150" s="119">
        <f>IF(OR(F150="",AI150=""),"",IF(AND((F150&lt;=85),(AI150&gt;=15)),"O","X"))</f>
        <v/>
      </c>
      <c r="AU150" s="119">
        <f>IF(C150="","",IF(C150&gt;=$AU$1,"O","X"))</f>
        <v/>
      </c>
      <c r="AV150" s="119">
        <f>IF(AO150="","",IF(AND(AO150="O",AP150="O",AR150="O",AT150="O",AU150="O"),"후보","X"))</f>
        <v/>
      </c>
    </row>
    <row r="151" ht="12" customFormat="1" customHeight="1" s="38">
      <c r="A151" s="122" t="inlineStr">
        <is>
          <t>용암동 중흥마을마이빌</t>
        </is>
      </c>
      <c r="B151" s="123" t="inlineStr">
        <is>
          <t>03.07.</t>
        </is>
      </c>
      <c r="C151" s="131" t="n">
        <v>856</v>
      </c>
      <c r="D151" s="132" t="n">
        <v>75</v>
      </c>
      <c r="E151" s="133" t="n">
        <v>23</v>
      </c>
      <c r="F151" s="132" t="n">
        <v>59.9</v>
      </c>
      <c r="G151" s="17" t="n">
        <v>18</v>
      </c>
      <c r="H151" s="134" t="n">
        <v>192</v>
      </c>
      <c r="I151" s="135" t="n">
        <v>17500</v>
      </c>
      <c r="J151" s="135" t="inlineStr">
        <is>
          <t>8</t>
        </is>
      </c>
      <c r="K151" s="135" t="n">
        <v>13000</v>
      </c>
      <c r="L151" s="135" t="inlineStr">
        <is>
          <t>고</t>
        </is>
      </c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19" t="n">
        <v>3</v>
      </c>
      <c r="R151" s="119" t="n">
        <v>2</v>
      </c>
      <c r="S151" s="119" t="inlineStr">
        <is>
          <t>계</t>
        </is>
      </c>
      <c r="T151" s="5" t="inlineStr">
        <is>
          <t>75B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19">
        <f>S151</f>
        <v/>
      </c>
      <c r="AF151" s="119">
        <f>Q151&amp;"/"&amp;R151</f>
        <v/>
      </c>
      <c r="AH151" s="20">
        <f>IF(A151="","",A151)</f>
        <v/>
      </c>
      <c r="AI151" s="133">
        <f>IF(E151="","",E151)</f>
        <v/>
      </c>
      <c r="AJ151" s="119">
        <f>IF(AI151="","",$AJ$2)</f>
        <v/>
      </c>
      <c r="AK151" s="119" t="inlineStr">
        <is>
          <t>A</t>
        </is>
      </c>
      <c r="AL151" s="119" t="inlineStr">
        <is>
          <t>A+</t>
        </is>
      </c>
      <c r="AM151" s="119" t="inlineStr">
        <is>
          <t>B+</t>
        </is>
      </c>
      <c r="AN151" s="119">
        <f>IF(AI151="","",$AN$2)</f>
        <v/>
      </c>
      <c r="AO151" s="119">
        <f>IF(N151="","",IF(N151&gt;=$AO$1/100,"O","X"))</f>
        <v/>
      </c>
      <c r="AP151" s="119">
        <f>IF(I151="","",IF(I151&lt;=$AP$1,"O","X"))</f>
        <v/>
      </c>
      <c r="AQ151" s="119">
        <f>IF(O151="","",IF(O151&lt;=$AQ$1,"O","X"))</f>
        <v/>
      </c>
      <c r="AR151" s="119">
        <f>IF(M151="","",IF(M151&lt;=$AR$1,"O","X"))</f>
        <v/>
      </c>
      <c r="AS151" s="119" t="inlineStr">
        <is>
          <t>X</t>
        </is>
      </c>
      <c r="AT151" s="119">
        <f>IF(OR(F151="",AI151=""),"",IF(AND((F151&lt;=85),(AI151&gt;=15)),"O","X"))</f>
        <v/>
      </c>
      <c r="AU151" s="119">
        <f>IF(C151="","",IF(C151&gt;=$AU$1,"O","X"))</f>
        <v/>
      </c>
      <c r="AV151" s="119">
        <f>IF(AO151="","",IF(AND(AO151="O",AP151="O",AR151="O",AT151="O",AU151="O"),"후보","X"))</f>
        <v/>
      </c>
    </row>
    <row r="152" ht="12" customFormat="1" customHeight="1" s="38">
      <c r="A152" s="122" t="inlineStr">
        <is>
          <t>용암동 중흥마을마이빌</t>
        </is>
      </c>
      <c r="B152" s="123" t="inlineStr">
        <is>
          <t>03.07.</t>
        </is>
      </c>
      <c r="C152" s="131" t="n">
        <v>856</v>
      </c>
      <c r="D152" s="132" t="n">
        <v>75</v>
      </c>
      <c r="E152" s="133" t="n">
        <v>23</v>
      </c>
      <c r="F152" s="132" t="n">
        <v>59.3</v>
      </c>
      <c r="G152" s="17" t="n">
        <v>18</v>
      </c>
      <c r="H152" s="134" t="n">
        <v>60</v>
      </c>
      <c r="I152" s="135" t="n">
        <v>17500</v>
      </c>
      <c r="J152" s="135" t="inlineStr">
        <is>
          <t>13</t>
        </is>
      </c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19" t="n">
        <v>2</v>
      </c>
      <c r="R152" s="119" t="n">
        <v>1</v>
      </c>
      <c r="S152" s="119" t="inlineStr">
        <is>
          <t>계</t>
        </is>
      </c>
      <c r="T152" s="5" t="inlineStr">
        <is>
          <t>75D</t>
        </is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19">
        <f>S152</f>
        <v/>
      </c>
      <c r="AF152" s="119">
        <f>Q152&amp;"/"&amp;R152</f>
        <v/>
      </c>
      <c r="AH152" s="20">
        <f>IF(A152="","",A152)</f>
        <v/>
      </c>
      <c r="AI152" s="133">
        <f>IF(E152="","",E152)</f>
        <v/>
      </c>
      <c r="AJ152" s="119">
        <f>IF(AI152="","",$AJ$2)</f>
        <v/>
      </c>
      <c r="AK152" s="119" t="inlineStr">
        <is>
          <t>A</t>
        </is>
      </c>
      <c r="AL152" s="119" t="inlineStr">
        <is>
          <t>A+</t>
        </is>
      </c>
      <c r="AM152" s="119" t="inlineStr">
        <is>
          <t>B+</t>
        </is>
      </c>
      <c r="AN152" s="119">
        <f>IF(AI152="","",$AN$2)</f>
        <v/>
      </c>
      <c r="AO152" s="119">
        <f>IF(N152="","",IF(N152&gt;=$AO$1/100,"O","X"))</f>
        <v/>
      </c>
      <c r="AP152" s="119">
        <f>IF(I152="","",IF(I152&lt;=$AP$1,"O","X"))</f>
        <v/>
      </c>
      <c r="AQ152" s="119">
        <f>IF(O152="","",IF(O152&lt;=$AQ$1,"O","X"))</f>
        <v/>
      </c>
      <c r="AR152" s="119">
        <f>IF(M152="","",IF(M152&lt;=$AR$1,"O","X"))</f>
        <v/>
      </c>
      <c r="AS152" s="119" t="inlineStr">
        <is>
          <t>X</t>
        </is>
      </c>
      <c r="AT152" s="119">
        <f>IF(OR(F152="",AI152=""),"",IF(AND((F152&lt;=85),(AI152&gt;=15)),"O","X"))</f>
        <v/>
      </c>
      <c r="AU152" s="119">
        <f>IF(C152="","",IF(C152&gt;=$AU$1,"O","X"))</f>
        <v/>
      </c>
      <c r="AV152" s="119">
        <f>IF(AO152="","",IF(AND(AO152="O",AP152="O",AR152="O",AT152="O",AU152="O"),"후보","X"))</f>
        <v/>
      </c>
    </row>
    <row r="153" ht="12" customFormat="1" customHeight="1" s="38">
      <c r="A153" s="122" t="inlineStr">
        <is>
          <t>용암동 동남힐데스하임</t>
        </is>
      </c>
      <c r="B153" s="123" t="inlineStr">
        <is>
          <t>20.09.</t>
        </is>
      </c>
      <c r="C153" s="131" t="n">
        <v>910</v>
      </c>
      <c r="D153" s="132" t="n">
        <v>108</v>
      </c>
      <c r="E153" s="133" t="n">
        <v>33</v>
      </c>
      <c r="F153" s="132" t="n">
        <v>85</v>
      </c>
      <c r="G153" s="17" t="n">
        <v>26</v>
      </c>
      <c r="H153" s="134" t="n">
        <v>116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19" t="n">
        <v>3</v>
      </c>
      <c r="R153" s="119" t="n">
        <v>2</v>
      </c>
      <c r="S153" s="119" t="inlineStr">
        <is>
          <t>계</t>
        </is>
      </c>
      <c r="T153" s="5" t="inlineStr">
        <is>
          <t>107C</t>
        </is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19">
        <f>S153</f>
        <v/>
      </c>
      <c r="AF153" s="119">
        <f>Q153&amp;"/"&amp;R153</f>
        <v/>
      </c>
      <c r="AH153" s="20">
        <f>IF(A153="","",A153)</f>
        <v/>
      </c>
      <c r="AI153" s="133">
        <f>IF(E153="","",E153)</f>
        <v/>
      </c>
      <c r="AJ153" s="119">
        <f>IF(AI153="","",$AJ$2)</f>
        <v/>
      </c>
      <c r="AK153" s="119" t="inlineStr">
        <is>
          <t>A</t>
        </is>
      </c>
      <c r="AL153" s="119" t="inlineStr">
        <is>
          <t>A+</t>
        </is>
      </c>
      <c r="AM153" s="119" t="inlineStr">
        <is>
          <t>B+</t>
        </is>
      </c>
      <c r="AN153" s="119">
        <f>IF(AI153="","",$AN$2)</f>
        <v/>
      </c>
      <c r="AO153" s="119">
        <f>IF(N153="","",IF(N153&gt;=$AO$1/100,"O","X"))</f>
        <v/>
      </c>
      <c r="AP153" s="119">
        <f>IF(I153="","",IF(I153&lt;=$AP$1,"O","X"))</f>
        <v/>
      </c>
      <c r="AQ153" s="119">
        <f>IF(O153="","",IF(O153&lt;=$AQ$1,"O","X"))</f>
        <v/>
      </c>
      <c r="AR153" s="119">
        <f>IF(M153="","",IF(M153&lt;=$AR$1,"O","X"))</f>
        <v/>
      </c>
      <c r="AS153" s="119" t="inlineStr">
        <is>
          <t>X</t>
        </is>
      </c>
      <c r="AT153" s="119">
        <f>IF(OR(F153="",AI153=""),"",IF(AND((F153&lt;=85),(AI153&gt;=15)),"O","X"))</f>
        <v/>
      </c>
      <c r="AU153" s="119">
        <f>IF(C153="","",IF(C153&gt;=$AU$1,"O","X"))</f>
        <v/>
      </c>
      <c r="AV153" s="119">
        <f>IF(AO153="","",IF(AND(AO153="O",AP153="O",AR153="O",AT153="O",AU153="O"),"후보","X"))</f>
        <v/>
      </c>
    </row>
    <row r="154" ht="12" customFormat="1" customHeight="1" s="38">
      <c r="A154" s="122" t="inlineStr">
        <is>
          <t>용암동 동남힐데스하임</t>
        </is>
      </c>
      <c r="B154" s="123" t="inlineStr">
        <is>
          <t>20.09.</t>
        </is>
      </c>
      <c r="C154" s="131" t="n">
        <v>910</v>
      </c>
      <c r="D154" s="132" t="n">
        <v>108.2</v>
      </c>
      <c r="E154" s="133" t="n">
        <v>33</v>
      </c>
      <c r="F154" s="132" t="n">
        <v>84.8</v>
      </c>
      <c r="G154" s="17" t="n">
        <v>26</v>
      </c>
      <c r="H154" s="134" t="n">
        <v>619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19" t="n">
        <v>3</v>
      </c>
      <c r="R154" s="119" t="n">
        <v>2</v>
      </c>
      <c r="S154" s="119" t="inlineStr">
        <is>
          <t>계</t>
        </is>
      </c>
      <c r="T154" s="5" t="inlineStr">
        <is>
          <t>108A</t>
        </is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19">
        <f>S154</f>
        <v/>
      </c>
      <c r="AF154" s="119">
        <f>Q154&amp;"/"&amp;R154</f>
        <v/>
      </c>
      <c r="AH154" s="20">
        <f>IF(A154="","",A154)</f>
        <v/>
      </c>
      <c r="AI154" s="133">
        <f>IF(E154="","",E154)</f>
        <v/>
      </c>
      <c r="AJ154" s="119">
        <f>IF(AI154="","",$AJ$2)</f>
        <v/>
      </c>
      <c r="AK154" s="119" t="inlineStr">
        <is>
          <t>A</t>
        </is>
      </c>
      <c r="AL154" s="119" t="inlineStr">
        <is>
          <t>A+</t>
        </is>
      </c>
      <c r="AM154" s="119" t="inlineStr">
        <is>
          <t>B+</t>
        </is>
      </c>
      <c r="AN154" s="119">
        <f>IF(AI154="","",$AN$2)</f>
        <v/>
      </c>
      <c r="AO154" s="119">
        <f>IF(N154="","",IF(N154&gt;=$AO$1/100,"O","X"))</f>
        <v/>
      </c>
      <c r="AP154" s="119">
        <f>IF(I154="","",IF(I154&lt;=$AP$1,"O","X"))</f>
        <v/>
      </c>
      <c r="AQ154" s="119">
        <f>IF(O154="","",IF(O154&lt;=$AQ$1,"O","X"))</f>
        <v/>
      </c>
      <c r="AR154" s="119">
        <f>IF(M154="","",IF(M154&lt;=$AR$1,"O","X"))</f>
        <v/>
      </c>
      <c r="AS154" s="119" t="inlineStr">
        <is>
          <t>X</t>
        </is>
      </c>
      <c r="AT154" s="119">
        <f>IF(OR(F154="",AI154=""),"",IF(AND((F154&lt;=85),(AI154&gt;=15)),"O","X"))</f>
        <v/>
      </c>
      <c r="AU154" s="119">
        <f>IF(C154="","",IF(C154&gt;=$AU$1,"O","X"))</f>
        <v/>
      </c>
      <c r="AV154" s="119">
        <f>IF(AO154="","",IF(AND(AO154="O",AP154="O",AR154="O",AT154="O",AU154="O"),"후보","X"))</f>
        <v/>
      </c>
    </row>
    <row r="155" ht="12" customFormat="1" customHeight="1" s="38">
      <c r="A155" s="122" t="inlineStr">
        <is>
          <t>용암동 동남힐데스하임</t>
        </is>
      </c>
      <c r="B155" s="123" t="inlineStr">
        <is>
          <t>20.09.</t>
        </is>
      </c>
      <c r="C155" s="131" t="n">
        <v>910</v>
      </c>
      <c r="D155" s="132" t="n">
        <v>108.5</v>
      </c>
      <c r="E155" s="133" t="n">
        <v>33</v>
      </c>
      <c r="F155" s="132" t="n">
        <v>84.8</v>
      </c>
      <c r="G155" s="17" t="n">
        <v>26</v>
      </c>
      <c r="H155" s="134" t="n">
        <v>175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19" t="n">
        <v>3</v>
      </c>
      <c r="R155" s="119" t="n">
        <v>2</v>
      </c>
      <c r="S155" s="119" t="inlineStr">
        <is>
          <t>계</t>
        </is>
      </c>
      <c r="T155" s="5" t="inlineStr">
        <is>
          <t>108B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19">
        <f>S155</f>
        <v/>
      </c>
      <c r="AF155" s="119">
        <f>Q155&amp;"/"&amp;R155</f>
        <v/>
      </c>
      <c r="AH155" s="20">
        <f>IF(A155="","",A155)</f>
        <v/>
      </c>
      <c r="AI155" s="133">
        <f>IF(E155="","",E155)</f>
        <v/>
      </c>
      <c r="AJ155" s="119">
        <f>IF(AI155="","",$AJ$2)</f>
        <v/>
      </c>
      <c r="AK155" s="119" t="inlineStr">
        <is>
          <t>A</t>
        </is>
      </c>
      <c r="AL155" s="119" t="inlineStr">
        <is>
          <t>A+</t>
        </is>
      </c>
      <c r="AM155" s="119" t="inlineStr">
        <is>
          <t>B+</t>
        </is>
      </c>
      <c r="AN155" s="119">
        <f>IF(AI155="","",$AN$2)</f>
        <v/>
      </c>
      <c r="AO155" s="119">
        <f>IF(N155="","",IF(N155&gt;=$AO$1/100,"O","X"))</f>
        <v/>
      </c>
      <c r="AP155" s="119">
        <f>IF(I155="","",IF(I155&lt;=$AP$1,"O","X"))</f>
        <v/>
      </c>
      <c r="AQ155" s="119">
        <f>IF(O155="","",IF(O155&lt;=$AQ$1,"O","X"))</f>
        <v/>
      </c>
      <c r="AR155" s="119">
        <f>IF(M155="","",IF(M155&lt;=$AR$1,"O","X"))</f>
        <v/>
      </c>
      <c r="AS155" s="119" t="inlineStr">
        <is>
          <t>X</t>
        </is>
      </c>
      <c r="AT155" s="119">
        <f>IF(OR(F155="",AI155=""),"",IF(AND((F155&lt;=85),(AI155&gt;=15)),"O","X"))</f>
        <v/>
      </c>
      <c r="AU155" s="119">
        <f>IF(C155="","",IF(C155&gt;=$AU$1,"O","X"))</f>
        <v/>
      </c>
      <c r="AV155" s="119">
        <f>IF(AO155="","",IF(AND(AO155="O",AP155="O",AR155="O",AT155="O",AU155="O"),"후보","X"))</f>
        <v/>
      </c>
    </row>
    <row r="156" ht="12" customFormat="1" customHeight="1" s="38">
      <c r="A156" s="122" t="inlineStr">
        <is>
          <t>용암동 청주동남시티프라디움B1블록</t>
        </is>
      </c>
      <c r="B156" s="123" t="inlineStr">
        <is>
          <t>20.03.</t>
        </is>
      </c>
      <c r="C156" s="131" t="n">
        <v>797</v>
      </c>
      <c r="D156" s="132" t="n">
        <v>106.2</v>
      </c>
      <c r="E156" s="133" t="n">
        <v>32</v>
      </c>
      <c r="F156" s="132" t="n">
        <v>85</v>
      </c>
      <c r="G156" s="17" t="n">
        <v>26</v>
      </c>
      <c r="H156" s="134" t="n">
        <v>272</v>
      </c>
      <c r="I156" s="135" t="n">
        <v>51000</v>
      </c>
      <c r="J156" s="135" t="inlineStr">
        <is>
          <t>15</t>
        </is>
      </c>
      <c r="K156" s="135" t="n">
        <v>38000</v>
      </c>
      <c r="L156" s="135" t="inlineStr">
        <is>
          <t>8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19" t="n">
        <v>3</v>
      </c>
      <c r="R156" s="119" t="n">
        <v>2</v>
      </c>
      <c r="S156" s="119" t="inlineStr">
        <is>
          <t>계</t>
        </is>
      </c>
      <c r="T156" s="5" t="inlineStr">
        <is>
          <t>106A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19">
        <f>S156</f>
        <v/>
      </c>
      <c r="AF156" s="119">
        <f>Q156&amp;"/"&amp;R156</f>
        <v/>
      </c>
      <c r="AH156" s="20">
        <f>IF(A156="","",A156)</f>
        <v/>
      </c>
      <c r="AI156" s="133">
        <f>IF(E156="","",E156)</f>
        <v/>
      </c>
      <c r="AJ156" s="119">
        <f>IF(AI156="","",$AJ$2)</f>
        <v/>
      </c>
      <c r="AK156" s="119" t="inlineStr">
        <is>
          <t>A</t>
        </is>
      </c>
      <c r="AL156" s="119" t="inlineStr">
        <is>
          <t>A+</t>
        </is>
      </c>
      <c r="AM156" s="119" t="inlineStr">
        <is>
          <t>B+</t>
        </is>
      </c>
      <c r="AN156" s="119">
        <f>IF(AI156="","",$AN$2)</f>
        <v/>
      </c>
      <c r="AO156" s="119">
        <f>IF(N156="","",IF(N156&gt;=$AO$1/100,"O","X"))</f>
        <v/>
      </c>
      <c r="AP156" s="119">
        <f>IF(I156="","",IF(I156&lt;=$AP$1,"O","X"))</f>
        <v/>
      </c>
      <c r="AQ156" s="119">
        <f>IF(O156="","",IF(O156&lt;=$AQ$1,"O","X"))</f>
        <v/>
      </c>
      <c r="AR156" s="119">
        <f>IF(M156="","",IF(M156&lt;=$AR$1,"O","X"))</f>
        <v/>
      </c>
      <c r="AS156" s="119" t="inlineStr">
        <is>
          <t>X</t>
        </is>
      </c>
      <c r="AT156" s="119">
        <f>IF(OR(F156="",AI156=""),"",IF(AND((F156&lt;=85),(AI156&gt;=15)),"O","X"))</f>
        <v/>
      </c>
      <c r="AU156" s="119">
        <f>IF(C156="","",IF(C156&gt;=$AU$1,"O","X"))</f>
        <v/>
      </c>
      <c r="AV156" s="119">
        <f>IF(AO156="","",IF(AND(AO156="O",AP156="O",AR156="O",AT156="O",AU156="O"),"후보","X"))</f>
        <v/>
      </c>
    </row>
    <row r="157" ht="12" customFormat="1" customHeight="1" s="38">
      <c r="A157" s="122" t="inlineStr">
        <is>
          <t>용암동 청주동남시티프라디움B1블록</t>
        </is>
      </c>
      <c r="B157" s="123" t="inlineStr">
        <is>
          <t>20.03.</t>
        </is>
      </c>
      <c r="C157" s="131" t="n">
        <v>797</v>
      </c>
      <c r="D157" s="132" t="n">
        <v>106.2</v>
      </c>
      <c r="E157" s="133" t="n">
        <v>32</v>
      </c>
      <c r="F157" s="132" t="n">
        <v>85</v>
      </c>
      <c r="G157" s="17" t="n">
        <v>26</v>
      </c>
      <c r="H157" s="134" t="n">
        <v>200</v>
      </c>
      <c r="I157" s="135" t="n">
        <v>51000</v>
      </c>
      <c r="J157" s="135" t="inlineStr">
        <is>
          <t>15</t>
        </is>
      </c>
      <c r="K157" s="135" t="n">
        <v>38000</v>
      </c>
      <c r="L157" s="135" t="inlineStr">
        <is>
          <t>8</t>
        </is>
      </c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19" t="n">
        <v>3</v>
      </c>
      <c r="R157" s="119" t="n">
        <v>2</v>
      </c>
      <c r="S157" s="119" t="inlineStr">
        <is>
          <t>계</t>
        </is>
      </c>
      <c r="T157" s="5" t="inlineStr">
        <is>
          <t>106C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19">
        <f>S157</f>
        <v/>
      </c>
      <c r="AF157" s="119">
        <f>Q157&amp;"/"&amp;R157</f>
        <v/>
      </c>
      <c r="AH157" s="20">
        <f>IF(A157="","",A157)</f>
        <v/>
      </c>
      <c r="AI157" s="133">
        <f>IF(E157="","",E157)</f>
        <v/>
      </c>
      <c r="AJ157" s="119">
        <f>IF(AI157="","",$AJ$2)</f>
        <v/>
      </c>
      <c r="AK157" s="119" t="inlineStr">
        <is>
          <t>A</t>
        </is>
      </c>
      <c r="AL157" s="119" t="inlineStr">
        <is>
          <t>A+</t>
        </is>
      </c>
      <c r="AM157" s="119" t="inlineStr">
        <is>
          <t>B+</t>
        </is>
      </c>
      <c r="AN157" s="119">
        <f>IF(AI157="","",$AN$2)</f>
        <v/>
      </c>
      <c r="AO157" s="119">
        <f>IF(N157="","",IF(N157&gt;=$AO$1/100,"O","X"))</f>
        <v/>
      </c>
      <c r="AP157" s="119">
        <f>IF(I157="","",IF(I157&lt;=$AP$1,"O","X"))</f>
        <v/>
      </c>
      <c r="AQ157" s="119">
        <f>IF(O157="","",IF(O157&lt;=$AQ$1,"O","X"))</f>
        <v/>
      </c>
      <c r="AR157" s="119">
        <f>IF(M157="","",IF(M157&lt;=$AR$1,"O","X"))</f>
        <v/>
      </c>
      <c r="AS157" s="119" t="inlineStr">
        <is>
          <t>X</t>
        </is>
      </c>
      <c r="AT157" s="119">
        <f>IF(OR(F157="",AI157=""),"",IF(AND((F157&lt;=85),(AI157&gt;=15)),"O","X"))</f>
        <v/>
      </c>
      <c r="AU157" s="119">
        <f>IF(C157="","",IF(C157&gt;=$AU$1,"O","X"))</f>
        <v/>
      </c>
      <c r="AV157" s="119">
        <f>IF(AO157="","",IF(AND(AO157="O",AP157="O",AR157="O",AT157="O",AU157="O"),"후보","X"))</f>
        <v/>
      </c>
    </row>
    <row r="158" ht="12" customFormat="1" customHeight="1" s="38">
      <c r="A158" s="122" t="inlineStr">
        <is>
          <t>용암동 청주동남시티프라디움B1블록</t>
        </is>
      </c>
      <c r="B158" s="123" t="inlineStr">
        <is>
          <t>20.03.</t>
        </is>
      </c>
      <c r="C158" s="131" t="n">
        <v>797</v>
      </c>
      <c r="D158" s="132" t="n">
        <v>106.7</v>
      </c>
      <c r="E158" s="133" t="n">
        <v>32</v>
      </c>
      <c r="F158" s="132" t="n">
        <v>85</v>
      </c>
      <c r="G158" s="17" t="n">
        <v>26</v>
      </c>
      <c r="H158" s="134" t="n">
        <v>125</v>
      </c>
      <c r="I158" s="135" t="n">
        <v>52000</v>
      </c>
      <c r="J158" s="135" t="inlineStr">
        <is>
          <t>11</t>
        </is>
      </c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19" t="n">
        <v>3</v>
      </c>
      <c r="R158" s="119" t="n">
        <v>2</v>
      </c>
      <c r="S158" s="119" t="inlineStr">
        <is>
          <t>계</t>
        </is>
      </c>
      <c r="T158" s="5" t="inlineStr">
        <is>
          <t>106D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19">
        <f>S158</f>
        <v/>
      </c>
      <c r="AF158" s="119">
        <f>Q158&amp;"/"&amp;R158</f>
        <v/>
      </c>
      <c r="AH158" s="20">
        <f>IF(A158="","",A158)</f>
        <v/>
      </c>
      <c r="AI158" s="133">
        <f>IF(E158="","",E158)</f>
        <v/>
      </c>
      <c r="AJ158" s="119">
        <f>IF(AI158="","",$AJ$2)</f>
        <v/>
      </c>
      <c r="AK158" s="119" t="inlineStr">
        <is>
          <t>A</t>
        </is>
      </c>
      <c r="AL158" s="119" t="inlineStr">
        <is>
          <t>A+</t>
        </is>
      </c>
      <c r="AM158" s="119" t="inlineStr">
        <is>
          <t>B+</t>
        </is>
      </c>
      <c r="AN158" s="119">
        <f>IF(AI158="","",$AN$2)</f>
        <v/>
      </c>
      <c r="AO158" s="119">
        <f>IF(N158="","",IF(N158&gt;=$AO$1/100,"O","X"))</f>
        <v/>
      </c>
      <c r="AP158" s="119">
        <f>IF(I158="","",IF(I158&lt;=$AP$1,"O","X"))</f>
        <v/>
      </c>
      <c r="AQ158" s="119">
        <f>IF(O158="","",IF(O158&lt;=$AQ$1,"O","X"))</f>
        <v/>
      </c>
      <c r="AR158" s="119">
        <f>IF(M158="","",IF(M158&lt;=$AR$1,"O","X"))</f>
        <v/>
      </c>
      <c r="AS158" s="119" t="inlineStr">
        <is>
          <t>X</t>
        </is>
      </c>
      <c r="AT158" s="119">
        <f>IF(OR(F158="",AI158=""),"",IF(AND((F158&lt;=85),(AI158&gt;=15)),"O","X"))</f>
        <v/>
      </c>
      <c r="AU158" s="119">
        <f>IF(C158="","",IF(C158&gt;=$AU$1,"O","X"))</f>
        <v/>
      </c>
      <c r="AV158" s="119">
        <f>IF(AO158="","",IF(AND(AO158="O",AP158="O",AR158="O",AT158="O",AU158="O"),"후보","X"))</f>
        <v/>
      </c>
    </row>
    <row r="159" ht="12" customFormat="1" customHeight="1" s="38">
      <c r="A159" s="122" t="inlineStr">
        <is>
          <t>용암동 청주동남시티프라디움B1블록</t>
        </is>
      </c>
      <c r="B159" s="123" t="inlineStr">
        <is>
          <t>20.03.</t>
        </is>
      </c>
      <c r="C159" s="131" t="n">
        <v>797</v>
      </c>
      <c r="D159" s="132" t="n">
        <v>107</v>
      </c>
      <c r="E159" s="133" t="n">
        <v>32</v>
      </c>
      <c r="F159" s="132" t="n">
        <v>85</v>
      </c>
      <c r="G159" s="17" t="n">
        <v>26</v>
      </c>
      <c r="H159" s="134" t="n">
        <v>200</v>
      </c>
      <c r="I159" s="135" t="n">
        <v>50000</v>
      </c>
      <c r="J159" s="135" t="inlineStr">
        <is>
          <t>22</t>
        </is>
      </c>
      <c r="K159" s="135" t="n">
        <v>36000</v>
      </c>
      <c r="L159" s="135" t="inlineStr">
        <is>
          <t>중</t>
        </is>
      </c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19" t="n">
        <v>3</v>
      </c>
      <c r="R159" s="119" t="n">
        <v>2</v>
      </c>
      <c r="S159" s="119" t="inlineStr">
        <is>
          <t>계</t>
        </is>
      </c>
      <c r="T159" s="5" t="inlineStr">
        <is>
          <t>107B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19">
        <f>S159</f>
        <v/>
      </c>
      <c r="AF159" s="119">
        <f>Q159&amp;"/"&amp;R159</f>
        <v/>
      </c>
      <c r="AH159" s="20">
        <f>IF(A159="","",A159)</f>
        <v/>
      </c>
      <c r="AI159" s="133">
        <f>IF(E159="","",E159)</f>
        <v/>
      </c>
      <c r="AJ159" s="119">
        <f>IF(AI159="","",$AJ$2)</f>
        <v/>
      </c>
      <c r="AK159" s="119" t="inlineStr">
        <is>
          <t>A</t>
        </is>
      </c>
      <c r="AL159" s="119" t="inlineStr">
        <is>
          <t>A+</t>
        </is>
      </c>
      <c r="AM159" s="119" t="inlineStr">
        <is>
          <t>B+</t>
        </is>
      </c>
      <c r="AN159" s="119">
        <f>IF(AI159="","",$AN$2)</f>
        <v/>
      </c>
      <c r="AO159" s="119">
        <f>IF(N159="","",IF(N159&gt;=$AO$1/100,"O","X"))</f>
        <v/>
      </c>
      <c r="AP159" s="119">
        <f>IF(I159="","",IF(I159&lt;=$AP$1,"O","X"))</f>
        <v/>
      </c>
      <c r="AQ159" s="119">
        <f>IF(O159="","",IF(O159&lt;=$AQ$1,"O","X"))</f>
        <v/>
      </c>
      <c r="AR159" s="119">
        <f>IF(M159="","",IF(M159&lt;=$AR$1,"O","X"))</f>
        <v/>
      </c>
      <c r="AS159" s="119" t="inlineStr">
        <is>
          <t>X</t>
        </is>
      </c>
      <c r="AT159" s="119">
        <f>IF(OR(F159="",AI159=""),"",IF(AND((F159&lt;=85),(AI159&gt;=15)),"O","X"))</f>
        <v/>
      </c>
      <c r="AU159" s="119">
        <f>IF(C159="","",IF(C159&gt;=$AU$1,"O","X"))</f>
        <v/>
      </c>
      <c r="AV159" s="119">
        <f>IF(AO159="","",IF(AND(AO159="O",AP159="O",AR159="O",AT159="O",AU159="O"),"후보","X"))</f>
        <v/>
      </c>
    </row>
    <row r="160" ht="12" customFormat="1" customHeight="1" s="38">
      <c r="A160" s="122" t="inlineStr">
        <is>
          <t>용암동 부영</t>
        </is>
      </c>
      <c r="B160" s="123" t="inlineStr">
        <is>
          <t>96.11.</t>
        </is>
      </c>
      <c r="C160" s="131" t="n">
        <v>979</v>
      </c>
      <c r="D160" s="132" t="n">
        <v>68.09999999999999</v>
      </c>
      <c r="E160" s="133" t="n">
        <v>21</v>
      </c>
      <c r="F160" s="132" t="n">
        <v>50.5</v>
      </c>
      <c r="G160" s="17" t="n">
        <v>15</v>
      </c>
      <c r="H160" s="134" t="n">
        <v>539</v>
      </c>
      <c r="I160" s="135" t="n">
        <v>10000</v>
      </c>
      <c r="J160" s="135" t="inlineStr">
        <is>
          <t>중</t>
        </is>
      </c>
      <c r="K160" s="135" t="n">
        <v>10000</v>
      </c>
      <c r="L160" s="135" t="inlineStr">
        <is>
          <t>11</t>
        </is>
      </c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19" t="n">
        <v>2</v>
      </c>
      <c r="R160" s="119" t="n">
        <v>1</v>
      </c>
      <c r="S160" s="119" t="inlineStr">
        <is>
          <t>복</t>
        </is>
      </c>
      <c r="T160" s="5" t="n">
        <v>68</v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19">
        <f>S160</f>
        <v/>
      </c>
      <c r="AF160" s="119">
        <f>Q160&amp;"/"&amp;R160</f>
        <v/>
      </c>
      <c r="AH160" s="20">
        <f>IF(A160="","",A160)</f>
        <v/>
      </c>
      <c r="AI160" s="133">
        <f>IF(E160="","",E160)</f>
        <v/>
      </c>
      <c r="AJ160" s="119">
        <f>IF(AI160="","",$AJ$2)</f>
        <v/>
      </c>
      <c r="AK160" s="119" t="inlineStr">
        <is>
          <t>A</t>
        </is>
      </c>
      <c r="AL160" s="119" t="inlineStr">
        <is>
          <t>A+</t>
        </is>
      </c>
      <c r="AM160" s="119" t="inlineStr">
        <is>
          <t>B+</t>
        </is>
      </c>
      <c r="AN160" s="119">
        <f>IF(AI160="","",$AN$2)</f>
        <v/>
      </c>
      <c r="AO160" s="119">
        <f>IF(N160="","",IF(N160&gt;=$AO$1/100,"O","X"))</f>
        <v/>
      </c>
      <c r="AP160" s="119">
        <f>IF(I160="","",IF(I160&lt;=$AP$1,"O","X"))</f>
        <v/>
      </c>
      <c r="AQ160" s="119">
        <f>IF(O160="","",IF(O160&lt;=$AQ$1,"O","X"))</f>
        <v/>
      </c>
      <c r="AR160" s="119">
        <f>IF(M160="","",IF(M160&lt;=$AR$1,"O","X"))</f>
        <v/>
      </c>
      <c r="AS160" s="119" t="inlineStr">
        <is>
          <t>X</t>
        </is>
      </c>
      <c r="AT160" s="119">
        <f>IF(OR(F160="",AI160=""),"",IF(AND((F160&lt;=85),(AI160&gt;=15)),"O","X"))</f>
        <v/>
      </c>
      <c r="AU160" s="119">
        <f>IF(C160="","",IF(C160&gt;=$AU$1,"O","X"))</f>
        <v/>
      </c>
      <c r="AV160" s="119">
        <f>IF(AO160="","",IF(AND(AO160="O",AP160="O",AR160="O",AT160="O",AU160="O"),"후보","X"))</f>
        <v/>
      </c>
    </row>
    <row r="161" ht="12" customFormat="1" customHeight="1" s="38">
      <c r="A161" s="122" t="inlineStr">
        <is>
          <t>용암동 부영</t>
        </is>
      </c>
      <c r="B161" s="123" t="inlineStr">
        <is>
          <t>96.11.</t>
        </is>
      </c>
      <c r="C161" s="131" t="n">
        <v>979</v>
      </c>
      <c r="D161" s="132" t="n">
        <v>80.90000000000001</v>
      </c>
      <c r="E161" s="133" t="n">
        <v>24</v>
      </c>
      <c r="F161" s="132" t="n">
        <v>60</v>
      </c>
      <c r="G161" s="17" t="n">
        <v>18</v>
      </c>
      <c r="H161" s="134" t="n">
        <v>440</v>
      </c>
      <c r="I161" s="135" t="n">
        <v>12000</v>
      </c>
      <c r="J161" s="135" t="inlineStr">
        <is>
          <t>14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19" t="n">
        <v>3</v>
      </c>
      <c r="R161" s="119" t="n">
        <v>1</v>
      </c>
      <c r="S161" s="119" t="inlineStr">
        <is>
          <t>복</t>
        </is>
      </c>
      <c r="T161" s="5" t="n">
        <v>80</v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19">
        <f>S161</f>
        <v/>
      </c>
      <c r="AF161" s="119">
        <f>Q161&amp;"/"&amp;R161</f>
        <v/>
      </c>
      <c r="AH161" s="20">
        <f>IF(A161="","",A161)</f>
        <v/>
      </c>
      <c r="AI161" s="133">
        <f>IF(E161="","",E161)</f>
        <v/>
      </c>
      <c r="AJ161" s="119">
        <f>IF(AI161="","",$AJ$2)</f>
        <v/>
      </c>
      <c r="AK161" s="119" t="inlineStr">
        <is>
          <t>A</t>
        </is>
      </c>
      <c r="AL161" s="119" t="inlineStr">
        <is>
          <t>A+</t>
        </is>
      </c>
      <c r="AM161" s="119" t="inlineStr">
        <is>
          <t>B+</t>
        </is>
      </c>
      <c r="AN161" s="119">
        <f>IF(AI161="","",$AN$2)</f>
        <v/>
      </c>
      <c r="AO161" s="119">
        <f>IF(N161="","",IF(N161&gt;=$AO$1/100,"O","X"))</f>
        <v/>
      </c>
      <c r="AP161" s="119">
        <f>IF(I161="","",IF(I161&lt;=$AP$1,"O","X"))</f>
        <v/>
      </c>
      <c r="AQ161" s="119">
        <f>IF(O161="","",IF(O161&lt;=$AQ$1,"O","X"))</f>
        <v/>
      </c>
      <c r="AR161" s="119">
        <f>IF(M161="","",IF(M161&lt;=$AR$1,"O","X"))</f>
        <v/>
      </c>
      <c r="AS161" s="119" t="inlineStr">
        <is>
          <t>X</t>
        </is>
      </c>
      <c r="AT161" s="119">
        <f>IF(OR(F161="",AI161=""),"",IF(AND((F161&lt;=85),(AI161&gt;=15)),"O","X"))</f>
        <v/>
      </c>
      <c r="AU161" s="119">
        <f>IF(C161="","",IF(C161&gt;=$AU$1,"O","X"))</f>
        <v/>
      </c>
      <c r="AV161" s="119">
        <f>IF(AO161="","",IF(AND(AO161="O",AP161="O",AR161="O",AT161="O",AU161="O"),"후보","X"))</f>
        <v/>
      </c>
    </row>
    <row r="162" ht="12" customFormat="1" customHeight="1" s="38">
      <c r="A162" s="122" t="inlineStr">
        <is>
          <t>용암동 임광</t>
        </is>
      </c>
      <c r="B162" s="123" t="inlineStr">
        <is>
          <t>96.05.</t>
        </is>
      </c>
      <c r="C162" s="131" t="n">
        <v>280</v>
      </c>
      <c r="D162" s="132" t="n">
        <v>121.3</v>
      </c>
      <c r="E162" s="133" t="n">
        <v>37</v>
      </c>
      <c r="F162" s="132" t="n">
        <v>102</v>
      </c>
      <c r="G162" s="17" t="n">
        <v>31</v>
      </c>
      <c r="H162" s="134" t="n">
        <v>160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19" t="n">
        <v>4</v>
      </c>
      <c r="R162" s="119" t="n">
        <v>2</v>
      </c>
      <c r="S162" s="119" t="inlineStr">
        <is>
          <t>계</t>
        </is>
      </c>
      <c r="T162" s="5" t="n">
        <v>121</v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19">
        <f>S162</f>
        <v/>
      </c>
      <c r="AF162" s="119">
        <f>Q162&amp;"/"&amp;R162</f>
        <v/>
      </c>
      <c r="AH162" s="20">
        <f>IF(A162="","",A162)</f>
        <v/>
      </c>
      <c r="AI162" s="133">
        <f>IF(E162="","",E162)</f>
        <v/>
      </c>
      <c r="AJ162" s="119">
        <f>IF(AI162="","",$AJ$2)</f>
        <v/>
      </c>
      <c r="AK162" s="119" t="inlineStr">
        <is>
          <t>A</t>
        </is>
      </c>
      <c r="AL162" s="119" t="inlineStr">
        <is>
          <t>A+</t>
        </is>
      </c>
      <c r="AM162" s="119" t="inlineStr">
        <is>
          <t>B+</t>
        </is>
      </c>
      <c r="AN162" s="119">
        <f>IF(AI162="","",$AN$2)</f>
        <v/>
      </c>
      <c r="AO162" s="119">
        <f>IF(N162="","",IF(N162&gt;=$AO$1/100,"O","X"))</f>
        <v/>
      </c>
      <c r="AP162" s="119">
        <f>IF(I162="","",IF(I162&lt;=$AP$1,"O","X"))</f>
        <v/>
      </c>
      <c r="AQ162" s="119">
        <f>IF(O162="","",IF(O162&lt;=$AQ$1,"O","X"))</f>
        <v/>
      </c>
      <c r="AR162" s="119">
        <f>IF(M162="","",IF(M162&lt;=$AR$1,"O","X"))</f>
        <v/>
      </c>
      <c r="AS162" s="119" t="inlineStr">
        <is>
          <t>X</t>
        </is>
      </c>
      <c r="AT162" s="119">
        <f>IF(OR(F162="",AI162=""),"",IF(AND((F162&lt;=85),(AI162&gt;=15)),"O","X"))</f>
        <v/>
      </c>
      <c r="AU162" s="119">
        <f>IF(C162="","",IF(C162&gt;=$AU$1,"O","X"))</f>
        <v/>
      </c>
      <c r="AV162" s="119">
        <f>IF(AO162="","",IF(AND(AO162="O",AP162="O",AR162="O",AT162="O",AU162="O"),"후보","X"))</f>
        <v/>
      </c>
    </row>
    <row r="163" ht="12" customFormat="1" customHeight="1" s="38">
      <c r="A163" s="122" t="inlineStr">
        <is>
          <t>용암동 임광</t>
        </is>
      </c>
      <c r="B163" s="123" t="inlineStr">
        <is>
          <t>96.05.</t>
        </is>
      </c>
      <c r="C163" s="131" t="n">
        <v>280</v>
      </c>
      <c r="D163" s="132" t="n">
        <v>159.8</v>
      </c>
      <c r="E163" s="133" t="n">
        <v>48</v>
      </c>
      <c r="F163" s="132" t="n">
        <v>134.3</v>
      </c>
      <c r="G163" s="17" t="n">
        <v>41</v>
      </c>
      <c r="H163" s="134" t="n">
        <v>120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19" t="n">
        <v>4</v>
      </c>
      <c r="R163" s="119" t="n">
        <v>2</v>
      </c>
      <c r="S163" s="119" t="inlineStr">
        <is>
          <t>계</t>
        </is>
      </c>
      <c r="T163" s="5" t="n">
        <v>159</v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19">
        <f>S163</f>
        <v/>
      </c>
      <c r="AF163" s="119">
        <f>Q163&amp;"/"&amp;R163</f>
        <v/>
      </c>
      <c r="AH163" s="20">
        <f>IF(A163="","",A163)</f>
        <v/>
      </c>
      <c r="AI163" s="133">
        <f>IF(E163="","",E163)</f>
        <v/>
      </c>
      <c r="AJ163" s="119">
        <f>IF(AI163="","",$AJ$2)</f>
        <v/>
      </c>
      <c r="AK163" s="119" t="inlineStr">
        <is>
          <t>A</t>
        </is>
      </c>
      <c r="AL163" s="119" t="inlineStr">
        <is>
          <t>A+</t>
        </is>
      </c>
      <c r="AM163" s="119" t="inlineStr">
        <is>
          <t>B+</t>
        </is>
      </c>
      <c r="AN163" s="119">
        <f>IF(AI163="","",$AN$2)</f>
        <v/>
      </c>
      <c r="AO163" s="119">
        <f>IF(N163="","",IF(N163&gt;=$AO$1/100,"O","X"))</f>
        <v/>
      </c>
      <c r="AP163" s="119">
        <f>IF(I163="","",IF(I163&lt;=$AP$1,"O","X"))</f>
        <v/>
      </c>
      <c r="AQ163" s="119">
        <f>IF(O163="","",IF(O163&lt;=$AQ$1,"O","X"))</f>
        <v/>
      </c>
      <c r="AR163" s="119">
        <f>IF(M163="","",IF(M163&lt;=$AR$1,"O","X"))</f>
        <v/>
      </c>
      <c r="AS163" s="119" t="inlineStr">
        <is>
          <t>X</t>
        </is>
      </c>
      <c r="AT163" s="119">
        <f>IF(OR(F163="",AI163=""),"",IF(AND((F163&lt;=85),(AI163&gt;=15)),"O","X"))</f>
        <v/>
      </c>
      <c r="AU163" s="119">
        <f>IF(C163="","",IF(C163&gt;=$AU$1,"O","X"))</f>
        <v/>
      </c>
      <c r="AV163" s="119">
        <f>IF(AO163="","",IF(AND(AO163="O",AP163="O",AR163="O",AT163="O",AU163="O"),"후보","X"))</f>
        <v/>
      </c>
    </row>
    <row r="164" ht="12" customFormat="1" customHeight="1" s="38">
      <c r="A164" s="122" t="inlineStr">
        <is>
          <t>용암동 청주동남시티프라디움B2블록</t>
        </is>
      </c>
      <c r="B164" s="123" t="inlineStr">
        <is>
          <t>20.03.</t>
        </is>
      </c>
      <c r="C164" s="131" t="n">
        <v>610</v>
      </c>
      <c r="D164" s="132" t="n">
        <v>106.9</v>
      </c>
      <c r="E164" s="133" t="n">
        <v>32</v>
      </c>
      <c r="F164" s="132" t="n">
        <v>85</v>
      </c>
      <c r="G164" s="17" t="n">
        <v>26</v>
      </c>
      <c r="H164" s="134" t="n">
        <v>222</v>
      </c>
      <c r="I164" s="135" t="n">
        <v>50000</v>
      </c>
      <c r="J164" s="135" t="inlineStr">
        <is>
          <t>7</t>
        </is>
      </c>
      <c r="K164" s="135" t="n">
        <v>35000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19" t="n">
        <v>3</v>
      </c>
      <c r="R164" s="119" t="n">
        <v>2</v>
      </c>
      <c r="S164" s="119" t="inlineStr">
        <is>
          <t>계</t>
        </is>
      </c>
      <c r="T164" s="5" t="inlineStr">
        <is>
          <t>106A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19">
        <f>S164</f>
        <v/>
      </c>
      <c r="AF164" s="119">
        <f>Q164&amp;"/"&amp;R164</f>
        <v/>
      </c>
      <c r="AH164" s="20">
        <f>IF(A164="","",A164)</f>
        <v/>
      </c>
      <c r="AI164" s="133">
        <f>IF(E164="","",E164)</f>
        <v/>
      </c>
      <c r="AJ164" s="119">
        <f>IF(AI164="","",$AJ$2)</f>
        <v/>
      </c>
      <c r="AK164" s="119" t="inlineStr">
        <is>
          <t>A</t>
        </is>
      </c>
      <c r="AL164" s="119" t="inlineStr">
        <is>
          <t>A+</t>
        </is>
      </c>
      <c r="AM164" s="119" t="inlineStr">
        <is>
          <t>B+</t>
        </is>
      </c>
      <c r="AN164" s="119">
        <f>IF(AI164="","",$AN$2)</f>
        <v/>
      </c>
      <c r="AO164" s="119">
        <f>IF(N164="","",IF(N164&gt;=$AO$1/100,"O","X"))</f>
        <v/>
      </c>
      <c r="AP164" s="119">
        <f>IF(I164="","",IF(I164&lt;=$AP$1,"O","X"))</f>
        <v/>
      </c>
      <c r="AQ164" s="119">
        <f>IF(O164="","",IF(O164&lt;=$AQ$1,"O","X"))</f>
        <v/>
      </c>
      <c r="AR164" s="119">
        <f>IF(M164="","",IF(M164&lt;=$AR$1,"O","X"))</f>
        <v/>
      </c>
      <c r="AS164" s="119" t="inlineStr">
        <is>
          <t>X</t>
        </is>
      </c>
      <c r="AT164" s="119">
        <f>IF(OR(F164="",AI164=""),"",IF(AND((F164&lt;=85),(AI164&gt;=15)),"O","X"))</f>
        <v/>
      </c>
      <c r="AU164" s="119">
        <f>IF(C164="","",IF(C164&gt;=$AU$1,"O","X"))</f>
        <v/>
      </c>
      <c r="AV164" s="119">
        <f>IF(AO164="","",IF(AND(AO164="O",AP164="O",AR164="O",AT164="O",AU164="O"),"후보","X"))</f>
        <v/>
      </c>
    </row>
    <row r="165" ht="12" customFormat="1" customHeight="1" s="38">
      <c r="A165" s="122" t="inlineStr">
        <is>
          <t>용암동 청주동남시티프라디움B2블록</t>
        </is>
      </c>
      <c r="B165" s="123" t="inlineStr">
        <is>
          <t>20.03.</t>
        </is>
      </c>
      <c r="C165" s="131" t="n">
        <v>610</v>
      </c>
      <c r="D165" s="132" t="n">
        <v>106.9</v>
      </c>
      <c r="E165" s="133" t="n">
        <v>32</v>
      </c>
      <c r="F165" s="132" t="n">
        <v>85</v>
      </c>
      <c r="G165" s="17" t="n">
        <v>26</v>
      </c>
      <c r="H165" s="134" t="n">
        <v>68</v>
      </c>
      <c r="I165" s="135" t="n">
        <v>50000</v>
      </c>
      <c r="J165" s="135" t="inlineStr">
        <is>
          <t>7</t>
        </is>
      </c>
      <c r="K165" s="135" t="n">
        <v>35000</v>
      </c>
      <c r="L165" s="135" t="inlineStr">
        <is>
          <t>중</t>
        </is>
      </c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19" t="n">
        <v>3</v>
      </c>
      <c r="R165" s="119" t="n">
        <v>2</v>
      </c>
      <c r="S165" s="119" t="inlineStr">
        <is>
          <t>계</t>
        </is>
      </c>
      <c r="T165" s="5" t="inlineStr">
        <is>
          <t>106C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19">
        <f>S165</f>
        <v/>
      </c>
      <c r="AF165" s="119">
        <f>Q165&amp;"/"&amp;R165</f>
        <v/>
      </c>
      <c r="AH165" s="20">
        <f>IF(A165="","",A165)</f>
        <v/>
      </c>
      <c r="AI165" s="133">
        <f>IF(E165="","",E165)</f>
        <v/>
      </c>
      <c r="AJ165" s="119">
        <f>IF(AI165="","",$AJ$2)</f>
        <v/>
      </c>
      <c r="AK165" s="119" t="inlineStr">
        <is>
          <t>A</t>
        </is>
      </c>
      <c r="AL165" s="119" t="inlineStr">
        <is>
          <t>A+</t>
        </is>
      </c>
      <c r="AM165" s="119" t="inlineStr">
        <is>
          <t>B+</t>
        </is>
      </c>
      <c r="AN165" s="119">
        <f>IF(AI165="","",$AN$2)</f>
        <v/>
      </c>
      <c r="AO165" s="119">
        <f>IF(N165="","",IF(N165&gt;=$AO$1/100,"O","X"))</f>
        <v/>
      </c>
      <c r="AP165" s="119">
        <f>IF(I165="","",IF(I165&lt;=$AP$1,"O","X"))</f>
        <v/>
      </c>
      <c r="AQ165" s="119">
        <f>IF(O165="","",IF(O165&lt;=$AQ$1,"O","X"))</f>
        <v/>
      </c>
      <c r="AR165" s="119">
        <f>IF(M165="","",IF(M165&lt;=$AR$1,"O","X"))</f>
        <v/>
      </c>
      <c r="AS165" s="119" t="inlineStr">
        <is>
          <t>X</t>
        </is>
      </c>
      <c r="AT165" s="119">
        <f>IF(OR(F165="",AI165=""),"",IF(AND((F165&lt;=85),(AI165&gt;=15)),"O","X"))</f>
        <v/>
      </c>
      <c r="AU165" s="119">
        <f>IF(C165="","",IF(C165&gt;=$AU$1,"O","X"))</f>
        <v/>
      </c>
      <c r="AV165" s="119">
        <f>IF(AO165="","",IF(AND(AO165="O",AP165="O",AR165="O",AT165="O",AU165="O"),"후보","X"))</f>
        <v/>
      </c>
    </row>
    <row r="166" ht="12" customFormat="1" customHeight="1" s="38">
      <c r="A166" s="122" t="inlineStr">
        <is>
          <t>용암동 청주동남시티프라디움B2블록</t>
        </is>
      </c>
      <c r="B166" s="123" t="inlineStr">
        <is>
          <t>20.03.</t>
        </is>
      </c>
      <c r="C166" s="131" t="n">
        <v>610</v>
      </c>
      <c r="D166" s="132" t="n">
        <v>107.4</v>
      </c>
      <c r="E166" s="133" t="n">
        <v>32</v>
      </c>
      <c r="F166" s="132" t="n">
        <v>85</v>
      </c>
      <c r="G166" s="17" t="n">
        <v>26</v>
      </c>
      <c r="H166" s="134" t="n">
        <v>147</v>
      </c>
      <c r="I166" s="135" t="n">
        <v>52000</v>
      </c>
      <c r="J166" s="135" t="inlineStr">
        <is>
          <t>17</t>
        </is>
      </c>
      <c r="K166" s="135" t="n">
        <v>35000</v>
      </c>
      <c r="L166" s="135" t="inlineStr">
        <is>
          <t>12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19" t="n">
        <v>3</v>
      </c>
      <c r="R166" s="119" t="n">
        <v>2</v>
      </c>
      <c r="S166" s="119" t="inlineStr">
        <is>
          <t>계</t>
        </is>
      </c>
      <c r="T166" s="5" t="inlineStr">
        <is>
          <t>107D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19">
        <f>S166</f>
        <v/>
      </c>
      <c r="AF166" s="119">
        <f>Q166&amp;"/"&amp;R166</f>
        <v/>
      </c>
      <c r="AH166" s="20">
        <f>IF(A166="","",A166)</f>
        <v/>
      </c>
      <c r="AI166" s="133">
        <f>IF(E166="","",E166)</f>
        <v/>
      </c>
      <c r="AJ166" s="119">
        <f>IF(AI166="","",$AJ$2)</f>
        <v/>
      </c>
      <c r="AK166" s="119" t="inlineStr">
        <is>
          <t>A</t>
        </is>
      </c>
      <c r="AL166" s="119" t="inlineStr">
        <is>
          <t>A+</t>
        </is>
      </c>
      <c r="AM166" s="119" t="inlineStr">
        <is>
          <t>B+</t>
        </is>
      </c>
      <c r="AN166" s="119">
        <f>IF(AI166="","",$AN$2)</f>
        <v/>
      </c>
      <c r="AO166" s="119">
        <f>IF(N166="","",IF(N166&gt;=$AO$1/100,"O","X"))</f>
        <v/>
      </c>
      <c r="AP166" s="119">
        <f>IF(I166="","",IF(I166&lt;=$AP$1,"O","X"))</f>
        <v/>
      </c>
      <c r="AQ166" s="119">
        <f>IF(O166="","",IF(O166&lt;=$AQ$1,"O","X"))</f>
        <v/>
      </c>
      <c r="AR166" s="119">
        <f>IF(M166="","",IF(M166&lt;=$AR$1,"O","X"))</f>
        <v/>
      </c>
      <c r="AS166" s="119" t="inlineStr">
        <is>
          <t>X</t>
        </is>
      </c>
      <c r="AT166" s="119">
        <f>IF(OR(F166="",AI166=""),"",IF(AND((F166&lt;=85),(AI166&gt;=15)),"O","X"))</f>
        <v/>
      </c>
      <c r="AU166" s="119">
        <f>IF(C166="","",IF(C166&gt;=$AU$1,"O","X"))</f>
        <v/>
      </c>
      <c r="AV166" s="119">
        <f>IF(AO166="","",IF(AND(AO166="O",AP166="O",AR166="O",AT166="O",AU166="O"),"후보","X"))</f>
        <v/>
      </c>
    </row>
    <row r="167" ht="12" customFormat="1" customHeight="1" s="38">
      <c r="A167" s="122" t="inlineStr">
        <is>
          <t>용암동 청주동남시티프라디움B2블록</t>
        </is>
      </c>
      <c r="B167" s="123" t="inlineStr">
        <is>
          <t>20.03.</t>
        </is>
      </c>
      <c r="C167" s="131" t="n">
        <v>610</v>
      </c>
      <c r="D167" s="132" t="n">
        <v>107.8</v>
      </c>
      <c r="E167" s="133" t="n">
        <v>33</v>
      </c>
      <c r="F167" s="132" t="n">
        <v>85</v>
      </c>
      <c r="G167" s="17" t="n">
        <v>26</v>
      </c>
      <c r="H167" s="134" t="n">
        <v>50</v>
      </c>
      <c r="I167" s="135" t="n">
        <v>52000</v>
      </c>
      <c r="J167" s="135" t="inlineStr">
        <is>
          <t>고</t>
        </is>
      </c>
      <c r="K167" s="135" t="n">
        <v>35000</v>
      </c>
      <c r="L167" s="135" t="inlineStr">
        <is>
          <t>5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19" t="n">
        <v>3</v>
      </c>
      <c r="R167" s="119" t="n">
        <v>2</v>
      </c>
      <c r="S167" s="119" t="inlineStr">
        <is>
          <t>계</t>
        </is>
      </c>
      <c r="T167" s="5" t="inlineStr">
        <is>
          <t>107F</t>
        </is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19">
        <f>S167</f>
        <v/>
      </c>
      <c r="AF167" s="119">
        <f>Q167&amp;"/"&amp;R167</f>
        <v/>
      </c>
      <c r="AH167" s="20">
        <f>IF(A167="","",A167)</f>
        <v/>
      </c>
      <c r="AI167" s="133">
        <f>IF(E167="","",E167)</f>
        <v/>
      </c>
      <c r="AJ167" s="119">
        <f>IF(AI167="","",$AJ$2)</f>
        <v/>
      </c>
      <c r="AK167" s="119" t="inlineStr">
        <is>
          <t>A</t>
        </is>
      </c>
      <c r="AL167" s="119" t="inlineStr">
        <is>
          <t>A+</t>
        </is>
      </c>
      <c r="AM167" s="119" t="inlineStr">
        <is>
          <t>B+</t>
        </is>
      </c>
      <c r="AN167" s="119">
        <f>IF(AI167="","",$AN$2)</f>
        <v/>
      </c>
      <c r="AO167" s="119">
        <f>IF(N167="","",IF(N167&gt;=$AO$1/100,"O","X"))</f>
        <v/>
      </c>
      <c r="AP167" s="119">
        <f>IF(I167="","",IF(I167&lt;=$AP$1,"O","X"))</f>
        <v/>
      </c>
      <c r="AQ167" s="119">
        <f>IF(O167="","",IF(O167&lt;=$AQ$1,"O","X"))</f>
        <v/>
      </c>
      <c r="AR167" s="119">
        <f>IF(M167="","",IF(M167&lt;=$AR$1,"O","X"))</f>
        <v/>
      </c>
      <c r="AS167" s="119" t="inlineStr">
        <is>
          <t>X</t>
        </is>
      </c>
      <c r="AT167" s="119">
        <f>IF(OR(F167="",AI167=""),"",IF(AND((F167&lt;=85),(AI167&gt;=15)),"O","X"))</f>
        <v/>
      </c>
      <c r="AU167" s="119">
        <f>IF(C167="","",IF(C167&gt;=$AU$1,"O","X"))</f>
        <v/>
      </c>
      <c r="AV167" s="119">
        <f>IF(AO167="","",IF(AND(AO167="O",AP167="O",AR167="O",AT167="O",AU167="O"),"후보","X"))</f>
        <v/>
      </c>
    </row>
    <row r="168" ht="12" customFormat="1" customHeight="1" s="38">
      <c r="A168" s="122" t="inlineStr">
        <is>
          <t>용암동 청주동남시티프라디움B2블록</t>
        </is>
      </c>
      <c r="B168" s="123" t="inlineStr">
        <is>
          <t>20.03.</t>
        </is>
      </c>
      <c r="C168" s="131" t="n">
        <v>610</v>
      </c>
      <c r="D168" s="132" t="n">
        <v>107.7</v>
      </c>
      <c r="E168" s="133" t="n">
        <v>33</v>
      </c>
      <c r="F168" s="132" t="n">
        <v>85</v>
      </c>
      <c r="G168" s="17" t="n">
        <v>26</v>
      </c>
      <c r="H168" s="134" t="n">
        <v>48</v>
      </c>
      <c r="I168" s="135" t="n">
        <v>49000</v>
      </c>
      <c r="J168" s="135" t="inlineStr">
        <is>
          <t>중</t>
        </is>
      </c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19" t="n">
        <v>3</v>
      </c>
      <c r="R168" s="119" t="n">
        <v>2</v>
      </c>
      <c r="S168" s="119" t="inlineStr">
        <is>
          <t>계</t>
        </is>
      </c>
      <c r="T168" s="5" t="inlineStr">
        <is>
          <t>107B</t>
        </is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19">
        <f>S168</f>
        <v/>
      </c>
      <c r="AF168" s="119">
        <f>Q168&amp;"/"&amp;R168</f>
        <v/>
      </c>
      <c r="AH168" s="20">
        <f>IF(A168="","",A168)</f>
        <v/>
      </c>
      <c r="AI168" s="133">
        <f>IF(E168="","",E168)</f>
        <v/>
      </c>
      <c r="AJ168" s="119">
        <f>IF(AI168="","",$AJ$2)</f>
        <v/>
      </c>
      <c r="AK168" s="119" t="inlineStr">
        <is>
          <t>A</t>
        </is>
      </c>
      <c r="AL168" s="119" t="inlineStr">
        <is>
          <t>A+</t>
        </is>
      </c>
      <c r="AM168" s="119" t="inlineStr">
        <is>
          <t>B+</t>
        </is>
      </c>
      <c r="AN168" s="119">
        <f>IF(AI168="","",$AN$2)</f>
        <v/>
      </c>
      <c r="AO168" s="119">
        <f>IF(N168="","",IF(N168&gt;=$AO$1/100,"O","X"))</f>
        <v/>
      </c>
      <c r="AP168" s="119">
        <f>IF(I168="","",IF(I168&lt;=$AP$1,"O","X"))</f>
        <v/>
      </c>
      <c r="AQ168" s="119">
        <f>IF(O168="","",IF(O168&lt;=$AQ$1,"O","X"))</f>
        <v/>
      </c>
      <c r="AR168" s="119">
        <f>IF(M168="","",IF(M168&lt;=$AR$1,"O","X"))</f>
        <v/>
      </c>
      <c r="AS168" s="119" t="inlineStr">
        <is>
          <t>X</t>
        </is>
      </c>
      <c r="AT168" s="119">
        <f>IF(OR(F168="",AI168=""),"",IF(AND((F168&lt;=85),(AI168&gt;=15)),"O","X"))</f>
        <v/>
      </c>
      <c r="AU168" s="119">
        <f>IF(C168="","",IF(C168&gt;=$AU$1,"O","X"))</f>
        <v/>
      </c>
      <c r="AV168" s="119">
        <f>IF(AO168="","",IF(AND(AO168="O",AP168="O",AR168="O",AT168="O",AU168="O"),"후보","X"))</f>
        <v/>
      </c>
    </row>
    <row r="169" ht="12" customFormat="1" customHeight="1" s="38">
      <c r="A169" s="122" t="inlineStr">
        <is>
          <t>용암동 청주동남시티프라디움B2블록</t>
        </is>
      </c>
      <c r="B169" s="123" t="inlineStr">
        <is>
          <t>20.03.</t>
        </is>
      </c>
      <c r="C169" s="131" t="n">
        <v>610</v>
      </c>
      <c r="D169" s="132" t="n">
        <v>108.1</v>
      </c>
      <c r="E169" s="133" t="n">
        <v>33</v>
      </c>
      <c r="F169" s="132" t="n">
        <v>85</v>
      </c>
      <c r="G169" s="17" t="n">
        <v>26</v>
      </c>
      <c r="H169" s="134" t="n">
        <v>75</v>
      </c>
      <c r="I169" s="135" t="n">
        <v>50500</v>
      </c>
      <c r="J169" s="135" t="inlineStr">
        <is>
          <t>고</t>
        </is>
      </c>
      <c r="K169" s="135" t="n">
        <v>35000</v>
      </c>
      <c r="L169" s="135" t="inlineStr">
        <is>
          <t>6</t>
        </is>
      </c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19" t="n">
        <v>3</v>
      </c>
      <c r="R169" s="119" t="n">
        <v>2</v>
      </c>
      <c r="S169" s="119" t="inlineStr">
        <is>
          <t>계</t>
        </is>
      </c>
      <c r="T169" s="5" t="inlineStr">
        <is>
          <t>108E</t>
        </is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19">
        <f>S169</f>
        <v/>
      </c>
      <c r="AF169" s="119">
        <f>Q169&amp;"/"&amp;R169</f>
        <v/>
      </c>
      <c r="AH169" s="20">
        <f>IF(A169="","",A169)</f>
        <v/>
      </c>
      <c r="AI169" s="133">
        <f>IF(E169="","",E169)</f>
        <v/>
      </c>
      <c r="AJ169" s="119">
        <f>IF(AI169="","",$AJ$2)</f>
        <v/>
      </c>
      <c r="AK169" s="119" t="inlineStr">
        <is>
          <t>A</t>
        </is>
      </c>
      <c r="AL169" s="119" t="inlineStr">
        <is>
          <t>A+</t>
        </is>
      </c>
      <c r="AM169" s="119" t="inlineStr">
        <is>
          <t>B+</t>
        </is>
      </c>
      <c r="AN169" s="119">
        <f>IF(AI169="","",$AN$2)</f>
        <v/>
      </c>
      <c r="AO169" s="119">
        <f>IF(N169="","",IF(N169&gt;=$AO$1/100,"O","X"))</f>
        <v/>
      </c>
      <c r="AP169" s="119">
        <f>IF(I169="","",IF(I169&lt;=$AP$1,"O","X"))</f>
        <v/>
      </c>
      <c r="AQ169" s="119">
        <f>IF(O169="","",IF(O169&lt;=$AQ$1,"O","X"))</f>
        <v/>
      </c>
      <c r="AR169" s="119">
        <f>IF(M169="","",IF(M169&lt;=$AR$1,"O","X"))</f>
        <v/>
      </c>
      <c r="AS169" s="119" t="inlineStr">
        <is>
          <t>X</t>
        </is>
      </c>
      <c r="AT169" s="119">
        <f>IF(OR(F169="",AI169=""),"",IF(AND((F169&lt;=85),(AI169&gt;=15)),"O","X"))</f>
        <v/>
      </c>
      <c r="AU169" s="119">
        <f>IF(C169="","",IF(C169&gt;=$AU$1,"O","X"))</f>
        <v/>
      </c>
      <c r="AV169" s="119">
        <f>IF(AO169="","",IF(AND(AO169="O",AP169="O",AR169="O",AT169="O",AU169="O"),"후보","X"))</f>
        <v/>
      </c>
    </row>
    <row r="170" ht="12" customFormat="1" customHeight="1" s="38">
      <c r="A170" s="122" t="inlineStr">
        <is>
          <t>용암동 태산그린</t>
        </is>
      </c>
      <c r="B170" s="123" t="inlineStr">
        <is>
          <t>95.04.</t>
        </is>
      </c>
      <c r="C170" s="131" t="n">
        <v>590</v>
      </c>
      <c r="D170" s="132" t="n">
        <v>76.09999999999999</v>
      </c>
      <c r="E170" s="133" t="n">
        <v>23</v>
      </c>
      <c r="F170" s="132" t="n">
        <v>59.8</v>
      </c>
      <c r="G170" s="17" t="n">
        <v>18</v>
      </c>
      <c r="H170" s="134" t="n">
        <v>590</v>
      </c>
      <c r="I170" s="135" t="n">
        <v>13000</v>
      </c>
      <c r="J170" s="135" t="inlineStr">
        <is>
          <t>14</t>
        </is>
      </c>
      <c r="K170" s="135" t="n">
        <v>13000</v>
      </c>
      <c r="L170" s="135" t="inlineStr">
        <is>
          <t>8</t>
        </is>
      </c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19" t="n">
        <v>3</v>
      </c>
      <c r="R170" s="119" t="n">
        <v>1</v>
      </c>
      <c r="S170" s="119" t="inlineStr">
        <is>
          <t>계</t>
        </is>
      </c>
      <c r="T170" s="5" t="n">
        <v>76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19">
        <f>S170</f>
        <v/>
      </c>
      <c r="AF170" s="119">
        <f>Q170&amp;"/"&amp;R170</f>
        <v/>
      </c>
      <c r="AH170" s="20">
        <f>IF(A170="","",A170)</f>
        <v/>
      </c>
      <c r="AI170" s="133">
        <f>IF(E170="","",E170)</f>
        <v/>
      </c>
      <c r="AJ170" s="119">
        <f>IF(AI170="","",$AJ$2)</f>
        <v/>
      </c>
      <c r="AK170" s="119" t="inlineStr">
        <is>
          <t>A</t>
        </is>
      </c>
      <c r="AL170" s="119" t="inlineStr">
        <is>
          <t>A+</t>
        </is>
      </c>
      <c r="AM170" s="119" t="inlineStr">
        <is>
          <t>B+</t>
        </is>
      </c>
      <c r="AN170" s="119">
        <f>IF(AI170="","",$AN$2)</f>
        <v/>
      </c>
      <c r="AO170" s="119">
        <f>IF(N170="","",IF(N170&gt;=$AO$1/100,"O","X"))</f>
        <v/>
      </c>
      <c r="AP170" s="119">
        <f>IF(I170="","",IF(I170&lt;=$AP$1,"O","X"))</f>
        <v/>
      </c>
      <c r="AQ170" s="119">
        <f>IF(O170="","",IF(O170&lt;=$AQ$1,"O","X"))</f>
        <v/>
      </c>
      <c r="AR170" s="119">
        <f>IF(M170="","",IF(M170&lt;=$AR$1,"O","X"))</f>
        <v/>
      </c>
      <c r="AS170" s="119" t="inlineStr">
        <is>
          <t>X</t>
        </is>
      </c>
      <c r="AT170" s="119">
        <f>IF(OR(F170="",AI170=""),"",IF(AND((F170&lt;=85),(AI170&gt;=15)),"O","X"))</f>
        <v/>
      </c>
      <c r="AU170" s="119">
        <f>IF(C170="","",IF(C170&gt;=$AU$1,"O","X"))</f>
        <v/>
      </c>
      <c r="AV170" s="119">
        <f>IF(AO170="","",IF(AND(AO170="O",AP170="O",AR170="O",AT170="O",AU170="O"),"후보","X"))</f>
        <v/>
      </c>
    </row>
    <row r="171" ht="12" customFormat="1" customHeight="1" s="38">
      <c r="A171" s="122" t="inlineStr">
        <is>
          <t>용암동 중흥마을1단지부영</t>
        </is>
      </c>
      <c r="B171" s="123" t="inlineStr">
        <is>
          <t>03.09.</t>
        </is>
      </c>
      <c r="C171" s="131" t="n">
        <v>752</v>
      </c>
      <c r="D171" s="132" t="n">
        <v>77.2</v>
      </c>
      <c r="E171" s="133" t="n">
        <v>23</v>
      </c>
      <c r="F171" s="132" t="n">
        <v>60</v>
      </c>
      <c r="G171" s="17" t="n">
        <v>18</v>
      </c>
      <c r="H171" s="134" t="n">
        <v>752</v>
      </c>
      <c r="I171" s="135" t="n">
        <v>17800</v>
      </c>
      <c r="J171" s="135" t="inlineStr">
        <is>
          <t>15</t>
        </is>
      </c>
      <c r="K171" s="135" t="n">
        <v>18000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19" t="n">
        <v>3</v>
      </c>
      <c r="R171" s="119" t="n">
        <v>2</v>
      </c>
      <c r="S171" s="119" t="inlineStr">
        <is>
          <t>계</t>
        </is>
      </c>
      <c r="T171" s="5" t="n">
        <v>77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19">
        <f>S171</f>
        <v/>
      </c>
      <c r="AF171" s="119">
        <f>Q171&amp;"/"&amp;R171</f>
        <v/>
      </c>
      <c r="AH171" s="20">
        <f>IF(A171="","",A171)</f>
        <v/>
      </c>
      <c r="AI171" s="133">
        <f>IF(E171="","",E171)</f>
        <v/>
      </c>
      <c r="AJ171" s="119">
        <f>IF(AI171="","",$AJ$2)</f>
        <v/>
      </c>
      <c r="AK171" s="119" t="inlineStr">
        <is>
          <t>A</t>
        </is>
      </c>
      <c r="AL171" s="119" t="inlineStr">
        <is>
          <t>A+</t>
        </is>
      </c>
      <c r="AM171" s="119" t="inlineStr">
        <is>
          <t>B+</t>
        </is>
      </c>
      <c r="AN171" s="119">
        <f>IF(AI171="","",$AN$2)</f>
        <v/>
      </c>
      <c r="AO171" s="119">
        <f>IF(N171="","",IF(N171&gt;=$AO$1/100,"O","X"))</f>
        <v/>
      </c>
      <c r="AP171" s="119">
        <f>IF(I171="","",IF(I171&lt;=$AP$1,"O","X"))</f>
        <v/>
      </c>
      <c r="AQ171" s="119">
        <f>IF(O171="","",IF(O171&lt;=$AQ$1,"O","X"))</f>
        <v/>
      </c>
      <c r="AR171" s="119">
        <f>IF(M171="","",IF(M171&lt;=$AR$1,"O","X"))</f>
        <v/>
      </c>
      <c r="AS171" s="119" t="inlineStr">
        <is>
          <t>X</t>
        </is>
      </c>
      <c r="AT171" s="119">
        <f>IF(OR(F171="",AI171=""),"",IF(AND((F171&lt;=85),(AI171&gt;=15)),"O","X"))</f>
        <v/>
      </c>
      <c r="AU171" s="119">
        <f>IF(C171="","",IF(C171&gt;=$AU$1,"O","X"))</f>
        <v/>
      </c>
      <c r="AV171" s="119">
        <f>IF(AO171="","",IF(AND(AO171="O",AP171="O",AR171="O",AT171="O",AU171="O"),"후보","X"))</f>
        <v/>
      </c>
    </row>
    <row r="172" ht="12" customFormat="1" customHeight="1" s="38">
      <c r="A172" s="122" t="inlineStr">
        <is>
          <t>용암동 진흥한우리</t>
        </is>
      </c>
      <c r="B172" s="123" t="inlineStr">
        <is>
          <t>95.06.</t>
        </is>
      </c>
      <c r="C172" s="131" t="n">
        <v>330</v>
      </c>
      <c r="D172" s="132" t="n">
        <v>85.2</v>
      </c>
      <c r="E172" s="133" t="n">
        <v>26</v>
      </c>
      <c r="F172" s="132" t="n">
        <v>69</v>
      </c>
      <c r="G172" s="17" t="n">
        <v>21</v>
      </c>
      <c r="H172" s="134" t="n">
        <v>120</v>
      </c>
      <c r="I172" s="135" t="n">
        <v>16500</v>
      </c>
      <c r="J172" s="135" t="inlineStr">
        <is>
          <t>5</t>
        </is>
      </c>
      <c r="K172" s="135" t="n">
        <v>16000</v>
      </c>
      <c r="L172" s="135" t="inlineStr">
        <is>
          <t>5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19" t="n">
        <v>3</v>
      </c>
      <c r="R172" s="119" t="n">
        <v>1</v>
      </c>
      <c r="S172" s="119" t="inlineStr">
        <is>
          <t>계</t>
        </is>
      </c>
      <c r="T172" s="5" t="n">
        <v>85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19">
        <f>S172</f>
        <v/>
      </c>
      <c r="AF172" s="119">
        <f>Q172&amp;"/"&amp;R172</f>
        <v/>
      </c>
      <c r="AH172" s="20">
        <f>IF(A172="","",A172)</f>
        <v/>
      </c>
      <c r="AI172" s="133">
        <f>IF(E172="","",E172)</f>
        <v/>
      </c>
      <c r="AJ172" s="119">
        <f>IF(AI172="","",$AJ$2)</f>
        <v/>
      </c>
      <c r="AK172" s="119" t="inlineStr">
        <is>
          <t>A</t>
        </is>
      </c>
      <c r="AL172" s="119" t="inlineStr">
        <is>
          <t>A+</t>
        </is>
      </c>
      <c r="AM172" s="119" t="inlineStr">
        <is>
          <t>B+</t>
        </is>
      </c>
      <c r="AN172" s="119">
        <f>IF(AI172="","",$AN$2)</f>
        <v/>
      </c>
      <c r="AO172" s="119">
        <f>IF(N172="","",IF(N172&gt;=$AO$1/100,"O","X"))</f>
        <v/>
      </c>
      <c r="AP172" s="119">
        <f>IF(I172="","",IF(I172&lt;=$AP$1,"O","X"))</f>
        <v/>
      </c>
      <c r="AQ172" s="119">
        <f>IF(O172="","",IF(O172&lt;=$AQ$1,"O","X"))</f>
        <v/>
      </c>
      <c r="AR172" s="119">
        <f>IF(M172="","",IF(M172&lt;=$AR$1,"O","X"))</f>
        <v/>
      </c>
      <c r="AS172" s="119" t="inlineStr">
        <is>
          <t>X</t>
        </is>
      </c>
      <c r="AT172" s="119">
        <f>IF(OR(F172="",AI172=""),"",IF(AND((F172&lt;=85),(AI172&gt;=15)),"O","X"))</f>
        <v/>
      </c>
      <c r="AU172" s="119">
        <f>IF(C172="","",IF(C172&gt;=$AU$1,"O","X"))</f>
        <v/>
      </c>
      <c r="AV172" s="119">
        <f>IF(AO172="","",IF(AND(AO172="O",AP172="O",AR172="O",AT172="O",AU172="O"),"후보","X"))</f>
        <v/>
      </c>
    </row>
    <row r="173" ht="12" customFormat="1" customHeight="1" s="38">
      <c r="A173" s="122" t="inlineStr">
        <is>
          <t>용암동 진흥한우리</t>
        </is>
      </c>
      <c r="B173" s="123" t="inlineStr">
        <is>
          <t>95.06.</t>
        </is>
      </c>
      <c r="C173" s="131" t="n">
        <v>330</v>
      </c>
      <c r="D173" s="132" t="n">
        <v>107.3</v>
      </c>
      <c r="E173" s="133" t="n">
        <v>32</v>
      </c>
      <c r="F173" s="132" t="n">
        <v>84.40000000000001</v>
      </c>
      <c r="G173" s="17" t="n">
        <v>26</v>
      </c>
      <c r="H173" s="134" t="n">
        <v>210</v>
      </c>
      <c r="I173" s="135" t="n"/>
      <c r="J173" s="135" t="n"/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19" t="n">
        <v>3</v>
      </c>
      <c r="R173" s="119" t="n">
        <v>2</v>
      </c>
      <c r="S173" s="119" t="inlineStr">
        <is>
          <t>계</t>
        </is>
      </c>
      <c r="T173" s="5" t="n">
        <v>107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19">
        <f>S173</f>
        <v/>
      </c>
      <c r="AF173" s="119">
        <f>Q173&amp;"/"&amp;R173</f>
        <v/>
      </c>
      <c r="AH173" s="20">
        <f>IF(A173="","",A173)</f>
        <v/>
      </c>
      <c r="AI173" s="133">
        <f>IF(E173="","",E173)</f>
        <v/>
      </c>
      <c r="AJ173" s="119">
        <f>IF(AI173="","",$AJ$2)</f>
        <v/>
      </c>
      <c r="AK173" s="119" t="inlineStr">
        <is>
          <t>A</t>
        </is>
      </c>
      <c r="AL173" s="119" t="inlineStr">
        <is>
          <t>A+</t>
        </is>
      </c>
      <c r="AM173" s="119" t="inlineStr">
        <is>
          <t>B+</t>
        </is>
      </c>
      <c r="AN173" s="119">
        <f>IF(AI173="","",$AN$2)</f>
        <v/>
      </c>
      <c r="AO173" s="119">
        <f>IF(N173="","",IF(N173&gt;=$AO$1/100,"O","X"))</f>
        <v/>
      </c>
      <c r="AP173" s="119">
        <f>IF(I173="","",IF(I173&lt;=$AP$1,"O","X"))</f>
        <v/>
      </c>
      <c r="AQ173" s="119">
        <f>IF(O173="","",IF(O173&lt;=$AQ$1,"O","X"))</f>
        <v/>
      </c>
      <c r="AR173" s="119">
        <f>IF(M173="","",IF(M173&lt;=$AR$1,"O","X"))</f>
        <v/>
      </c>
      <c r="AS173" s="119" t="inlineStr">
        <is>
          <t>X</t>
        </is>
      </c>
      <c r="AT173" s="119">
        <f>IF(OR(F173="",AI173=""),"",IF(AND((F173&lt;=85),(AI173&gt;=15)),"O","X"))</f>
        <v/>
      </c>
      <c r="AU173" s="119">
        <f>IF(C173="","",IF(C173&gt;=$AU$1,"O","X"))</f>
        <v/>
      </c>
      <c r="AV173" s="119">
        <f>IF(AO173="","",IF(AND(AO173="O",AP173="O",AR173="O",AT173="O",AU173="O"),"후보","X"))</f>
        <v/>
      </c>
    </row>
    <row r="174" ht="12" customFormat="1" customHeight="1" s="38">
      <c r="A174" s="122" t="inlineStr">
        <is>
          <t>용암동 용암서희스타힐스</t>
        </is>
      </c>
      <c r="B174" s="123" t="inlineStr">
        <is>
          <t>18.11.</t>
        </is>
      </c>
      <c r="C174" s="131" t="n">
        <v>318</v>
      </c>
      <c r="D174" s="132" t="n">
        <v>83.40000000000001</v>
      </c>
      <c r="E174" s="133" t="n">
        <v>25</v>
      </c>
      <c r="F174" s="132" t="n">
        <v>60</v>
      </c>
      <c r="G174" s="17" t="n">
        <v>18</v>
      </c>
      <c r="H174" s="134" t="n">
        <v>278</v>
      </c>
      <c r="I174" s="135" t="n">
        <v>28000</v>
      </c>
      <c r="J174" s="135" t="inlineStr">
        <is>
          <t>10</t>
        </is>
      </c>
      <c r="K174" s="135" t="n">
        <v>22500</v>
      </c>
      <c r="L174" s="135" t="inlineStr">
        <is>
          <t>5</t>
        </is>
      </c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19" t="n">
        <v>3</v>
      </c>
      <c r="R174" s="119" t="n">
        <v>2</v>
      </c>
      <c r="S174" s="119" t="inlineStr">
        <is>
          <t>계</t>
        </is>
      </c>
      <c r="T174" s="5" t="inlineStr">
        <is>
          <t>83A</t>
        </is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19">
        <f>S174</f>
        <v/>
      </c>
      <c r="AF174" s="119">
        <f>Q174&amp;"/"&amp;R174</f>
        <v/>
      </c>
      <c r="AH174" s="20">
        <f>IF(A174="","",A174)</f>
        <v/>
      </c>
      <c r="AI174" s="133">
        <f>IF(E174="","",E174)</f>
        <v/>
      </c>
      <c r="AJ174" s="119">
        <f>IF(AI174="","",$AJ$2)</f>
        <v/>
      </c>
      <c r="AK174" s="119" t="inlineStr">
        <is>
          <t>A</t>
        </is>
      </c>
      <c r="AL174" s="119" t="inlineStr">
        <is>
          <t>A+</t>
        </is>
      </c>
      <c r="AM174" s="119" t="inlineStr">
        <is>
          <t>B+</t>
        </is>
      </c>
      <c r="AN174" s="119">
        <f>IF(AI174="","",$AN$2)</f>
        <v/>
      </c>
      <c r="AO174" s="119">
        <f>IF(N174="","",IF(N174&gt;=$AO$1/100,"O","X"))</f>
        <v/>
      </c>
      <c r="AP174" s="119">
        <f>IF(I174="","",IF(I174&lt;=$AP$1,"O","X"))</f>
        <v/>
      </c>
      <c r="AQ174" s="119">
        <f>IF(O174="","",IF(O174&lt;=$AQ$1,"O","X"))</f>
        <v/>
      </c>
      <c r="AR174" s="119">
        <f>IF(M174="","",IF(M174&lt;=$AR$1,"O","X"))</f>
        <v/>
      </c>
      <c r="AS174" s="119" t="inlineStr">
        <is>
          <t>X</t>
        </is>
      </c>
      <c r="AT174" s="119">
        <f>IF(OR(F174="",AI174=""),"",IF(AND((F174&lt;=85),(AI174&gt;=15)),"O","X"))</f>
        <v/>
      </c>
      <c r="AU174" s="119">
        <f>IF(C174="","",IF(C174&gt;=$AU$1,"O","X"))</f>
        <v/>
      </c>
      <c r="AV174" s="119">
        <f>IF(AO174="","",IF(AND(AO174="O",AP174="O",AR174="O",AT174="O",AU174="O"),"후보","X"))</f>
        <v/>
      </c>
    </row>
    <row r="175" ht="12" customFormat="1" customHeight="1" s="38">
      <c r="A175" s="122" t="inlineStr">
        <is>
          <t>용암동 용암서희스타힐스</t>
        </is>
      </c>
      <c r="B175" s="123" t="inlineStr">
        <is>
          <t>18.11.</t>
        </is>
      </c>
      <c r="C175" s="131" t="n">
        <v>318</v>
      </c>
      <c r="D175" s="132" t="n">
        <v>83.90000000000001</v>
      </c>
      <c r="E175" s="133" t="n">
        <v>25</v>
      </c>
      <c r="F175" s="132" t="n">
        <v>60</v>
      </c>
      <c r="G175" s="17" t="n">
        <v>18</v>
      </c>
      <c r="H175" s="134" t="n">
        <v>40</v>
      </c>
      <c r="I175" s="135" t="n">
        <v>28500</v>
      </c>
      <c r="J175" s="135" t="inlineStr">
        <is>
          <t>12</t>
        </is>
      </c>
      <c r="K175" s="135" t="n">
        <v>23000</v>
      </c>
      <c r="L175" s="135" t="inlineStr">
        <is>
          <t>10</t>
        </is>
      </c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19" t="n">
        <v>3</v>
      </c>
      <c r="R175" s="119" t="n">
        <v>2</v>
      </c>
      <c r="S175" s="119" t="inlineStr">
        <is>
          <t>계</t>
        </is>
      </c>
      <c r="T175" s="5" t="inlineStr">
        <is>
          <t>83B</t>
        </is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19">
        <f>S175</f>
        <v/>
      </c>
      <c r="AF175" s="119">
        <f>Q175&amp;"/"&amp;R175</f>
        <v/>
      </c>
      <c r="AH175" s="20">
        <f>IF(A175="","",A175)</f>
        <v/>
      </c>
      <c r="AI175" s="133">
        <f>IF(E175="","",E175)</f>
        <v/>
      </c>
      <c r="AJ175" s="119">
        <f>IF(AI175="","",$AJ$2)</f>
        <v/>
      </c>
      <c r="AK175" s="119" t="inlineStr">
        <is>
          <t>A</t>
        </is>
      </c>
      <c r="AL175" s="119" t="inlineStr">
        <is>
          <t>A+</t>
        </is>
      </c>
      <c r="AM175" s="119" t="inlineStr">
        <is>
          <t>B+</t>
        </is>
      </c>
      <c r="AN175" s="119">
        <f>IF(AI175="","",$AN$2)</f>
        <v/>
      </c>
      <c r="AO175" s="119">
        <f>IF(N175="","",IF(N175&gt;=$AO$1/100,"O","X"))</f>
        <v/>
      </c>
      <c r="AP175" s="119">
        <f>IF(I175="","",IF(I175&lt;=$AP$1,"O","X"))</f>
        <v/>
      </c>
      <c r="AQ175" s="119">
        <f>IF(O175="","",IF(O175&lt;=$AQ$1,"O","X"))</f>
        <v/>
      </c>
      <c r="AR175" s="119">
        <f>IF(M175="","",IF(M175&lt;=$AR$1,"O","X"))</f>
        <v/>
      </c>
      <c r="AS175" s="119" t="inlineStr">
        <is>
          <t>X</t>
        </is>
      </c>
      <c r="AT175" s="119">
        <f>IF(OR(F175="",AI175=""),"",IF(AND((F175&lt;=85),(AI175&gt;=15)),"O","X"))</f>
        <v/>
      </c>
      <c r="AU175" s="119">
        <f>IF(C175="","",IF(C175&gt;=$AU$1,"O","X"))</f>
        <v/>
      </c>
      <c r="AV175" s="119">
        <f>IF(AO175="","",IF(AND(AO175="O",AP175="O",AR175="O",AT175="O",AU175="O"),"후보","X"))</f>
        <v/>
      </c>
    </row>
    <row r="176" ht="12" customFormat="1" customHeight="1" s="38">
      <c r="A176" s="122" t="inlineStr">
        <is>
          <t>용암동 중흥마을3단지부영그린타운</t>
        </is>
      </c>
      <c r="B176" s="123" t="inlineStr">
        <is>
          <t>05.11.</t>
        </is>
      </c>
      <c r="C176" s="131" t="n">
        <v>326</v>
      </c>
      <c r="D176" s="132" t="n">
        <v>117.1</v>
      </c>
      <c r="E176" s="133" t="n">
        <v>35</v>
      </c>
      <c r="F176" s="132" t="n">
        <v>84.90000000000001</v>
      </c>
      <c r="G176" s="17" t="n">
        <v>26</v>
      </c>
      <c r="H176" s="134" t="n">
        <v>326</v>
      </c>
      <c r="I176" s="135" t="n">
        <v>29500</v>
      </c>
      <c r="J176" s="135" t="inlineStr">
        <is>
          <t>8</t>
        </is>
      </c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19" t="n">
        <v>3</v>
      </c>
      <c r="R176" s="119" t="n">
        <v>2</v>
      </c>
      <c r="S176" s="119" t="inlineStr">
        <is>
          <t>계</t>
        </is>
      </c>
      <c r="T176" s="5" t="n">
        <v>117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19">
        <f>S176</f>
        <v/>
      </c>
      <c r="AF176" s="119">
        <f>Q176&amp;"/"&amp;R176</f>
        <v/>
      </c>
      <c r="AH176" s="20">
        <f>IF(A176="","",A176)</f>
        <v/>
      </c>
      <c r="AI176" s="133">
        <f>IF(E176="","",E176)</f>
        <v/>
      </c>
      <c r="AJ176" s="119">
        <f>IF(AI176="","",$AJ$2)</f>
        <v/>
      </c>
      <c r="AK176" s="119" t="inlineStr">
        <is>
          <t>A</t>
        </is>
      </c>
      <c r="AL176" s="119" t="inlineStr">
        <is>
          <t>A+</t>
        </is>
      </c>
      <c r="AM176" s="119" t="inlineStr">
        <is>
          <t>B+</t>
        </is>
      </c>
      <c r="AN176" s="119">
        <f>IF(AI176="","",$AN$2)</f>
        <v/>
      </c>
      <c r="AO176" s="119">
        <f>IF(N176="","",IF(N176&gt;=$AO$1/100,"O","X"))</f>
        <v/>
      </c>
      <c r="AP176" s="119">
        <f>IF(I176="","",IF(I176&lt;=$AP$1,"O","X"))</f>
        <v/>
      </c>
      <c r="AQ176" s="119">
        <f>IF(O176="","",IF(O176&lt;=$AQ$1,"O","X"))</f>
        <v/>
      </c>
      <c r="AR176" s="119">
        <f>IF(M176="","",IF(M176&lt;=$AR$1,"O","X"))</f>
        <v/>
      </c>
      <c r="AS176" s="119" t="inlineStr">
        <is>
          <t>X</t>
        </is>
      </c>
      <c r="AT176" s="119">
        <f>IF(OR(F176="",AI176=""),"",IF(AND((F176&lt;=85),(AI176&gt;=15)),"O","X"))</f>
        <v/>
      </c>
      <c r="AU176" s="119">
        <f>IF(C176="","",IF(C176&gt;=$AU$1,"O","X"))</f>
        <v/>
      </c>
      <c r="AV176" s="119">
        <f>IF(AO176="","",IF(AND(AO176="O",AP176="O",AR176="O",AT176="O",AU176="O"),"후보","X"))</f>
        <v/>
      </c>
    </row>
    <row r="177" ht="12" customFormat="1" customHeight="1" s="38">
      <c r="A177" s="122" t="inlineStr">
        <is>
          <t>용암동 청주신영강변뜨란채</t>
        </is>
      </c>
      <c r="B177" s="123" t="inlineStr">
        <is>
          <t>05.08.</t>
        </is>
      </c>
      <c r="C177" s="131" t="n">
        <v>517</v>
      </c>
      <c r="D177" s="132" t="n">
        <v>68.40000000000001</v>
      </c>
      <c r="E177" s="133" t="n">
        <v>21</v>
      </c>
      <c r="F177" s="132" t="n">
        <v>52</v>
      </c>
      <c r="G177" s="17" t="n">
        <v>16</v>
      </c>
      <c r="H177" s="134" t="n">
        <v>60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19" t="n">
        <v>2</v>
      </c>
      <c r="R177" s="119" t="n">
        <v>1</v>
      </c>
      <c r="S177" s="119" t="inlineStr">
        <is>
          <t>계</t>
        </is>
      </c>
      <c r="T177" s="5" t="n">
        <v>68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19">
        <f>S177</f>
        <v/>
      </c>
      <c r="AF177" s="119">
        <f>Q177&amp;"/"&amp;R177</f>
        <v/>
      </c>
      <c r="AH177" s="20">
        <f>IF(A177="","",A177)</f>
        <v/>
      </c>
      <c r="AI177" s="133">
        <f>IF(E177="","",E177)</f>
        <v/>
      </c>
      <c r="AJ177" s="119">
        <f>IF(AI177="","",$AJ$2)</f>
        <v/>
      </c>
      <c r="AK177" s="119" t="inlineStr">
        <is>
          <t>A</t>
        </is>
      </c>
      <c r="AL177" s="119" t="inlineStr">
        <is>
          <t>A+</t>
        </is>
      </c>
      <c r="AM177" s="119" t="inlineStr">
        <is>
          <t>B+</t>
        </is>
      </c>
      <c r="AN177" s="119">
        <f>IF(AI177="","",$AN$2)</f>
        <v/>
      </c>
      <c r="AO177" s="119">
        <f>IF(N177="","",IF(N177&gt;=$AO$1/100,"O","X"))</f>
        <v/>
      </c>
      <c r="AP177" s="119">
        <f>IF(I177="","",IF(I177&lt;=$AP$1,"O","X"))</f>
        <v/>
      </c>
      <c r="AQ177" s="119">
        <f>IF(O177="","",IF(O177&lt;=$AQ$1,"O","X"))</f>
        <v/>
      </c>
      <c r="AR177" s="119">
        <f>IF(M177="","",IF(M177&lt;=$AR$1,"O","X"))</f>
        <v/>
      </c>
      <c r="AS177" s="119" t="inlineStr">
        <is>
          <t>X</t>
        </is>
      </c>
      <c r="AT177" s="119">
        <f>IF(OR(F177="",AI177=""),"",IF(AND((F177&lt;=85),(AI177&gt;=15)),"O","X"))</f>
        <v/>
      </c>
      <c r="AU177" s="119">
        <f>IF(C177="","",IF(C177&gt;=$AU$1,"O","X"))</f>
        <v/>
      </c>
      <c r="AV177" s="119">
        <f>IF(AO177="","",IF(AND(AO177="O",AP177="O",AR177="O",AT177="O",AU177="O"),"후보","X"))</f>
        <v/>
      </c>
    </row>
    <row r="178" ht="12" customFormat="1" customHeight="1" s="38">
      <c r="A178" s="122" t="inlineStr">
        <is>
          <t>용암동 청주신영강변뜨란채</t>
        </is>
      </c>
      <c r="B178" s="123" t="inlineStr">
        <is>
          <t>05.08.</t>
        </is>
      </c>
      <c r="C178" s="131" t="n">
        <v>517</v>
      </c>
      <c r="D178" s="132" t="n">
        <v>77.2</v>
      </c>
      <c r="E178" s="133" t="n">
        <v>23</v>
      </c>
      <c r="F178" s="132" t="n">
        <v>62.1</v>
      </c>
      <c r="G178" s="17" t="n">
        <v>19</v>
      </c>
      <c r="H178" s="134" t="n">
        <v>3</v>
      </c>
      <c r="I178" s="135" t="n"/>
      <c r="J178" s="135" t="n"/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19" t="n">
        <v>2</v>
      </c>
      <c r="R178" s="119" t="n">
        <v>1</v>
      </c>
      <c r="S178" s="119" t="inlineStr">
        <is>
          <t>계</t>
        </is>
      </c>
      <c r="T178" s="5" t="inlineStr">
        <is>
          <t>77B</t>
        </is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19">
        <f>S178</f>
        <v/>
      </c>
      <c r="AF178" s="119">
        <f>Q178&amp;"/"&amp;R178</f>
        <v/>
      </c>
      <c r="AH178" s="20">
        <f>IF(A178="","",A178)</f>
        <v/>
      </c>
      <c r="AI178" s="133">
        <f>IF(E178="","",E178)</f>
        <v/>
      </c>
      <c r="AJ178" s="119">
        <f>IF(AI178="","",$AJ$2)</f>
        <v/>
      </c>
      <c r="AK178" s="119" t="inlineStr">
        <is>
          <t>A</t>
        </is>
      </c>
      <c r="AL178" s="119" t="inlineStr">
        <is>
          <t>A+</t>
        </is>
      </c>
      <c r="AM178" s="119" t="inlineStr">
        <is>
          <t>B+</t>
        </is>
      </c>
      <c r="AN178" s="119">
        <f>IF(AI178="","",$AN$2)</f>
        <v/>
      </c>
      <c r="AO178" s="119">
        <f>IF(N178="","",IF(N178&gt;=$AO$1/100,"O","X"))</f>
        <v/>
      </c>
      <c r="AP178" s="119">
        <f>IF(I178="","",IF(I178&lt;=$AP$1,"O","X"))</f>
        <v/>
      </c>
      <c r="AQ178" s="119">
        <f>IF(O178="","",IF(O178&lt;=$AQ$1,"O","X"))</f>
        <v/>
      </c>
      <c r="AR178" s="119">
        <f>IF(M178="","",IF(M178&lt;=$AR$1,"O","X"))</f>
        <v/>
      </c>
      <c r="AS178" s="119" t="inlineStr">
        <is>
          <t>X</t>
        </is>
      </c>
      <c r="AT178" s="119">
        <f>IF(OR(F178="",AI178=""),"",IF(AND((F178&lt;=85),(AI178&gt;=15)),"O","X"))</f>
        <v/>
      </c>
      <c r="AU178" s="119">
        <f>IF(C178="","",IF(C178&gt;=$AU$1,"O","X"))</f>
        <v/>
      </c>
      <c r="AV178" s="119">
        <f>IF(AO178="","",IF(AND(AO178="O",AP178="O",AR178="O",AT178="O",AU178="O"),"후보","X"))</f>
        <v/>
      </c>
    </row>
    <row r="179" ht="12" customFormat="1" customHeight="1" s="38">
      <c r="A179" s="122" t="inlineStr">
        <is>
          <t>용암동 청주신영강변뜨란채</t>
        </is>
      </c>
      <c r="B179" s="123" t="inlineStr">
        <is>
          <t>05.08.</t>
        </is>
      </c>
      <c r="C179" s="131" t="n">
        <v>517</v>
      </c>
      <c r="D179" s="132" t="n">
        <v>78.2</v>
      </c>
      <c r="E179" s="133" t="n">
        <v>24</v>
      </c>
      <c r="F179" s="132" t="n">
        <v>59.9</v>
      </c>
      <c r="G179" s="17" t="n">
        <v>18</v>
      </c>
      <c r="H179" s="134" t="n">
        <v>129</v>
      </c>
      <c r="I179" s="135" t="n">
        <v>20000</v>
      </c>
      <c r="J179" s="135" t="inlineStr">
        <is>
          <t>15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19" t="n">
        <v>3</v>
      </c>
      <c r="R179" s="119" t="n">
        <v>1</v>
      </c>
      <c r="S179" s="119" t="inlineStr">
        <is>
          <t>계</t>
        </is>
      </c>
      <c r="T179" s="5" t="n">
        <v>78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19">
        <f>S179</f>
        <v/>
      </c>
      <c r="AF179" s="119">
        <f>Q179&amp;"/"&amp;R179</f>
        <v/>
      </c>
      <c r="AH179" s="20">
        <f>IF(A179="","",A179)</f>
        <v/>
      </c>
      <c r="AI179" s="133">
        <f>IF(E179="","",E179)</f>
        <v/>
      </c>
      <c r="AJ179" s="119">
        <f>IF(AI179="","",$AJ$2)</f>
        <v/>
      </c>
      <c r="AK179" s="119" t="inlineStr">
        <is>
          <t>A</t>
        </is>
      </c>
      <c r="AL179" s="119" t="inlineStr">
        <is>
          <t>A+</t>
        </is>
      </c>
      <c r="AM179" s="119" t="inlineStr">
        <is>
          <t>B+</t>
        </is>
      </c>
      <c r="AN179" s="119">
        <f>IF(AI179="","",$AN$2)</f>
        <v/>
      </c>
      <c r="AO179" s="119">
        <f>IF(N179="","",IF(N179&gt;=$AO$1/100,"O","X"))</f>
        <v/>
      </c>
      <c r="AP179" s="119">
        <f>IF(I179="","",IF(I179&lt;=$AP$1,"O","X"))</f>
        <v/>
      </c>
      <c r="AQ179" s="119">
        <f>IF(O179="","",IF(O179&lt;=$AQ$1,"O","X"))</f>
        <v/>
      </c>
      <c r="AR179" s="119">
        <f>IF(M179="","",IF(M179&lt;=$AR$1,"O","X"))</f>
        <v/>
      </c>
      <c r="AS179" s="119" t="inlineStr">
        <is>
          <t>X</t>
        </is>
      </c>
      <c r="AT179" s="119">
        <f>IF(OR(F179="",AI179=""),"",IF(AND((F179&lt;=85),(AI179&gt;=15)),"O","X"))</f>
        <v/>
      </c>
      <c r="AU179" s="119">
        <f>IF(C179="","",IF(C179&gt;=$AU$1,"O","X"))</f>
        <v/>
      </c>
      <c r="AV179" s="119">
        <f>IF(AO179="","",IF(AND(AO179="O",AP179="O",AR179="O",AT179="O",AU179="O"),"후보","X"))</f>
        <v/>
      </c>
    </row>
    <row r="180" ht="12" customFormat="1" customHeight="1" s="38">
      <c r="A180" s="122" t="inlineStr">
        <is>
          <t>용암동 청주신영강변뜨란채</t>
        </is>
      </c>
      <c r="B180" s="123" t="inlineStr">
        <is>
          <t>05.08.</t>
        </is>
      </c>
      <c r="C180" s="131" t="n">
        <v>517</v>
      </c>
      <c r="D180" s="132" t="n">
        <v>78.2</v>
      </c>
      <c r="E180" s="133" t="n">
        <v>24</v>
      </c>
      <c r="F180" s="132" t="n">
        <v>59.9</v>
      </c>
      <c r="G180" s="17" t="n">
        <v>18</v>
      </c>
      <c r="H180" s="134" t="n">
        <v>39</v>
      </c>
      <c r="I180" s="135" t="n">
        <v>20000</v>
      </c>
      <c r="J180" s="135" t="inlineStr">
        <is>
          <t>15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19" t="n">
        <v>3</v>
      </c>
      <c r="R180" s="119" t="n">
        <v>1</v>
      </c>
      <c r="S180" s="119" t="inlineStr">
        <is>
          <t>계</t>
        </is>
      </c>
      <c r="T180" s="5" t="inlineStr">
        <is>
          <t>78A</t>
        </is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19">
        <f>S180</f>
        <v/>
      </c>
      <c r="AF180" s="119">
        <f>Q180&amp;"/"&amp;R180</f>
        <v/>
      </c>
      <c r="AH180" s="20">
        <f>IF(A180="","",A180)</f>
        <v/>
      </c>
      <c r="AI180" s="133">
        <f>IF(E180="","",E180)</f>
        <v/>
      </c>
      <c r="AJ180" s="119">
        <f>IF(AI180="","",$AJ$2)</f>
        <v/>
      </c>
      <c r="AK180" s="119" t="inlineStr">
        <is>
          <t>A</t>
        </is>
      </c>
      <c r="AL180" s="119" t="inlineStr">
        <is>
          <t>A+</t>
        </is>
      </c>
      <c r="AM180" s="119" t="inlineStr">
        <is>
          <t>B+</t>
        </is>
      </c>
      <c r="AN180" s="119">
        <f>IF(AI180="","",$AN$2)</f>
        <v/>
      </c>
      <c r="AO180" s="119">
        <f>IF(N180="","",IF(N180&gt;=$AO$1/100,"O","X"))</f>
        <v/>
      </c>
      <c r="AP180" s="119">
        <f>IF(I180="","",IF(I180&lt;=$AP$1,"O","X"))</f>
        <v/>
      </c>
      <c r="AQ180" s="119">
        <f>IF(O180="","",IF(O180&lt;=$AQ$1,"O","X"))</f>
        <v/>
      </c>
      <c r="AR180" s="119">
        <f>IF(M180="","",IF(M180&lt;=$AR$1,"O","X"))</f>
        <v/>
      </c>
      <c r="AS180" s="119" t="inlineStr">
        <is>
          <t>X</t>
        </is>
      </c>
      <c r="AT180" s="119">
        <f>IF(OR(F180="",AI180=""),"",IF(AND((F180&lt;=85),(AI180&gt;=15)),"O","X"))</f>
        <v/>
      </c>
      <c r="AU180" s="119">
        <f>IF(C180="","",IF(C180&gt;=$AU$1,"O","X"))</f>
        <v/>
      </c>
      <c r="AV180" s="119">
        <f>IF(AO180="","",IF(AND(AO180="O",AP180="O",AR180="O",AT180="O",AU180="O"),"후보","X"))</f>
        <v/>
      </c>
    </row>
    <row r="181" ht="12" customFormat="1" customHeight="1" s="38">
      <c r="A181" s="122" t="inlineStr">
        <is>
          <t>용암동 청주신영강변뜨란채</t>
        </is>
      </c>
      <c r="B181" s="123" t="inlineStr">
        <is>
          <t>05.08.</t>
        </is>
      </c>
      <c r="C181" s="131" t="n">
        <v>517</v>
      </c>
      <c r="D181" s="132" t="n">
        <v>105.3</v>
      </c>
      <c r="E181" s="133" t="n">
        <v>32</v>
      </c>
      <c r="F181" s="132" t="n">
        <v>84.8</v>
      </c>
      <c r="G181" s="17" t="n">
        <v>26</v>
      </c>
      <c r="H181" s="134" t="n">
        <v>235</v>
      </c>
      <c r="I181" s="135" t="n">
        <v>26500</v>
      </c>
      <c r="J181" s="135" t="inlineStr">
        <is>
          <t>10</t>
        </is>
      </c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19" t="n">
        <v>3</v>
      </c>
      <c r="R181" s="119" t="n">
        <v>2</v>
      </c>
      <c r="S181" s="119" t="inlineStr">
        <is>
          <t>계</t>
        </is>
      </c>
      <c r="T181" s="5" t="n">
        <v>105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19">
        <f>S181</f>
        <v/>
      </c>
      <c r="AF181" s="119">
        <f>Q181&amp;"/"&amp;R181</f>
        <v/>
      </c>
      <c r="AH181" s="20">
        <f>IF(A181="","",A181)</f>
        <v/>
      </c>
      <c r="AI181" s="133">
        <f>IF(E181="","",E181)</f>
        <v/>
      </c>
      <c r="AJ181" s="119">
        <f>IF(AI181="","",$AJ$2)</f>
        <v/>
      </c>
      <c r="AK181" s="119" t="inlineStr">
        <is>
          <t>A</t>
        </is>
      </c>
      <c r="AL181" s="119" t="inlineStr">
        <is>
          <t>A+</t>
        </is>
      </c>
      <c r="AM181" s="119" t="inlineStr">
        <is>
          <t>B+</t>
        </is>
      </c>
      <c r="AN181" s="119">
        <f>IF(AI181="","",$AN$2)</f>
        <v/>
      </c>
      <c r="AO181" s="119">
        <f>IF(N181="","",IF(N181&gt;=$AO$1/100,"O","X"))</f>
        <v/>
      </c>
      <c r="AP181" s="119">
        <f>IF(I181="","",IF(I181&lt;=$AP$1,"O","X"))</f>
        <v/>
      </c>
      <c r="AQ181" s="119">
        <f>IF(O181="","",IF(O181&lt;=$AQ$1,"O","X"))</f>
        <v/>
      </c>
      <c r="AR181" s="119">
        <f>IF(M181="","",IF(M181&lt;=$AR$1,"O","X"))</f>
        <v/>
      </c>
      <c r="AS181" s="119" t="inlineStr">
        <is>
          <t>X</t>
        </is>
      </c>
      <c r="AT181" s="119">
        <f>IF(OR(F181="",AI181=""),"",IF(AND((F181&lt;=85),(AI181&gt;=15)),"O","X"))</f>
        <v/>
      </c>
      <c r="AU181" s="119">
        <f>IF(C181="","",IF(C181&gt;=$AU$1,"O","X"))</f>
        <v/>
      </c>
      <c r="AV181" s="119">
        <f>IF(AO181="","",IF(AND(AO181="O",AP181="O",AR181="O",AT181="O",AU181="O"),"후보","X"))</f>
        <v/>
      </c>
    </row>
    <row r="182" ht="12" customFormat="1" customHeight="1" s="38">
      <c r="A182" s="122" t="inlineStr">
        <is>
          <t>용암동 청주신영강변뜨란채</t>
        </is>
      </c>
      <c r="B182" s="123" t="inlineStr">
        <is>
          <t>05.08.</t>
        </is>
      </c>
      <c r="C182" s="131" t="n">
        <v>517</v>
      </c>
      <c r="D182" s="132" t="n">
        <v>132.7</v>
      </c>
      <c r="E182" s="133" t="n">
        <v>40</v>
      </c>
      <c r="F182" s="132" t="n">
        <v>108.8</v>
      </c>
      <c r="G182" s="17" t="n">
        <v>33</v>
      </c>
      <c r="H182" s="134" t="n">
        <v>51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19" t="n">
        <v>4</v>
      </c>
      <c r="R182" s="119" t="n">
        <v>2</v>
      </c>
      <c r="S182" s="119" t="inlineStr">
        <is>
          <t>계</t>
        </is>
      </c>
      <c r="T182" s="5" t="n">
        <v>132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19">
        <f>S182</f>
        <v/>
      </c>
      <c r="AF182" s="119">
        <f>Q182&amp;"/"&amp;R182</f>
        <v/>
      </c>
      <c r="AH182" s="20">
        <f>IF(A182="","",A182)</f>
        <v/>
      </c>
      <c r="AI182" s="133">
        <f>IF(E182="","",E182)</f>
        <v/>
      </c>
      <c r="AJ182" s="119">
        <f>IF(AI182="","",$AJ$2)</f>
        <v/>
      </c>
      <c r="AK182" s="119" t="inlineStr">
        <is>
          <t>A</t>
        </is>
      </c>
      <c r="AL182" s="119" t="inlineStr">
        <is>
          <t>A+</t>
        </is>
      </c>
      <c r="AM182" s="119" t="inlineStr">
        <is>
          <t>B+</t>
        </is>
      </c>
      <c r="AN182" s="119">
        <f>IF(AI182="","",$AN$2)</f>
        <v/>
      </c>
      <c r="AO182" s="119">
        <f>IF(N182="","",IF(N182&gt;=$AO$1/100,"O","X"))</f>
        <v/>
      </c>
      <c r="AP182" s="119">
        <f>IF(I182="","",IF(I182&lt;=$AP$1,"O","X"))</f>
        <v/>
      </c>
      <c r="AQ182" s="119">
        <f>IF(O182="","",IF(O182&lt;=$AQ$1,"O","X"))</f>
        <v/>
      </c>
      <c r="AR182" s="119">
        <f>IF(M182="","",IF(M182&lt;=$AR$1,"O","X"))</f>
        <v/>
      </c>
      <c r="AS182" s="119" t="inlineStr">
        <is>
          <t>X</t>
        </is>
      </c>
      <c r="AT182" s="119">
        <f>IF(OR(F182="",AI182=""),"",IF(AND((F182&lt;=85),(AI182&gt;=15)),"O","X"))</f>
        <v/>
      </c>
      <c r="AU182" s="119">
        <f>IF(C182="","",IF(C182&gt;=$AU$1,"O","X"))</f>
        <v/>
      </c>
      <c r="AV182" s="119">
        <f>IF(AO182="","",IF(AND(AO182="O",AP182="O",AR182="O",AT182="O",AU182="O"),"후보","X"))</f>
        <v/>
      </c>
    </row>
    <row r="183" ht="12" customFormat="1" customHeight="1" s="38">
      <c r="A183" s="122" t="inlineStr">
        <is>
          <t>용암동 중흥마을6단지부영</t>
        </is>
      </c>
      <c r="B183" s="123" t="inlineStr">
        <is>
          <t>01.11.</t>
        </is>
      </c>
      <c r="C183" s="131" t="n">
        <v>557</v>
      </c>
      <c r="D183" s="132" t="n">
        <v>114</v>
      </c>
      <c r="E183" s="133" t="n">
        <v>34</v>
      </c>
      <c r="F183" s="132" t="n">
        <v>85</v>
      </c>
      <c r="G183" s="17" t="n">
        <v>26</v>
      </c>
      <c r="H183" s="134" t="n">
        <v>557</v>
      </c>
      <c r="I183" s="135" t="n">
        <v>22000</v>
      </c>
      <c r="J183" s="135" t="inlineStr">
        <is>
          <t>중</t>
        </is>
      </c>
      <c r="K183" s="135" t="n">
        <v>22000</v>
      </c>
      <c r="L183" s="135" t="inlineStr">
        <is>
          <t>6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19" t="n">
        <v>3</v>
      </c>
      <c r="R183" s="119" t="n">
        <v>2</v>
      </c>
      <c r="S183" s="119" t="inlineStr">
        <is>
          <t>계</t>
        </is>
      </c>
      <c r="T183" s="5" t="n">
        <v>113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19">
        <f>S183</f>
        <v/>
      </c>
      <c r="AF183" s="119">
        <f>Q183&amp;"/"&amp;R183</f>
        <v/>
      </c>
      <c r="AH183" s="20">
        <f>IF(A183="","",A183)</f>
        <v/>
      </c>
      <c r="AI183" s="133">
        <f>IF(E183="","",E183)</f>
        <v/>
      </c>
      <c r="AJ183" s="119">
        <f>IF(AI183="","",$AJ$2)</f>
        <v/>
      </c>
      <c r="AK183" s="119" t="inlineStr">
        <is>
          <t>A</t>
        </is>
      </c>
      <c r="AL183" s="119" t="inlineStr">
        <is>
          <t>A+</t>
        </is>
      </c>
      <c r="AM183" s="119" t="inlineStr">
        <is>
          <t>B+</t>
        </is>
      </c>
      <c r="AN183" s="119">
        <f>IF(AI183="","",$AN$2)</f>
        <v/>
      </c>
      <c r="AO183" s="119">
        <f>IF(N183="","",IF(N183&gt;=$AO$1/100,"O","X"))</f>
        <v/>
      </c>
      <c r="AP183" s="119">
        <f>IF(I183="","",IF(I183&lt;=$AP$1,"O","X"))</f>
        <v/>
      </c>
      <c r="AQ183" s="119">
        <f>IF(O183="","",IF(O183&lt;=$AQ$1,"O","X"))</f>
        <v/>
      </c>
      <c r="AR183" s="119">
        <f>IF(M183="","",IF(M183&lt;=$AR$1,"O","X"))</f>
        <v/>
      </c>
      <c r="AS183" s="119" t="inlineStr">
        <is>
          <t>X</t>
        </is>
      </c>
      <c r="AT183" s="119">
        <f>IF(OR(F183="",AI183=""),"",IF(AND((F183&lt;=85),(AI183&gt;=15)),"O","X"))</f>
        <v/>
      </c>
      <c r="AU183" s="119">
        <f>IF(C183="","",IF(C183&gt;=$AU$1,"O","X"))</f>
        <v/>
      </c>
      <c r="AV183" s="119">
        <f>IF(AO183="","",IF(AND(AO183="O",AP183="O",AR183="O",AT183="O",AU183="O"),"후보","X"))</f>
        <v/>
      </c>
    </row>
    <row r="184" ht="12" customFormat="1" customHeight="1" s="38">
      <c r="A184" s="122" t="inlineStr">
        <is>
          <t>용암동 소라</t>
        </is>
      </c>
      <c r="B184" s="123" t="inlineStr">
        <is>
          <t>94.11.</t>
        </is>
      </c>
      <c r="C184" s="131" t="n">
        <v>675</v>
      </c>
      <c r="D184" s="132" t="n">
        <v>74.8</v>
      </c>
      <c r="E184" s="133" t="n">
        <v>23</v>
      </c>
      <c r="F184" s="132" t="n">
        <v>59.7</v>
      </c>
      <c r="G184" s="17" t="n">
        <v>18</v>
      </c>
      <c r="H184" s="134" t="n">
        <v>480</v>
      </c>
      <c r="I184" s="135" t="n">
        <v>14500</v>
      </c>
      <c r="J184" s="135" t="inlineStr">
        <is>
          <t>13</t>
        </is>
      </c>
      <c r="K184" s="135" t="n">
        <v>14000</v>
      </c>
      <c r="L184" s="135" t="inlineStr">
        <is>
          <t>14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19" t="n">
        <v>3</v>
      </c>
      <c r="R184" s="119" t="n">
        <v>1</v>
      </c>
      <c r="S184" s="119" t="inlineStr">
        <is>
          <t>계</t>
        </is>
      </c>
      <c r="T184" s="5" t="inlineStr">
        <is>
          <t>74B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19">
        <f>S184</f>
        <v/>
      </c>
      <c r="AF184" s="119">
        <f>Q184&amp;"/"&amp;R184</f>
        <v/>
      </c>
      <c r="AH184" s="20">
        <f>IF(A184="","",A184)</f>
        <v/>
      </c>
      <c r="AI184" s="133">
        <f>IF(E184="","",E184)</f>
        <v/>
      </c>
      <c r="AJ184" s="119">
        <f>IF(AI184="","",$AJ$2)</f>
        <v/>
      </c>
      <c r="AK184" s="119" t="inlineStr">
        <is>
          <t>A</t>
        </is>
      </c>
      <c r="AL184" s="119" t="inlineStr">
        <is>
          <t>A+</t>
        </is>
      </c>
      <c r="AM184" s="119" t="inlineStr">
        <is>
          <t>B+</t>
        </is>
      </c>
      <c r="AN184" s="119">
        <f>IF(AI184="","",$AN$2)</f>
        <v/>
      </c>
      <c r="AO184" s="119">
        <f>IF(N184="","",IF(N184&gt;=$AO$1/100,"O","X"))</f>
        <v/>
      </c>
      <c r="AP184" s="119">
        <f>IF(I184="","",IF(I184&lt;=$AP$1,"O","X"))</f>
        <v/>
      </c>
      <c r="AQ184" s="119">
        <f>IF(O184="","",IF(O184&lt;=$AQ$1,"O","X"))</f>
        <v/>
      </c>
      <c r="AR184" s="119">
        <f>IF(M184="","",IF(M184&lt;=$AR$1,"O","X"))</f>
        <v/>
      </c>
      <c r="AS184" s="119" t="inlineStr">
        <is>
          <t>X</t>
        </is>
      </c>
      <c r="AT184" s="119">
        <f>IF(OR(F184="",AI184=""),"",IF(AND((F184&lt;=85),(AI184&gt;=15)),"O","X"))</f>
        <v/>
      </c>
      <c r="AU184" s="119">
        <f>IF(C184="","",IF(C184&gt;=$AU$1,"O","X"))</f>
        <v/>
      </c>
      <c r="AV184" s="119">
        <f>IF(AO184="","",IF(AND(AO184="O",AP184="O",AR184="O",AT184="O",AU184="O"),"후보","X"))</f>
        <v/>
      </c>
    </row>
    <row r="185" ht="12" customFormat="1" customHeight="1" s="38">
      <c r="A185" s="122" t="inlineStr">
        <is>
          <t>용암동 소라</t>
        </is>
      </c>
      <c r="B185" s="123" t="inlineStr">
        <is>
          <t>94.11.</t>
        </is>
      </c>
      <c r="C185" s="131" t="n">
        <v>675</v>
      </c>
      <c r="D185" s="132" t="n">
        <v>74.40000000000001</v>
      </c>
      <c r="E185" s="133" t="n">
        <v>23</v>
      </c>
      <c r="F185" s="132" t="n">
        <v>59.4</v>
      </c>
      <c r="G185" s="17" t="n">
        <v>18</v>
      </c>
      <c r="H185" s="134" t="n">
        <v>195</v>
      </c>
      <c r="I185" s="135" t="n">
        <v>14000</v>
      </c>
      <c r="J185" s="135" t="inlineStr">
        <is>
          <t>10</t>
        </is>
      </c>
      <c r="K185" s="135" t="n">
        <v>14000</v>
      </c>
      <c r="L185" s="135" t="inlineStr">
        <is>
          <t>11</t>
        </is>
      </c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19" t="n">
        <v>3</v>
      </c>
      <c r="R185" s="119" t="n">
        <v>1</v>
      </c>
      <c r="S185" s="119" t="inlineStr">
        <is>
          <t>계</t>
        </is>
      </c>
      <c r="T185" s="5" t="inlineStr">
        <is>
          <t>74A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19">
        <f>S185</f>
        <v/>
      </c>
      <c r="AF185" s="119">
        <f>Q185&amp;"/"&amp;R185</f>
        <v/>
      </c>
      <c r="AH185" s="20">
        <f>IF(A185="","",A185)</f>
        <v/>
      </c>
      <c r="AI185" s="133">
        <f>IF(E185="","",E185)</f>
        <v/>
      </c>
      <c r="AJ185" s="119">
        <f>IF(AI185="","",$AJ$2)</f>
        <v/>
      </c>
      <c r="AK185" s="119" t="inlineStr">
        <is>
          <t>A</t>
        </is>
      </c>
      <c r="AL185" s="119" t="inlineStr">
        <is>
          <t>A+</t>
        </is>
      </c>
      <c r="AM185" s="119" t="inlineStr">
        <is>
          <t>B+</t>
        </is>
      </c>
      <c r="AN185" s="119">
        <f>IF(AI185="","",$AN$2)</f>
        <v/>
      </c>
      <c r="AO185" s="119">
        <f>IF(N185="","",IF(N185&gt;=$AO$1/100,"O","X"))</f>
        <v/>
      </c>
      <c r="AP185" s="119">
        <f>IF(I185="","",IF(I185&lt;=$AP$1,"O","X"))</f>
        <v/>
      </c>
      <c r="AQ185" s="119">
        <f>IF(O185="","",IF(O185&lt;=$AQ$1,"O","X"))</f>
        <v/>
      </c>
      <c r="AR185" s="119">
        <f>IF(M185="","",IF(M185&lt;=$AR$1,"O","X"))</f>
        <v/>
      </c>
      <c r="AS185" s="119" t="inlineStr">
        <is>
          <t>X</t>
        </is>
      </c>
      <c r="AT185" s="119">
        <f>IF(OR(F185="",AI185=""),"",IF(AND((F185&lt;=85),(AI185&gt;=15)),"O","X"))</f>
        <v/>
      </c>
      <c r="AU185" s="119">
        <f>IF(C185="","",IF(C185&gt;=$AU$1,"O","X"))</f>
        <v/>
      </c>
      <c r="AV185" s="119">
        <f>IF(AO185="","",IF(AND(AO185="O",AP185="O",AR185="O",AT185="O",AU185="O"),"후보","X"))</f>
        <v/>
      </c>
    </row>
    <row r="186" ht="12" customFormat="1" customHeight="1" s="38">
      <c r="A186" s="122" t="inlineStr">
        <is>
          <t>용암동 용암세원한아름</t>
        </is>
      </c>
      <c r="B186" s="123" t="inlineStr">
        <is>
          <t>94.11.</t>
        </is>
      </c>
      <c r="C186" s="131" t="n">
        <v>1530</v>
      </c>
      <c r="D186" s="132" t="n">
        <v>56.4</v>
      </c>
      <c r="E186" s="133" t="n">
        <v>17</v>
      </c>
      <c r="F186" s="132" t="n">
        <v>41.9</v>
      </c>
      <c r="G186" s="17" t="n">
        <v>13</v>
      </c>
      <c r="H186" s="134" t="n">
        <v>480</v>
      </c>
      <c r="I186" s="135" t="n">
        <v>8200</v>
      </c>
      <c r="J186" s="135" t="inlineStr">
        <is>
          <t>7</t>
        </is>
      </c>
      <c r="K186" s="135" t="n">
        <v>8000</v>
      </c>
      <c r="L186" s="135" t="inlineStr">
        <is>
          <t>6</t>
        </is>
      </c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19" t="n">
        <v>2</v>
      </c>
      <c r="R186" s="119" t="n">
        <v>1</v>
      </c>
      <c r="S186" s="119" t="inlineStr">
        <is>
          <t>계</t>
        </is>
      </c>
      <c r="T186" s="5" t="n">
        <v>56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19">
        <f>S186</f>
        <v/>
      </c>
      <c r="AF186" s="119">
        <f>Q186&amp;"/"&amp;R186</f>
        <v/>
      </c>
      <c r="AH186" s="20">
        <f>IF(A186="","",A186)</f>
        <v/>
      </c>
      <c r="AI186" s="133">
        <f>IF(E186="","",E186)</f>
        <v/>
      </c>
      <c r="AJ186" s="119">
        <f>IF(AI186="","",$AJ$2)</f>
        <v/>
      </c>
      <c r="AK186" s="119" t="inlineStr">
        <is>
          <t>A</t>
        </is>
      </c>
      <c r="AL186" s="119" t="inlineStr">
        <is>
          <t>A+</t>
        </is>
      </c>
      <c r="AM186" s="119" t="inlineStr">
        <is>
          <t>B+</t>
        </is>
      </c>
      <c r="AN186" s="119">
        <f>IF(AI186="","",$AN$2)</f>
        <v/>
      </c>
      <c r="AO186" s="119">
        <f>IF(N186="","",IF(N186&gt;=$AO$1/100,"O","X"))</f>
        <v/>
      </c>
      <c r="AP186" s="119">
        <f>IF(I186="","",IF(I186&lt;=$AP$1,"O","X"))</f>
        <v/>
      </c>
      <c r="AQ186" s="119">
        <f>IF(O186="","",IF(O186&lt;=$AQ$1,"O","X"))</f>
        <v/>
      </c>
      <c r="AR186" s="119">
        <f>IF(M186="","",IF(M186&lt;=$AR$1,"O","X"))</f>
        <v/>
      </c>
      <c r="AS186" s="119" t="inlineStr">
        <is>
          <t>X</t>
        </is>
      </c>
      <c r="AT186" s="119">
        <f>IF(OR(F186="",AI186=""),"",IF(AND((F186&lt;=85),(AI186&gt;=15)),"O","X"))</f>
        <v/>
      </c>
      <c r="AU186" s="119">
        <f>IF(C186="","",IF(C186&gt;=$AU$1,"O","X"))</f>
        <v/>
      </c>
      <c r="AV186" s="119">
        <f>IF(AO186="","",IF(AND(AO186="O",AP186="O",AR186="O",AT186="O",AU186="O"),"후보","X"))</f>
        <v/>
      </c>
    </row>
    <row r="187" ht="12" customFormat="1" customHeight="1" s="38">
      <c r="A187" s="122" t="inlineStr">
        <is>
          <t>용암동 용암세원한아름</t>
        </is>
      </c>
      <c r="B187" s="123" t="inlineStr">
        <is>
          <t>94.11.</t>
        </is>
      </c>
      <c r="C187" s="131" t="n">
        <v>1530</v>
      </c>
      <c r="D187" s="132" t="n">
        <v>75</v>
      </c>
      <c r="E187" s="133" t="n">
        <v>23</v>
      </c>
      <c r="F187" s="132" t="n">
        <v>59.8</v>
      </c>
      <c r="G187" s="17" t="n">
        <v>18</v>
      </c>
      <c r="H187" s="134" t="n">
        <v>1050</v>
      </c>
      <c r="I187" s="135" t="n">
        <v>15000</v>
      </c>
      <c r="J187" s="135" t="inlineStr">
        <is>
          <t>11</t>
        </is>
      </c>
      <c r="K187" s="135" t="n">
        <v>14000</v>
      </c>
      <c r="L187" s="135" t="inlineStr">
        <is>
          <t>15</t>
        </is>
      </c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19" t="n">
        <v>3</v>
      </c>
      <c r="R187" s="119" t="n">
        <v>1</v>
      </c>
      <c r="S187" s="119" t="inlineStr">
        <is>
          <t>계</t>
        </is>
      </c>
      <c r="T187" s="5" t="n">
        <v>74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19">
        <f>S187</f>
        <v/>
      </c>
      <c r="AF187" s="119">
        <f>Q187&amp;"/"&amp;R187</f>
        <v/>
      </c>
      <c r="AH187" s="20">
        <f>IF(A187="","",A187)</f>
        <v/>
      </c>
      <c r="AI187" s="133">
        <f>IF(E187="","",E187)</f>
        <v/>
      </c>
      <c r="AJ187" s="119">
        <f>IF(AI187="","",$AJ$2)</f>
        <v/>
      </c>
      <c r="AK187" s="119" t="inlineStr">
        <is>
          <t>A</t>
        </is>
      </c>
      <c r="AL187" s="119" t="inlineStr">
        <is>
          <t>A+</t>
        </is>
      </c>
      <c r="AM187" s="119" t="inlineStr">
        <is>
          <t>B+</t>
        </is>
      </c>
      <c r="AN187" s="119">
        <f>IF(AI187="","",$AN$2)</f>
        <v/>
      </c>
      <c r="AO187" s="119">
        <f>IF(N187="","",IF(N187&gt;=$AO$1/100,"O","X"))</f>
        <v/>
      </c>
      <c r="AP187" s="119">
        <f>IF(I187="","",IF(I187&lt;=$AP$1,"O","X"))</f>
        <v/>
      </c>
      <c r="AQ187" s="119">
        <f>IF(O187="","",IF(O187&lt;=$AQ$1,"O","X"))</f>
        <v/>
      </c>
      <c r="AR187" s="119">
        <f>IF(M187="","",IF(M187&lt;=$AR$1,"O","X"))</f>
        <v/>
      </c>
      <c r="AS187" s="119" t="inlineStr">
        <is>
          <t>X</t>
        </is>
      </c>
      <c r="AT187" s="119">
        <f>IF(OR(F187="",AI187=""),"",IF(AND((F187&lt;=85),(AI187&gt;=15)),"O","X"))</f>
        <v/>
      </c>
      <c r="AU187" s="119">
        <f>IF(C187="","",IF(C187&gt;=$AU$1,"O","X"))</f>
        <v/>
      </c>
      <c r="AV187" s="119">
        <f>IF(AO187="","",IF(AND(AO187="O",AP187="O",AR187="O",AT187="O",AU187="O"),"후보","X"))</f>
        <v/>
      </c>
    </row>
    <row r="188" ht="12" customFormat="1" customHeight="1" s="38">
      <c r="A188" s="122" t="inlineStr">
        <is>
          <t>용암동 용암삼일무지개</t>
        </is>
      </c>
      <c r="B188" s="123" t="inlineStr">
        <is>
          <t>94.10.</t>
        </is>
      </c>
      <c r="C188" s="131" t="n">
        <v>640</v>
      </c>
      <c r="D188" s="132" t="n">
        <v>74.7</v>
      </c>
      <c r="E188" s="133" t="n">
        <v>23</v>
      </c>
      <c r="F188" s="132" t="n">
        <v>59.9</v>
      </c>
      <c r="G188" s="17" t="n">
        <v>18</v>
      </c>
      <c r="H188" s="134" t="n">
        <v>640</v>
      </c>
      <c r="I188" s="135" t="n">
        <v>14000</v>
      </c>
      <c r="J188" s="135" t="inlineStr">
        <is>
          <t>고</t>
        </is>
      </c>
      <c r="K188" s="135" t="n">
        <v>14000</v>
      </c>
      <c r="L188" s="135" t="inlineStr">
        <is>
          <t>12</t>
        </is>
      </c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19" t="n">
        <v>3</v>
      </c>
      <c r="R188" s="119" t="n">
        <v>1</v>
      </c>
      <c r="S188" s="119" t="inlineStr">
        <is>
          <t>계</t>
        </is>
      </c>
      <c r="T188" s="5" t="n">
        <v>74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19">
        <f>S188</f>
        <v/>
      </c>
      <c r="AF188" s="119">
        <f>Q188&amp;"/"&amp;R188</f>
        <v/>
      </c>
      <c r="AH188" s="20">
        <f>IF(A188="","",A188)</f>
        <v/>
      </c>
      <c r="AI188" s="133">
        <f>IF(E188="","",E188)</f>
        <v/>
      </c>
      <c r="AJ188" s="119">
        <f>IF(AI188="","",$AJ$2)</f>
        <v/>
      </c>
      <c r="AK188" s="119" t="inlineStr">
        <is>
          <t>A</t>
        </is>
      </c>
      <c r="AL188" s="119" t="inlineStr">
        <is>
          <t>A+</t>
        </is>
      </c>
      <c r="AM188" s="119" t="inlineStr">
        <is>
          <t>B+</t>
        </is>
      </c>
      <c r="AN188" s="119">
        <f>IF(AI188="","",$AN$2)</f>
        <v/>
      </c>
      <c r="AO188" s="119">
        <f>IF(N188="","",IF(N188&gt;=$AO$1/100,"O","X"))</f>
        <v/>
      </c>
      <c r="AP188" s="119">
        <f>IF(I188="","",IF(I188&lt;=$AP$1,"O","X"))</f>
        <v/>
      </c>
      <c r="AQ188" s="119">
        <f>IF(O188="","",IF(O188&lt;=$AQ$1,"O","X"))</f>
        <v/>
      </c>
      <c r="AR188" s="119">
        <f>IF(M188="","",IF(M188&lt;=$AR$1,"O","X"))</f>
        <v/>
      </c>
      <c r="AS188" s="119" t="inlineStr">
        <is>
          <t>X</t>
        </is>
      </c>
      <c r="AT188" s="119">
        <f>IF(OR(F188="",AI188=""),"",IF(AND((F188&lt;=85),(AI188&gt;=15)),"O","X"))</f>
        <v/>
      </c>
      <c r="AU188" s="119">
        <f>IF(C188="","",IF(C188&gt;=$AU$1,"O","X"))</f>
        <v/>
      </c>
      <c r="AV188" s="119">
        <f>IF(AO188="","",IF(AND(AO188="O",AP188="O",AR188="O",AT188="O",AU188="O"),"후보","X"))</f>
        <v/>
      </c>
    </row>
    <row r="189" ht="12" customFormat="1" customHeight="1" s="38">
      <c r="A189" s="122" t="inlineStr">
        <is>
          <t>용암동 대원칸타빌더테라스2단지</t>
        </is>
      </c>
      <c r="B189" s="123" t="inlineStr">
        <is>
          <t>19.12.</t>
        </is>
      </c>
      <c r="C189" s="131" t="n">
        <v>706</v>
      </c>
      <c r="D189" s="132" t="n">
        <v>100.4</v>
      </c>
      <c r="E189" s="133" t="n">
        <v>30</v>
      </c>
      <c r="F189" s="132" t="n">
        <v>78.90000000000001</v>
      </c>
      <c r="G189" s="17" t="n">
        <v>24</v>
      </c>
      <c r="H189" s="134" t="n">
        <v>233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19" t="n">
        <v>3</v>
      </c>
      <c r="R189" s="119" t="n">
        <v>2</v>
      </c>
      <c r="S189" s="119" t="inlineStr">
        <is>
          <t>계</t>
        </is>
      </c>
      <c r="T189" s="5" t="n">
        <v>100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19">
        <f>S189</f>
        <v/>
      </c>
      <c r="AF189" s="119">
        <f>Q189&amp;"/"&amp;R189</f>
        <v/>
      </c>
      <c r="AH189" s="20">
        <f>IF(A189="","",A189)</f>
        <v/>
      </c>
      <c r="AI189" s="133">
        <f>IF(E189="","",E189)</f>
        <v/>
      </c>
      <c r="AJ189" s="119">
        <f>IF(AI189="","",$AJ$2)</f>
        <v/>
      </c>
      <c r="AK189" s="119" t="inlineStr">
        <is>
          <t>A</t>
        </is>
      </c>
      <c r="AL189" s="119" t="inlineStr">
        <is>
          <t>A+</t>
        </is>
      </c>
      <c r="AM189" s="119" t="inlineStr">
        <is>
          <t>B+</t>
        </is>
      </c>
      <c r="AN189" s="119">
        <f>IF(AI189="","",$AN$2)</f>
        <v/>
      </c>
      <c r="AO189" s="119">
        <f>IF(N189="","",IF(N189&gt;=$AO$1/100,"O","X"))</f>
        <v/>
      </c>
      <c r="AP189" s="119">
        <f>IF(I189="","",IF(I189&lt;=$AP$1,"O","X"))</f>
        <v/>
      </c>
      <c r="AQ189" s="119">
        <f>IF(O189="","",IF(O189&lt;=$AQ$1,"O","X"))</f>
        <v/>
      </c>
      <c r="AR189" s="119">
        <f>IF(M189="","",IF(M189&lt;=$AR$1,"O","X"))</f>
        <v/>
      </c>
      <c r="AS189" s="119" t="inlineStr">
        <is>
          <t>X</t>
        </is>
      </c>
      <c r="AT189" s="119">
        <f>IF(OR(F189="",AI189=""),"",IF(AND((F189&lt;=85),(AI189&gt;=15)),"O","X"))</f>
        <v/>
      </c>
      <c r="AU189" s="119">
        <f>IF(C189="","",IF(C189&gt;=$AU$1,"O","X"))</f>
        <v/>
      </c>
      <c r="AV189" s="119">
        <f>IF(AO189="","",IF(AND(AO189="O",AP189="O",AR189="O",AT189="O",AU189="O"),"후보","X"))</f>
        <v/>
      </c>
    </row>
    <row r="190" ht="12" customFormat="1" customHeight="1" s="38">
      <c r="A190" s="122" t="inlineStr">
        <is>
          <t>용암동 대원칸타빌더테라스2단지</t>
        </is>
      </c>
      <c r="B190" s="123" t="inlineStr">
        <is>
          <t>19.12.</t>
        </is>
      </c>
      <c r="C190" s="131" t="n">
        <v>706</v>
      </c>
      <c r="D190" s="132" t="n">
        <v>108</v>
      </c>
      <c r="E190" s="133" t="n">
        <v>33</v>
      </c>
      <c r="F190" s="132" t="n">
        <v>84.59999999999999</v>
      </c>
      <c r="G190" s="17" t="n">
        <v>26</v>
      </c>
      <c r="H190" s="134" t="n">
        <v>299</v>
      </c>
      <c r="I190" s="135" t="n"/>
      <c r="J190" s="135" t="n"/>
      <c r="K190" s="135" t="n"/>
      <c r="L190" s="135" t="n"/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19" t="n">
        <v>3</v>
      </c>
      <c r="R190" s="119" t="n">
        <v>2</v>
      </c>
      <c r="S190" s="119" t="inlineStr">
        <is>
          <t>계</t>
        </is>
      </c>
      <c r="T190" s="5" t="inlineStr">
        <is>
          <t>108A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19">
        <f>S190</f>
        <v/>
      </c>
      <c r="AF190" s="119">
        <f>Q190&amp;"/"&amp;R190</f>
        <v/>
      </c>
      <c r="AH190" s="20">
        <f>IF(A190="","",A190)</f>
        <v/>
      </c>
      <c r="AI190" s="133">
        <f>IF(E190="","",E190)</f>
        <v/>
      </c>
      <c r="AJ190" s="119">
        <f>IF(AI190="","",$AJ$2)</f>
        <v/>
      </c>
      <c r="AK190" s="119" t="inlineStr">
        <is>
          <t>A</t>
        </is>
      </c>
      <c r="AL190" s="119" t="inlineStr">
        <is>
          <t>A+</t>
        </is>
      </c>
      <c r="AM190" s="119" t="inlineStr">
        <is>
          <t>B+</t>
        </is>
      </c>
      <c r="AN190" s="119">
        <f>IF(AI190="","",$AN$2)</f>
        <v/>
      </c>
      <c r="AO190" s="119">
        <f>IF(N190="","",IF(N190&gt;=$AO$1/100,"O","X"))</f>
        <v/>
      </c>
      <c r="AP190" s="119">
        <f>IF(I190="","",IF(I190&lt;=$AP$1,"O","X"))</f>
        <v/>
      </c>
      <c r="AQ190" s="119">
        <f>IF(O190="","",IF(O190&lt;=$AQ$1,"O","X"))</f>
        <v/>
      </c>
      <c r="AR190" s="119">
        <f>IF(M190="","",IF(M190&lt;=$AR$1,"O","X"))</f>
        <v/>
      </c>
      <c r="AS190" s="119" t="inlineStr">
        <is>
          <t>X</t>
        </is>
      </c>
      <c r="AT190" s="119">
        <f>IF(OR(F190="",AI190=""),"",IF(AND((F190&lt;=85),(AI190&gt;=15)),"O","X"))</f>
        <v/>
      </c>
      <c r="AU190" s="119">
        <f>IF(C190="","",IF(C190&gt;=$AU$1,"O","X"))</f>
        <v/>
      </c>
      <c r="AV190" s="119">
        <f>IF(AO190="","",IF(AND(AO190="O",AP190="O",AR190="O",AT190="O",AU190="O"),"후보","X"))</f>
        <v/>
      </c>
    </row>
    <row r="191" ht="12" customFormat="1" customHeight="1" s="38">
      <c r="A191" s="122" t="inlineStr">
        <is>
          <t>용암동 대원칸타빌더테라스2단지</t>
        </is>
      </c>
      <c r="B191" s="123" t="inlineStr">
        <is>
          <t>19.12.</t>
        </is>
      </c>
      <c r="C191" s="131" t="n">
        <v>706</v>
      </c>
      <c r="D191" s="132" t="n">
        <v>110.3</v>
      </c>
      <c r="E191" s="133" t="n">
        <v>33</v>
      </c>
      <c r="F191" s="132" t="n">
        <v>84.90000000000001</v>
      </c>
      <c r="G191" s="17" t="n">
        <v>26</v>
      </c>
      <c r="H191" s="134" t="n">
        <v>174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19" t="n">
        <v>3</v>
      </c>
      <c r="R191" s="119" t="n">
        <v>2</v>
      </c>
      <c r="S191" s="119" t="inlineStr">
        <is>
          <t>계</t>
        </is>
      </c>
      <c r="T191" s="5" t="inlineStr">
        <is>
          <t>110B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19">
        <f>S191</f>
        <v/>
      </c>
      <c r="AF191" s="119">
        <f>Q191&amp;"/"&amp;R191</f>
        <v/>
      </c>
      <c r="AH191" s="20">
        <f>IF(A191="","",A191)</f>
        <v/>
      </c>
      <c r="AI191" s="133">
        <f>IF(E191="","",E191)</f>
        <v/>
      </c>
      <c r="AJ191" s="119">
        <f>IF(AI191="","",$AJ$2)</f>
        <v/>
      </c>
      <c r="AK191" s="119" t="inlineStr">
        <is>
          <t>A</t>
        </is>
      </c>
      <c r="AL191" s="119" t="inlineStr">
        <is>
          <t>A+</t>
        </is>
      </c>
      <c r="AM191" s="119" t="inlineStr">
        <is>
          <t>B+</t>
        </is>
      </c>
      <c r="AN191" s="119">
        <f>IF(AI191="","",$AN$2)</f>
        <v/>
      </c>
      <c r="AO191" s="119">
        <f>IF(N191="","",IF(N191&gt;=$AO$1/100,"O","X"))</f>
        <v/>
      </c>
      <c r="AP191" s="119">
        <f>IF(I191="","",IF(I191&lt;=$AP$1,"O","X"))</f>
        <v/>
      </c>
      <c r="AQ191" s="119">
        <f>IF(O191="","",IF(O191&lt;=$AQ$1,"O","X"))</f>
        <v/>
      </c>
      <c r="AR191" s="119">
        <f>IF(M191="","",IF(M191&lt;=$AR$1,"O","X"))</f>
        <v/>
      </c>
      <c r="AS191" s="119" t="inlineStr">
        <is>
          <t>X</t>
        </is>
      </c>
      <c r="AT191" s="119">
        <f>IF(OR(F191="",AI191=""),"",IF(AND((F191&lt;=85),(AI191&gt;=15)),"O","X"))</f>
        <v/>
      </c>
      <c r="AU191" s="119">
        <f>IF(C191="","",IF(C191&gt;=$AU$1,"O","X"))</f>
        <v/>
      </c>
      <c r="AV191" s="119">
        <f>IF(AO191="","",IF(AND(AO191="O",AP191="O",AR191="O",AT191="O",AU191="O"),"후보","X"))</f>
        <v/>
      </c>
    </row>
    <row r="192" ht="12" customFormat="1" customHeight="1" s="38">
      <c r="A192" s="122" t="inlineStr">
        <is>
          <t>용암동 용암현대</t>
        </is>
      </c>
      <c r="B192" s="123" t="inlineStr">
        <is>
          <t>95.10.</t>
        </is>
      </c>
      <c r="C192" s="131" t="n">
        <v>476</v>
      </c>
      <c r="D192" s="132" t="n">
        <v>103.2</v>
      </c>
      <c r="E192" s="133" t="n">
        <v>31</v>
      </c>
      <c r="F192" s="132" t="n">
        <v>84.90000000000001</v>
      </c>
      <c r="G192" s="17" t="n">
        <v>26</v>
      </c>
      <c r="H192" s="134" t="n">
        <v>476</v>
      </c>
      <c r="I192" s="135" t="n">
        <v>20000</v>
      </c>
      <c r="J192" s="135" t="inlineStr">
        <is>
          <t>8</t>
        </is>
      </c>
      <c r="K192" s="135" t="n">
        <v>21200</v>
      </c>
      <c r="L192" s="135" t="inlineStr">
        <is>
          <t>7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19" t="n">
        <v>3</v>
      </c>
      <c r="R192" s="119" t="n">
        <v>2</v>
      </c>
      <c r="S192" s="119" t="inlineStr">
        <is>
          <t>계</t>
        </is>
      </c>
      <c r="T192" s="5" t="n">
        <v>103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19">
        <f>S192</f>
        <v/>
      </c>
      <c r="AF192" s="119">
        <f>Q192&amp;"/"&amp;R192</f>
        <v/>
      </c>
      <c r="AH192" s="20">
        <f>IF(A192="","",A192)</f>
        <v/>
      </c>
      <c r="AI192" s="133">
        <f>IF(E192="","",E192)</f>
        <v/>
      </c>
      <c r="AJ192" s="119">
        <f>IF(AI192="","",$AJ$2)</f>
        <v/>
      </c>
      <c r="AK192" s="119" t="inlineStr">
        <is>
          <t>A</t>
        </is>
      </c>
      <c r="AL192" s="119" t="inlineStr">
        <is>
          <t>A+</t>
        </is>
      </c>
      <c r="AM192" s="119" t="inlineStr">
        <is>
          <t>B+</t>
        </is>
      </c>
      <c r="AN192" s="119">
        <f>IF(AI192="","",$AN$2)</f>
        <v/>
      </c>
      <c r="AO192" s="119">
        <f>IF(N192="","",IF(N192&gt;=$AO$1/100,"O","X"))</f>
        <v/>
      </c>
      <c r="AP192" s="119">
        <f>IF(I192="","",IF(I192&lt;=$AP$1,"O","X"))</f>
        <v/>
      </c>
      <c r="AQ192" s="119">
        <f>IF(O192="","",IF(O192&lt;=$AQ$1,"O","X"))</f>
        <v/>
      </c>
      <c r="AR192" s="119">
        <f>IF(M192="","",IF(M192&lt;=$AR$1,"O","X"))</f>
        <v/>
      </c>
      <c r="AS192" s="119" t="inlineStr">
        <is>
          <t>X</t>
        </is>
      </c>
      <c r="AT192" s="119">
        <f>IF(OR(F192="",AI192=""),"",IF(AND((F192&lt;=85),(AI192&gt;=15)),"O","X"))</f>
        <v/>
      </c>
      <c r="AU192" s="119">
        <f>IF(C192="","",IF(C192&gt;=$AU$1,"O","X"))</f>
        <v/>
      </c>
      <c r="AV192" s="119">
        <f>IF(AO192="","",IF(AND(AO192="O",AP192="O",AR192="O",AT192="O",AU192="O"),"후보","X"))</f>
        <v/>
      </c>
    </row>
    <row r="193" ht="12" customFormat="1" customHeight="1" s="38">
      <c r="A193" s="122" t="inlineStr">
        <is>
          <t>용암동 덕성그린타운</t>
        </is>
      </c>
      <c r="B193" s="123" t="inlineStr">
        <is>
          <t>95.07.</t>
        </is>
      </c>
      <c r="C193" s="131" t="n">
        <v>495</v>
      </c>
      <c r="D193" s="132" t="n">
        <v>34.5</v>
      </c>
      <c r="E193" s="133" t="n">
        <v>10</v>
      </c>
      <c r="F193" s="132" t="n">
        <v>27.4</v>
      </c>
      <c r="G193" s="17" t="n">
        <v>8</v>
      </c>
      <c r="H193" s="134" t="n">
        <v>15</v>
      </c>
      <c r="I193" s="135" t="n"/>
      <c r="J193" s="135" t="n"/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19" t="n">
        <v>1</v>
      </c>
      <c r="R193" s="119" t="n">
        <v>1</v>
      </c>
      <c r="S193" s="119" t="inlineStr">
        <is>
          <t>계</t>
        </is>
      </c>
      <c r="T193" s="5" t="n">
        <v>34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19">
        <f>S193</f>
        <v/>
      </c>
      <c r="AF193" s="119">
        <f>Q193&amp;"/"&amp;R193</f>
        <v/>
      </c>
      <c r="AH193" s="20">
        <f>IF(A193="","",A193)</f>
        <v/>
      </c>
      <c r="AI193" s="133">
        <f>IF(E193="","",E193)</f>
        <v/>
      </c>
      <c r="AJ193" s="119">
        <f>IF(AI193="","",$AJ$2)</f>
        <v/>
      </c>
      <c r="AK193" s="119" t="inlineStr">
        <is>
          <t>A</t>
        </is>
      </c>
      <c r="AL193" s="119" t="inlineStr">
        <is>
          <t>A+</t>
        </is>
      </c>
      <c r="AM193" s="119" t="inlineStr">
        <is>
          <t>B+</t>
        </is>
      </c>
      <c r="AN193" s="119">
        <f>IF(AI193="","",$AN$2)</f>
        <v/>
      </c>
      <c r="AO193" s="119">
        <f>IF(N193="","",IF(N193&gt;=$AO$1/100,"O","X"))</f>
        <v/>
      </c>
      <c r="AP193" s="119">
        <f>IF(I193="","",IF(I193&lt;=$AP$1,"O","X"))</f>
        <v/>
      </c>
      <c r="AQ193" s="119">
        <f>IF(O193="","",IF(O193&lt;=$AQ$1,"O","X"))</f>
        <v/>
      </c>
      <c r="AR193" s="119">
        <f>IF(M193="","",IF(M193&lt;=$AR$1,"O","X"))</f>
        <v/>
      </c>
      <c r="AS193" s="119" t="inlineStr">
        <is>
          <t>X</t>
        </is>
      </c>
      <c r="AT193" s="119">
        <f>IF(OR(F193="",AI193=""),"",IF(AND((F193&lt;=85),(AI193&gt;=15)),"O","X"))</f>
        <v/>
      </c>
      <c r="AU193" s="119">
        <f>IF(C193="","",IF(C193&gt;=$AU$1,"O","X"))</f>
        <v/>
      </c>
      <c r="AV193" s="119">
        <f>IF(AO193="","",IF(AND(AO193="O",AP193="O",AR193="O",AT193="O",AU193="O"),"후보","X"))</f>
        <v/>
      </c>
    </row>
    <row r="194" ht="12" customFormat="1" customHeight="1" s="38">
      <c r="A194" s="122" t="inlineStr">
        <is>
          <t>용암동 덕성그린타운</t>
        </is>
      </c>
      <c r="B194" s="123" t="inlineStr">
        <is>
          <t>95.07.</t>
        </is>
      </c>
      <c r="C194" s="131" t="n">
        <v>495</v>
      </c>
      <c r="D194" s="132" t="n">
        <v>49.6</v>
      </c>
      <c r="E194" s="133" t="n">
        <v>15</v>
      </c>
      <c r="F194" s="132" t="n">
        <v>39.5</v>
      </c>
      <c r="G194" s="17" t="n">
        <v>12</v>
      </c>
      <c r="H194" s="134" t="n">
        <v>15</v>
      </c>
      <c r="I194" s="135" t="n">
        <v>10500</v>
      </c>
      <c r="J194" s="135" t="inlineStr">
        <is>
          <t>14</t>
        </is>
      </c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19" t="n">
        <v>2</v>
      </c>
      <c r="R194" s="119" t="n">
        <v>1</v>
      </c>
      <c r="S194" s="119" t="inlineStr">
        <is>
          <t>계</t>
        </is>
      </c>
      <c r="T194" s="5" t="n">
        <v>49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19">
        <f>S194</f>
        <v/>
      </c>
      <c r="AF194" s="119">
        <f>Q194&amp;"/"&amp;R194</f>
        <v/>
      </c>
      <c r="AH194" s="20">
        <f>IF(A194="","",A194)</f>
        <v/>
      </c>
      <c r="AI194" s="133">
        <f>IF(E194="","",E194)</f>
        <v/>
      </c>
      <c r="AJ194" s="119">
        <f>IF(AI194="","",$AJ$2)</f>
        <v/>
      </c>
      <c r="AK194" s="119" t="inlineStr">
        <is>
          <t>A</t>
        </is>
      </c>
      <c r="AL194" s="119" t="inlineStr">
        <is>
          <t>A+</t>
        </is>
      </c>
      <c r="AM194" s="119" t="inlineStr">
        <is>
          <t>B+</t>
        </is>
      </c>
      <c r="AN194" s="119">
        <f>IF(AI194="","",$AN$2)</f>
        <v/>
      </c>
      <c r="AO194" s="119">
        <f>IF(N194="","",IF(N194&gt;=$AO$1/100,"O","X"))</f>
        <v/>
      </c>
      <c r="AP194" s="119">
        <f>IF(I194="","",IF(I194&lt;=$AP$1,"O","X"))</f>
        <v/>
      </c>
      <c r="AQ194" s="119">
        <f>IF(O194="","",IF(O194&lt;=$AQ$1,"O","X"))</f>
        <v/>
      </c>
      <c r="AR194" s="119">
        <f>IF(M194="","",IF(M194&lt;=$AR$1,"O","X"))</f>
        <v/>
      </c>
      <c r="AS194" s="119" t="inlineStr">
        <is>
          <t>X</t>
        </is>
      </c>
      <c r="AT194" s="119">
        <f>IF(OR(F194="",AI194=""),"",IF(AND((F194&lt;=85),(AI194&gt;=15)),"O","X"))</f>
        <v/>
      </c>
      <c r="AU194" s="119">
        <f>IF(C194="","",IF(C194&gt;=$AU$1,"O","X"))</f>
        <v/>
      </c>
      <c r="AV194" s="119">
        <f>IF(AO194="","",IF(AND(AO194="O",AP194="O",AR194="O",AT194="O",AU194="O"),"후보","X"))</f>
        <v/>
      </c>
    </row>
    <row r="195" ht="12" customFormat="1" customHeight="1" s="38">
      <c r="A195" s="122" t="inlineStr">
        <is>
          <t>용암동 덕성그린타운</t>
        </is>
      </c>
      <c r="B195" s="123" t="inlineStr">
        <is>
          <t>95.07.</t>
        </is>
      </c>
      <c r="C195" s="131" t="n">
        <v>495</v>
      </c>
      <c r="D195" s="132" t="n">
        <v>64</v>
      </c>
      <c r="E195" s="133" t="n">
        <v>19</v>
      </c>
      <c r="F195" s="132" t="n">
        <v>50</v>
      </c>
      <c r="G195" s="17" t="n">
        <v>15</v>
      </c>
      <c r="H195" s="134" t="n">
        <v>150</v>
      </c>
      <c r="I195" s="135" t="n">
        <v>12000</v>
      </c>
      <c r="J195" s="135" t="inlineStr">
        <is>
          <t>9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19" t="n">
        <v>2</v>
      </c>
      <c r="R195" s="119" t="n">
        <v>1</v>
      </c>
      <c r="S195" s="119" t="inlineStr">
        <is>
          <t>계</t>
        </is>
      </c>
      <c r="T195" s="5" t="n">
        <v>63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19">
        <f>S195</f>
        <v/>
      </c>
      <c r="AF195" s="119">
        <f>Q195&amp;"/"&amp;R195</f>
        <v/>
      </c>
      <c r="AH195" s="20">
        <f>IF(A195="","",A195)</f>
        <v/>
      </c>
      <c r="AI195" s="133">
        <f>IF(E195="","",E195)</f>
        <v/>
      </c>
      <c r="AJ195" s="119">
        <f>IF(AI195="","",$AJ$2)</f>
        <v/>
      </c>
      <c r="AK195" s="119" t="inlineStr">
        <is>
          <t>A</t>
        </is>
      </c>
      <c r="AL195" s="119" t="inlineStr">
        <is>
          <t>A+</t>
        </is>
      </c>
      <c r="AM195" s="119" t="inlineStr">
        <is>
          <t>B+</t>
        </is>
      </c>
      <c r="AN195" s="119">
        <f>IF(AI195="","",$AN$2)</f>
        <v/>
      </c>
      <c r="AO195" s="119">
        <f>IF(N195="","",IF(N195&gt;=$AO$1/100,"O","X"))</f>
        <v/>
      </c>
      <c r="AP195" s="119">
        <f>IF(I195="","",IF(I195&lt;=$AP$1,"O","X"))</f>
        <v/>
      </c>
      <c r="AQ195" s="119">
        <f>IF(O195="","",IF(O195&lt;=$AQ$1,"O","X"))</f>
        <v/>
      </c>
      <c r="AR195" s="119">
        <f>IF(M195="","",IF(M195&lt;=$AR$1,"O","X"))</f>
        <v/>
      </c>
      <c r="AS195" s="119" t="inlineStr">
        <is>
          <t>X</t>
        </is>
      </c>
      <c r="AT195" s="119">
        <f>IF(OR(F195="",AI195=""),"",IF(AND((F195&lt;=85),(AI195&gt;=15)),"O","X"))</f>
        <v/>
      </c>
      <c r="AU195" s="119">
        <f>IF(C195="","",IF(C195&gt;=$AU$1,"O","X"))</f>
        <v/>
      </c>
      <c r="AV195" s="119">
        <f>IF(AO195="","",IF(AND(AO195="O",AP195="O",AR195="O",AT195="O",AU195="O"),"후보","X"))</f>
        <v/>
      </c>
    </row>
    <row r="196" ht="12" customFormat="1" customHeight="1" s="38">
      <c r="A196" s="122" t="inlineStr">
        <is>
          <t>용암동 덕성그린타운</t>
        </is>
      </c>
      <c r="B196" s="123" t="inlineStr">
        <is>
          <t>95.07.</t>
        </is>
      </c>
      <c r="C196" s="131" t="n">
        <v>495</v>
      </c>
      <c r="D196" s="132" t="n">
        <v>73.90000000000001</v>
      </c>
      <c r="E196" s="133" t="n">
        <v>22</v>
      </c>
      <c r="F196" s="132" t="n">
        <v>59.8</v>
      </c>
      <c r="G196" s="17" t="n">
        <v>18</v>
      </c>
      <c r="H196" s="134" t="n">
        <v>120</v>
      </c>
      <c r="I196" s="135" t="n">
        <v>15000</v>
      </c>
      <c r="J196" s="135" t="inlineStr">
        <is>
          <t>10</t>
        </is>
      </c>
      <c r="K196" s="135" t="n">
        <v>14500</v>
      </c>
      <c r="L196" s="135" t="inlineStr">
        <is>
          <t>7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19" t="n">
        <v>3</v>
      </c>
      <c r="R196" s="119" t="n">
        <v>1</v>
      </c>
      <c r="S196" s="119" t="inlineStr">
        <is>
          <t>계</t>
        </is>
      </c>
      <c r="T196" s="5" t="n">
        <v>73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19">
        <f>S196</f>
        <v/>
      </c>
      <c r="AF196" s="119">
        <f>Q196&amp;"/"&amp;R196</f>
        <v/>
      </c>
      <c r="AH196" s="20">
        <f>IF(A196="","",A196)</f>
        <v/>
      </c>
      <c r="AI196" s="133">
        <f>IF(E196="","",E196)</f>
        <v/>
      </c>
      <c r="AJ196" s="119">
        <f>IF(AI196="","",$AJ$2)</f>
        <v/>
      </c>
      <c r="AK196" s="119" t="inlineStr">
        <is>
          <t>A</t>
        </is>
      </c>
      <c r="AL196" s="119" t="inlineStr">
        <is>
          <t>A+</t>
        </is>
      </c>
      <c r="AM196" s="119" t="inlineStr">
        <is>
          <t>B+</t>
        </is>
      </c>
      <c r="AN196" s="119">
        <f>IF(AI196="","",$AN$2)</f>
        <v/>
      </c>
      <c r="AO196" s="119">
        <f>IF(N196="","",IF(N196&gt;=$AO$1/100,"O","X"))</f>
        <v/>
      </c>
      <c r="AP196" s="119">
        <f>IF(I196="","",IF(I196&lt;=$AP$1,"O","X"))</f>
        <v/>
      </c>
      <c r="AQ196" s="119">
        <f>IF(O196="","",IF(O196&lt;=$AQ$1,"O","X"))</f>
        <v/>
      </c>
      <c r="AR196" s="119">
        <f>IF(M196="","",IF(M196&lt;=$AR$1,"O","X"))</f>
        <v/>
      </c>
      <c r="AS196" s="119" t="inlineStr">
        <is>
          <t>X</t>
        </is>
      </c>
      <c r="AT196" s="119">
        <f>IF(OR(F196="",AI196=""),"",IF(AND((F196&lt;=85),(AI196&gt;=15)),"O","X"))</f>
        <v/>
      </c>
      <c r="AU196" s="119">
        <f>IF(C196="","",IF(C196&gt;=$AU$1,"O","X"))</f>
        <v/>
      </c>
      <c r="AV196" s="119">
        <f>IF(AO196="","",IF(AND(AO196="O",AP196="O",AR196="O",AT196="O",AU196="O"),"후보","X"))</f>
        <v/>
      </c>
    </row>
    <row r="197" ht="12" customFormat="1" customHeight="1" s="38">
      <c r="A197" s="122" t="inlineStr">
        <is>
          <t>용암동 덕성그린타운</t>
        </is>
      </c>
      <c r="B197" s="123" t="inlineStr">
        <is>
          <t>95.07.</t>
        </is>
      </c>
      <c r="C197" s="131" t="n">
        <v>495</v>
      </c>
      <c r="D197" s="132" t="n">
        <v>75</v>
      </c>
      <c r="E197" s="133" t="n">
        <v>23</v>
      </c>
      <c r="F197" s="132" t="n">
        <v>59.6</v>
      </c>
      <c r="G197" s="17" t="n">
        <v>18</v>
      </c>
      <c r="H197" s="134" t="n">
        <v>195</v>
      </c>
      <c r="I197" s="135" t="n">
        <v>15000</v>
      </c>
      <c r="J197" s="135" t="inlineStr">
        <is>
          <t>11</t>
        </is>
      </c>
      <c r="K197" s="135" t="n">
        <v>14000</v>
      </c>
      <c r="L197" s="135" t="inlineStr">
        <is>
          <t>9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19" t="n">
        <v>3</v>
      </c>
      <c r="R197" s="119" t="n">
        <v>1</v>
      </c>
      <c r="S197" s="119" t="inlineStr">
        <is>
          <t>계</t>
        </is>
      </c>
      <c r="T197" s="5" t="n">
        <v>74</v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19">
        <f>S197</f>
        <v/>
      </c>
      <c r="AF197" s="119">
        <f>Q197&amp;"/"&amp;R197</f>
        <v/>
      </c>
      <c r="AH197" s="20">
        <f>IF(A197="","",A197)</f>
        <v/>
      </c>
      <c r="AI197" s="133">
        <f>IF(E197="","",E197)</f>
        <v/>
      </c>
      <c r="AJ197" s="119">
        <f>IF(AI197="","",$AJ$2)</f>
        <v/>
      </c>
      <c r="AK197" s="119" t="inlineStr">
        <is>
          <t>A</t>
        </is>
      </c>
      <c r="AL197" s="119" t="inlineStr">
        <is>
          <t>A+</t>
        </is>
      </c>
      <c r="AM197" s="119" t="inlineStr">
        <is>
          <t>B+</t>
        </is>
      </c>
      <c r="AN197" s="119">
        <f>IF(AI197="","",$AN$2)</f>
        <v/>
      </c>
      <c r="AO197" s="119">
        <f>IF(N197="","",IF(N197&gt;=$AO$1/100,"O","X"))</f>
        <v/>
      </c>
      <c r="AP197" s="119">
        <f>IF(I197="","",IF(I197&lt;=$AP$1,"O","X"))</f>
        <v/>
      </c>
      <c r="AQ197" s="119">
        <f>IF(O197="","",IF(O197&lt;=$AQ$1,"O","X"))</f>
        <v/>
      </c>
      <c r="AR197" s="119">
        <f>IF(M197="","",IF(M197&lt;=$AR$1,"O","X"))</f>
        <v/>
      </c>
      <c r="AS197" s="119" t="inlineStr">
        <is>
          <t>X</t>
        </is>
      </c>
      <c r="AT197" s="119">
        <f>IF(OR(F197="",AI197=""),"",IF(AND((F197&lt;=85),(AI197&gt;=15)),"O","X"))</f>
        <v/>
      </c>
      <c r="AU197" s="119">
        <f>IF(C197="","",IF(C197&gt;=$AU$1,"O","X"))</f>
        <v/>
      </c>
      <c r="AV197" s="119">
        <f>IF(AO197="","",IF(AND(AO197="O",AP197="O",AR197="O",AT197="O",AU197="O"),"후보","X"))</f>
        <v/>
      </c>
    </row>
    <row r="198" ht="12" customFormat="1" customHeight="1" s="38">
      <c r="A198" s="122" t="inlineStr">
        <is>
          <t>용암동 효성</t>
        </is>
      </c>
      <c r="B198" s="123" t="inlineStr">
        <is>
          <t>94.10.</t>
        </is>
      </c>
      <c r="C198" s="131" t="n">
        <v>486</v>
      </c>
      <c r="D198" s="132" t="n">
        <v>74.09999999999999</v>
      </c>
      <c r="E198" s="133" t="n">
        <v>22</v>
      </c>
      <c r="F198" s="132" t="n">
        <v>59.2</v>
      </c>
      <c r="G198" s="17" t="n">
        <v>18</v>
      </c>
      <c r="H198" s="134" t="n">
        <v>366</v>
      </c>
      <c r="I198" s="135" t="n">
        <v>14000</v>
      </c>
      <c r="J198" s="135" t="inlineStr">
        <is>
          <t>8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19" t="n">
        <v>3</v>
      </c>
      <c r="R198" s="119" t="n">
        <v>1</v>
      </c>
      <c r="S198" s="119" t="inlineStr">
        <is>
          <t>계</t>
        </is>
      </c>
      <c r="T198" s="5" t="inlineStr">
        <is>
          <t>74A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19">
        <f>S198</f>
        <v/>
      </c>
      <c r="AF198" s="119">
        <f>Q198&amp;"/"&amp;R198</f>
        <v/>
      </c>
      <c r="AH198" s="20">
        <f>IF(A198="","",A198)</f>
        <v/>
      </c>
      <c r="AI198" s="133">
        <f>IF(E198="","",E198)</f>
        <v/>
      </c>
      <c r="AJ198" s="119">
        <f>IF(AI198="","",$AJ$2)</f>
        <v/>
      </c>
      <c r="AK198" s="119" t="inlineStr">
        <is>
          <t>A</t>
        </is>
      </c>
      <c r="AL198" s="119" t="inlineStr">
        <is>
          <t>A+</t>
        </is>
      </c>
      <c r="AM198" s="119" t="inlineStr">
        <is>
          <t>B+</t>
        </is>
      </c>
      <c r="AN198" s="119">
        <f>IF(AI198="","",$AN$2)</f>
        <v/>
      </c>
      <c r="AO198" s="119">
        <f>IF(N198="","",IF(N198&gt;=$AO$1/100,"O","X"))</f>
        <v/>
      </c>
      <c r="AP198" s="119">
        <f>IF(I198="","",IF(I198&lt;=$AP$1,"O","X"))</f>
        <v/>
      </c>
      <c r="AQ198" s="119">
        <f>IF(O198="","",IF(O198&lt;=$AQ$1,"O","X"))</f>
        <v/>
      </c>
      <c r="AR198" s="119">
        <f>IF(M198="","",IF(M198&lt;=$AR$1,"O","X"))</f>
        <v/>
      </c>
      <c r="AS198" s="119" t="inlineStr">
        <is>
          <t>X</t>
        </is>
      </c>
      <c r="AT198" s="119">
        <f>IF(OR(F198="",AI198=""),"",IF(AND((F198&lt;=85),(AI198&gt;=15)),"O","X"))</f>
        <v/>
      </c>
      <c r="AU198" s="119">
        <f>IF(C198="","",IF(C198&gt;=$AU$1,"O","X"))</f>
        <v/>
      </c>
      <c r="AV198" s="119">
        <f>IF(AO198="","",IF(AND(AO198="O",AP198="O",AR198="O",AT198="O",AU198="O"),"후보","X"))</f>
        <v/>
      </c>
    </row>
    <row r="199" ht="12" customFormat="1" customHeight="1" s="38">
      <c r="A199" s="122" t="inlineStr">
        <is>
          <t>용암동 효성</t>
        </is>
      </c>
      <c r="B199" s="123" t="inlineStr">
        <is>
          <t>94.10.</t>
        </is>
      </c>
      <c r="C199" s="131" t="n">
        <v>486</v>
      </c>
      <c r="D199" s="132" t="n">
        <v>74.5</v>
      </c>
      <c r="E199" s="133" t="n">
        <v>23</v>
      </c>
      <c r="F199" s="132" t="n">
        <v>59.4</v>
      </c>
      <c r="G199" s="17" t="n">
        <v>18</v>
      </c>
      <c r="H199" s="134" t="n">
        <v>120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19" t="n">
        <v>2</v>
      </c>
      <c r="R199" s="119" t="n">
        <v>1</v>
      </c>
      <c r="S199" s="119" t="inlineStr">
        <is>
          <t>계</t>
        </is>
      </c>
      <c r="T199" s="5" t="inlineStr">
        <is>
          <t>74B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19">
        <f>S199</f>
        <v/>
      </c>
      <c r="AF199" s="119">
        <f>Q199&amp;"/"&amp;R199</f>
        <v/>
      </c>
      <c r="AH199" s="20">
        <f>IF(A199="","",A199)</f>
        <v/>
      </c>
      <c r="AI199" s="133">
        <f>IF(E199="","",E199)</f>
        <v/>
      </c>
      <c r="AJ199" s="119">
        <f>IF(AI199="","",$AJ$2)</f>
        <v/>
      </c>
      <c r="AK199" s="119" t="inlineStr">
        <is>
          <t>A</t>
        </is>
      </c>
      <c r="AL199" s="119" t="inlineStr">
        <is>
          <t>A+</t>
        </is>
      </c>
      <c r="AM199" s="119" t="inlineStr">
        <is>
          <t>B+</t>
        </is>
      </c>
      <c r="AN199" s="119">
        <f>IF(AI199="","",$AN$2)</f>
        <v/>
      </c>
      <c r="AO199" s="119">
        <f>IF(N199="","",IF(N199&gt;=$AO$1/100,"O","X"))</f>
        <v/>
      </c>
      <c r="AP199" s="119">
        <f>IF(I199="","",IF(I199&lt;=$AP$1,"O","X"))</f>
        <v/>
      </c>
      <c r="AQ199" s="119">
        <f>IF(O199="","",IF(O199&lt;=$AQ$1,"O","X"))</f>
        <v/>
      </c>
      <c r="AR199" s="119">
        <f>IF(M199="","",IF(M199&lt;=$AR$1,"O","X"))</f>
        <v/>
      </c>
      <c r="AS199" s="119" t="inlineStr">
        <is>
          <t>X</t>
        </is>
      </c>
      <c r="AT199" s="119">
        <f>IF(OR(F199="",AI199=""),"",IF(AND((F199&lt;=85),(AI199&gt;=15)),"O","X"))</f>
        <v/>
      </c>
      <c r="AU199" s="119">
        <f>IF(C199="","",IF(C199&gt;=$AU$1,"O","X"))</f>
        <v/>
      </c>
      <c r="AV199" s="119">
        <f>IF(AO199="","",IF(AND(AO199="O",AP199="O",AR199="O",AT199="O",AU199="O"),"후보","X"))</f>
        <v/>
      </c>
    </row>
    <row r="200" ht="12" customFormat="1" customHeight="1" s="38">
      <c r="A200" s="122" t="inlineStr">
        <is>
          <t>용암동 용암대원칸타빌</t>
        </is>
      </c>
      <c r="B200" s="123" t="inlineStr">
        <is>
          <t>02.10.</t>
        </is>
      </c>
      <c r="C200" s="131" t="n">
        <v>233</v>
      </c>
      <c r="D200" s="132" t="n">
        <v>110.2</v>
      </c>
      <c r="E200" s="133" t="n">
        <v>33</v>
      </c>
      <c r="F200" s="132" t="n">
        <v>85</v>
      </c>
      <c r="G200" s="17" t="n">
        <v>26</v>
      </c>
      <c r="H200" s="134" t="n">
        <v>233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19" t="n">
        <v>3</v>
      </c>
      <c r="R200" s="119" t="n">
        <v>2</v>
      </c>
      <c r="S200" s="119" t="inlineStr">
        <is>
          <t>계</t>
        </is>
      </c>
      <c r="T200" s="5" t="n">
        <v>110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19">
        <f>S200</f>
        <v/>
      </c>
      <c r="AF200" s="119">
        <f>Q200&amp;"/"&amp;R200</f>
        <v/>
      </c>
      <c r="AH200" s="20">
        <f>IF(A200="","",A200)</f>
        <v/>
      </c>
      <c r="AI200" s="133">
        <f>IF(E200="","",E200)</f>
        <v/>
      </c>
      <c r="AJ200" s="119">
        <f>IF(AI200="","",$AJ$2)</f>
        <v/>
      </c>
      <c r="AK200" s="119" t="inlineStr">
        <is>
          <t>A</t>
        </is>
      </c>
      <c r="AL200" s="119" t="inlineStr">
        <is>
          <t>A+</t>
        </is>
      </c>
      <c r="AM200" s="119" t="inlineStr">
        <is>
          <t>B+</t>
        </is>
      </c>
      <c r="AN200" s="119">
        <f>IF(AI200="","",$AN$2)</f>
        <v/>
      </c>
      <c r="AO200" s="119">
        <f>IF(N200="","",IF(N200&gt;=$AO$1/100,"O","X"))</f>
        <v/>
      </c>
      <c r="AP200" s="119">
        <f>IF(I200="","",IF(I200&lt;=$AP$1,"O","X"))</f>
        <v/>
      </c>
      <c r="AQ200" s="119">
        <f>IF(O200="","",IF(O200&lt;=$AQ$1,"O","X"))</f>
        <v/>
      </c>
      <c r="AR200" s="119">
        <f>IF(M200="","",IF(M200&lt;=$AR$1,"O","X"))</f>
        <v/>
      </c>
      <c r="AS200" s="119" t="inlineStr">
        <is>
          <t>X</t>
        </is>
      </c>
      <c r="AT200" s="119">
        <f>IF(OR(F200="",AI200=""),"",IF(AND((F200&lt;=85),(AI200&gt;=15)),"O","X"))</f>
        <v/>
      </c>
      <c r="AU200" s="119">
        <f>IF(C200="","",IF(C200&gt;=$AU$1,"O","X"))</f>
        <v/>
      </c>
      <c r="AV200" s="119">
        <f>IF(AO200="","",IF(AND(AO200="O",AP200="O",AR200="O",AT200="O",AU200="O"),"후보","X"))</f>
        <v/>
      </c>
    </row>
    <row r="201" ht="12" customFormat="1" customHeight="1" s="38">
      <c r="A201" s="122" t="inlineStr">
        <is>
          <t>용암동 용암현대3차</t>
        </is>
      </c>
      <c r="B201" s="123" t="inlineStr">
        <is>
          <t>95.12.</t>
        </is>
      </c>
      <c r="C201" s="131" t="n">
        <v>520</v>
      </c>
      <c r="D201" s="132" t="n">
        <v>103.5</v>
      </c>
      <c r="E201" s="133" t="n">
        <v>31</v>
      </c>
      <c r="F201" s="132" t="n">
        <v>83.8</v>
      </c>
      <c r="G201" s="17" t="n">
        <v>25</v>
      </c>
      <c r="H201" s="134" t="n">
        <v>280</v>
      </c>
      <c r="I201" s="135" t="n">
        <v>22000</v>
      </c>
      <c r="J201" s="135" t="inlineStr">
        <is>
          <t>9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19" t="n">
        <v>3</v>
      </c>
      <c r="R201" s="119" t="n">
        <v>2</v>
      </c>
      <c r="S201" s="119" t="inlineStr">
        <is>
          <t>계</t>
        </is>
      </c>
      <c r="T201" s="5" t="n">
        <v>103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19">
        <f>S201</f>
        <v/>
      </c>
      <c r="AF201" s="119">
        <f>Q201&amp;"/"&amp;R201</f>
        <v/>
      </c>
      <c r="AH201" s="20">
        <f>IF(A201="","",A201)</f>
        <v/>
      </c>
      <c r="AI201" s="133">
        <f>IF(E201="","",E201)</f>
        <v/>
      </c>
      <c r="AJ201" s="119">
        <f>IF(AI201="","",$AJ$2)</f>
        <v/>
      </c>
      <c r="AK201" s="119" t="inlineStr">
        <is>
          <t>A</t>
        </is>
      </c>
      <c r="AL201" s="119" t="inlineStr">
        <is>
          <t>A+</t>
        </is>
      </c>
      <c r="AM201" s="119" t="inlineStr">
        <is>
          <t>B+</t>
        </is>
      </c>
      <c r="AN201" s="119">
        <f>IF(AI201="","",$AN$2)</f>
        <v/>
      </c>
      <c r="AO201" s="119">
        <f>IF(N201="","",IF(N201&gt;=$AO$1/100,"O","X"))</f>
        <v/>
      </c>
      <c r="AP201" s="119">
        <f>IF(I201="","",IF(I201&lt;=$AP$1,"O","X"))</f>
        <v/>
      </c>
      <c r="AQ201" s="119">
        <f>IF(O201="","",IF(O201&lt;=$AQ$1,"O","X"))</f>
        <v/>
      </c>
      <c r="AR201" s="119">
        <f>IF(M201="","",IF(M201&lt;=$AR$1,"O","X"))</f>
        <v/>
      </c>
      <c r="AS201" s="119" t="inlineStr">
        <is>
          <t>X</t>
        </is>
      </c>
      <c r="AT201" s="119">
        <f>IF(OR(F201="",AI201=""),"",IF(AND((F201&lt;=85),(AI201&gt;=15)),"O","X"))</f>
        <v/>
      </c>
      <c r="AU201" s="119">
        <f>IF(C201="","",IF(C201&gt;=$AU$1,"O","X"))</f>
        <v/>
      </c>
      <c r="AV201" s="119">
        <f>IF(AO201="","",IF(AND(AO201="O",AP201="O",AR201="O",AT201="O",AU201="O"),"후보","X"))</f>
        <v/>
      </c>
    </row>
    <row r="202" ht="12" customFormat="1" customHeight="1" s="38">
      <c r="A202" s="122" t="inlineStr">
        <is>
          <t>용암동 용암현대3차</t>
        </is>
      </c>
      <c r="B202" s="123" t="inlineStr">
        <is>
          <t>95.12.</t>
        </is>
      </c>
      <c r="C202" s="131" t="n">
        <v>520</v>
      </c>
      <c r="D202" s="132" t="n">
        <v>120</v>
      </c>
      <c r="E202" s="133" t="n">
        <v>36</v>
      </c>
      <c r="F202" s="132" t="n">
        <v>100</v>
      </c>
      <c r="G202" s="17" t="n">
        <v>30</v>
      </c>
      <c r="H202" s="134" t="n">
        <v>180</v>
      </c>
      <c r="I202" s="135" t="n">
        <v>26000</v>
      </c>
      <c r="J202" s="135" t="inlineStr">
        <is>
          <t>10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19" t="n">
        <v>4</v>
      </c>
      <c r="R202" s="119" t="n">
        <v>2</v>
      </c>
      <c r="S202" s="119" t="inlineStr">
        <is>
          <t>계</t>
        </is>
      </c>
      <c r="T202" s="5" t="n">
        <v>120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19">
        <f>S202</f>
        <v/>
      </c>
      <c r="AF202" s="119">
        <f>Q202&amp;"/"&amp;R202</f>
        <v/>
      </c>
      <c r="AH202" s="20">
        <f>IF(A202="","",A202)</f>
        <v/>
      </c>
      <c r="AI202" s="133">
        <f>IF(E202="","",E202)</f>
        <v/>
      </c>
      <c r="AJ202" s="119">
        <f>IF(AI202="","",$AJ$2)</f>
        <v/>
      </c>
      <c r="AK202" s="119" t="inlineStr">
        <is>
          <t>A</t>
        </is>
      </c>
      <c r="AL202" s="119" t="inlineStr">
        <is>
          <t>A+</t>
        </is>
      </c>
      <c r="AM202" s="119" t="inlineStr">
        <is>
          <t>B+</t>
        </is>
      </c>
      <c r="AN202" s="119">
        <f>IF(AI202="","",$AN$2)</f>
        <v/>
      </c>
      <c r="AO202" s="119">
        <f>IF(N202="","",IF(N202&gt;=$AO$1/100,"O","X"))</f>
        <v/>
      </c>
      <c r="AP202" s="119">
        <f>IF(I202="","",IF(I202&lt;=$AP$1,"O","X"))</f>
        <v/>
      </c>
      <c r="AQ202" s="119">
        <f>IF(O202="","",IF(O202&lt;=$AQ$1,"O","X"))</f>
        <v/>
      </c>
      <c r="AR202" s="119">
        <f>IF(M202="","",IF(M202&lt;=$AR$1,"O","X"))</f>
        <v/>
      </c>
      <c r="AS202" s="119" t="inlineStr">
        <is>
          <t>X</t>
        </is>
      </c>
      <c r="AT202" s="119">
        <f>IF(OR(F202="",AI202=""),"",IF(AND((F202&lt;=85),(AI202&gt;=15)),"O","X"))</f>
        <v/>
      </c>
      <c r="AU202" s="119">
        <f>IF(C202="","",IF(C202&gt;=$AU$1,"O","X"))</f>
        <v/>
      </c>
      <c r="AV202" s="119">
        <f>IF(AO202="","",IF(AND(AO202="O",AP202="O",AR202="O",AT202="O",AU202="O"),"후보","X"))</f>
        <v/>
      </c>
    </row>
    <row r="203" ht="12" customFormat="1" customHeight="1" s="38">
      <c r="A203" s="122" t="inlineStr">
        <is>
          <t>용암동 용암현대3차</t>
        </is>
      </c>
      <c r="B203" s="123" t="inlineStr">
        <is>
          <t>95.12.</t>
        </is>
      </c>
      <c r="C203" s="131" t="n">
        <v>520</v>
      </c>
      <c r="D203" s="132" t="n">
        <v>156.9</v>
      </c>
      <c r="E203" s="133" t="n">
        <v>47</v>
      </c>
      <c r="F203" s="132" t="n">
        <v>133.9</v>
      </c>
      <c r="G203" s="17" t="n">
        <v>41</v>
      </c>
      <c r="H203" s="134" t="n">
        <v>60</v>
      </c>
      <c r="I203" s="135" t="n"/>
      <c r="J203" s="135" t="n"/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19" t="n">
        <v>4</v>
      </c>
      <c r="R203" s="119" t="n">
        <v>2</v>
      </c>
      <c r="S203" s="119" t="inlineStr">
        <is>
          <t>계</t>
        </is>
      </c>
      <c r="T203" s="5" t="n">
        <v>156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19">
        <f>S203</f>
        <v/>
      </c>
      <c r="AF203" s="119">
        <f>Q203&amp;"/"&amp;R203</f>
        <v/>
      </c>
      <c r="AH203" s="20">
        <f>IF(A203="","",A203)</f>
        <v/>
      </c>
      <c r="AI203" s="133">
        <f>IF(E203="","",E203)</f>
        <v/>
      </c>
      <c r="AJ203" s="119">
        <f>IF(AI203="","",$AJ$2)</f>
        <v/>
      </c>
      <c r="AK203" s="119" t="inlineStr">
        <is>
          <t>A</t>
        </is>
      </c>
      <c r="AL203" s="119" t="inlineStr">
        <is>
          <t>A+</t>
        </is>
      </c>
      <c r="AM203" s="119" t="inlineStr">
        <is>
          <t>B+</t>
        </is>
      </c>
      <c r="AN203" s="119">
        <f>IF(AI203="","",$AN$2)</f>
        <v/>
      </c>
      <c r="AO203" s="119">
        <f>IF(N203="","",IF(N203&gt;=$AO$1/100,"O","X"))</f>
        <v/>
      </c>
      <c r="AP203" s="119">
        <f>IF(I203="","",IF(I203&lt;=$AP$1,"O","X"))</f>
        <v/>
      </c>
      <c r="AQ203" s="119">
        <f>IF(O203="","",IF(O203&lt;=$AQ$1,"O","X"))</f>
        <v/>
      </c>
      <c r="AR203" s="119">
        <f>IF(M203="","",IF(M203&lt;=$AR$1,"O","X"))</f>
        <v/>
      </c>
      <c r="AS203" s="119" t="inlineStr">
        <is>
          <t>X</t>
        </is>
      </c>
      <c r="AT203" s="119">
        <f>IF(OR(F203="",AI203=""),"",IF(AND((F203&lt;=85),(AI203&gt;=15)),"O","X"))</f>
        <v/>
      </c>
      <c r="AU203" s="119">
        <f>IF(C203="","",IF(C203&gt;=$AU$1,"O","X"))</f>
        <v/>
      </c>
      <c r="AV203" s="119">
        <f>IF(AO203="","",IF(AND(AO203="O",AP203="O",AR203="O",AT203="O",AU203="O"),"후보","X"))</f>
        <v/>
      </c>
    </row>
    <row r="204" ht="12" customFormat="1" customHeight="1" s="38">
      <c r="A204" s="122" t="inlineStr">
        <is>
          <t>용정동 우미린에듀파크1단지</t>
        </is>
      </c>
      <c r="B204" s="123" t="inlineStr">
        <is>
          <t>17.11.</t>
        </is>
      </c>
      <c r="C204" s="131" t="n">
        <v>390</v>
      </c>
      <c r="D204" s="132" t="n">
        <v>107.9</v>
      </c>
      <c r="E204" s="133" t="n">
        <v>33</v>
      </c>
      <c r="F204" s="132" t="n">
        <v>85</v>
      </c>
      <c r="G204" s="17" t="n">
        <v>26</v>
      </c>
      <c r="H204" s="134" t="n">
        <v>65</v>
      </c>
      <c r="I204" s="135" t="n">
        <v>45500</v>
      </c>
      <c r="J204" s="135" t="inlineStr">
        <is>
          <t>7</t>
        </is>
      </c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19" t="n">
        <v>3</v>
      </c>
      <c r="R204" s="119" t="n">
        <v>2</v>
      </c>
      <c r="S204" s="119" t="inlineStr">
        <is>
          <t>계</t>
        </is>
      </c>
      <c r="T204" s="5" t="n">
        <v>1070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19">
        <f>S204</f>
        <v/>
      </c>
      <c r="AF204" s="119">
        <f>Q204&amp;"/"&amp;R204</f>
        <v/>
      </c>
      <c r="AH204" s="20">
        <f>IF(A204="","",A204)</f>
        <v/>
      </c>
      <c r="AI204" s="133">
        <f>IF(E204="","",E204)</f>
        <v/>
      </c>
      <c r="AJ204" s="119">
        <f>IF(AI204="","",$AJ$2)</f>
        <v/>
      </c>
      <c r="AK204" s="119" t="inlineStr">
        <is>
          <t>A</t>
        </is>
      </c>
      <c r="AL204" s="119" t="inlineStr">
        <is>
          <t>A+</t>
        </is>
      </c>
      <c r="AM204" s="119" t="inlineStr">
        <is>
          <t>B+</t>
        </is>
      </c>
      <c r="AN204" s="119">
        <f>IF(AI204="","",$AN$2)</f>
        <v/>
      </c>
      <c r="AO204" s="119">
        <f>IF(N204="","",IF(N204&gt;=$AO$1/100,"O","X"))</f>
        <v/>
      </c>
      <c r="AP204" s="119">
        <f>IF(I204="","",IF(I204&lt;=$AP$1,"O","X"))</f>
        <v/>
      </c>
      <c r="AQ204" s="119">
        <f>IF(O204="","",IF(O204&lt;=$AQ$1,"O","X"))</f>
        <v/>
      </c>
      <c r="AR204" s="119">
        <f>IF(M204="","",IF(M204&lt;=$AR$1,"O","X"))</f>
        <v/>
      </c>
      <c r="AS204" s="119" t="inlineStr">
        <is>
          <t>X</t>
        </is>
      </c>
      <c r="AT204" s="119">
        <f>IF(OR(F204="",AI204=""),"",IF(AND((F204&lt;=85),(AI204&gt;=15)),"O","X"))</f>
        <v/>
      </c>
      <c r="AU204" s="119">
        <f>IF(C204="","",IF(C204&gt;=$AU$1,"O","X"))</f>
        <v/>
      </c>
      <c r="AV204" s="119">
        <f>IF(AO204="","",IF(AND(AO204="O",AP204="O",AR204="O",AT204="O",AU204="O"),"후보","X"))</f>
        <v/>
      </c>
    </row>
    <row r="205" ht="12" customFormat="1" customHeight="1" s="38">
      <c r="A205" s="122" t="inlineStr">
        <is>
          <t>용정동 우미린에듀파크1단지</t>
        </is>
      </c>
      <c r="B205" s="123" t="inlineStr">
        <is>
          <t>17.11.</t>
        </is>
      </c>
      <c r="C205" s="131" t="n">
        <v>390</v>
      </c>
      <c r="D205" s="132" t="n">
        <v>107.7</v>
      </c>
      <c r="E205" s="133" t="n">
        <v>33</v>
      </c>
      <c r="F205" s="132" t="n">
        <v>85</v>
      </c>
      <c r="G205" s="17" t="n">
        <v>26</v>
      </c>
      <c r="H205" s="134" t="n">
        <v>64</v>
      </c>
      <c r="I205" s="135" t="n">
        <v>45000</v>
      </c>
      <c r="J205" s="135" t="inlineStr">
        <is>
          <t>12</t>
        </is>
      </c>
      <c r="K205" s="135" t="n">
        <v>36000</v>
      </c>
      <c r="L205" s="135" t="inlineStr">
        <is>
          <t>14</t>
        </is>
      </c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19" t="n">
        <v>3</v>
      </c>
      <c r="R205" s="119" t="n">
        <v>2</v>
      </c>
      <c r="S205" s="119" t="inlineStr">
        <is>
          <t>계</t>
        </is>
      </c>
      <c r="T205" s="5" t="n">
        <v>10700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19">
        <f>S205</f>
        <v/>
      </c>
      <c r="AF205" s="119">
        <f>Q205&amp;"/"&amp;R205</f>
        <v/>
      </c>
      <c r="AH205" s="20">
        <f>IF(A205="","",A205)</f>
        <v/>
      </c>
      <c r="AI205" s="133">
        <f>IF(E205="","",E205)</f>
        <v/>
      </c>
      <c r="AJ205" s="119">
        <f>IF(AI205="","",$AJ$2)</f>
        <v/>
      </c>
      <c r="AK205" s="119" t="inlineStr">
        <is>
          <t>A</t>
        </is>
      </c>
      <c r="AL205" s="119" t="inlineStr">
        <is>
          <t>A+</t>
        </is>
      </c>
      <c r="AM205" s="119" t="inlineStr">
        <is>
          <t>B+</t>
        </is>
      </c>
      <c r="AN205" s="119">
        <f>IF(AI205="","",$AN$2)</f>
        <v/>
      </c>
      <c r="AO205" s="119">
        <f>IF(N205="","",IF(N205&gt;=$AO$1/100,"O","X"))</f>
        <v/>
      </c>
      <c r="AP205" s="119">
        <f>IF(I205="","",IF(I205&lt;=$AP$1,"O","X"))</f>
        <v/>
      </c>
      <c r="AQ205" s="119">
        <f>IF(O205="","",IF(O205&lt;=$AQ$1,"O","X"))</f>
        <v/>
      </c>
      <c r="AR205" s="119">
        <f>IF(M205="","",IF(M205&lt;=$AR$1,"O","X"))</f>
        <v/>
      </c>
      <c r="AS205" s="119" t="inlineStr">
        <is>
          <t>X</t>
        </is>
      </c>
      <c r="AT205" s="119">
        <f>IF(OR(F205="",AI205=""),"",IF(AND((F205&lt;=85),(AI205&gt;=15)),"O","X"))</f>
        <v/>
      </c>
      <c r="AU205" s="119">
        <f>IF(C205="","",IF(C205&gt;=$AU$1,"O","X"))</f>
        <v/>
      </c>
      <c r="AV205" s="119">
        <f>IF(AO205="","",IF(AND(AO205="O",AP205="O",AR205="O",AT205="O",AU205="O"),"후보","X"))</f>
        <v/>
      </c>
    </row>
    <row r="206" ht="12" customFormat="1" customHeight="1" s="38">
      <c r="A206" s="122" t="inlineStr">
        <is>
          <t>용정동 우미린에듀파크1단지</t>
        </is>
      </c>
      <c r="B206" s="123" t="inlineStr">
        <is>
          <t>17.11.</t>
        </is>
      </c>
      <c r="C206" s="131" t="n">
        <v>390</v>
      </c>
      <c r="D206" s="132" t="n">
        <v>107.4</v>
      </c>
      <c r="E206" s="133" t="n">
        <v>32</v>
      </c>
      <c r="F206" s="132" t="n">
        <v>85</v>
      </c>
      <c r="G206" s="17" t="n">
        <v>26</v>
      </c>
      <c r="H206" s="134" t="n">
        <v>50</v>
      </c>
      <c r="I206" s="135" t="n">
        <v>44000</v>
      </c>
      <c r="J206" s="135" t="inlineStr">
        <is>
          <t>7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19" t="n">
        <v>3</v>
      </c>
      <c r="R206" s="119" t="n">
        <v>2</v>
      </c>
      <c r="S206" s="119" t="inlineStr">
        <is>
          <t>계</t>
        </is>
      </c>
      <c r="T206" s="5" t="inlineStr">
        <is>
          <t>107A</t>
        </is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19">
        <f>S206</f>
        <v/>
      </c>
      <c r="AF206" s="119">
        <f>Q206&amp;"/"&amp;R206</f>
        <v/>
      </c>
      <c r="AH206" s="20">
        <f>IF(A206="","",A206)</f>
        <v/>
      </c>
      <c r="AI206" s="133">
        <f>IF(E206="","",E206)</f>
        <v/>
      </c>
      <c r="AJ206" s="119">
        <f>IF(AI206="","",$AJ$2)</f>
        <v/>
      </c>
      <c r="AK206" s="119" t="inlineStr">
        <is>
          <t>A</t>
        </is>
      </c>
      <c r="AL206" s="119" t="inlineStr">
        <is>
          <t>A+</t>
        </is>
      </c>
      <c r="AM206" s="119" t="inlineStr">
        <is>
          <t>B+</t>
        </is>
      </c>
      <c r="AN206" s="119">
        <f>IF(AI206="","",$AN$2)</f>
        <v/>
      </c>
      <c r="AO206" s="119">
        <f>IF(N206="","",IF(N206&gt;=$AO$1/100,"O","X"))</f>
        <v/>
      </c>
      <c r="AP206" s="119">
        <f>IF(I206="","",IF(I206&lt;=$AP$1,"O","X"))</f>
        <v/>
      </c>
      <c r="AQ206" s="119">
        <f>IF(O206="","",IF(O206&lt;=$AQ$1,"O","X"))</f>
        <v/>
      </c>
      <c r="AR206" s="119">
        <f>IF(M206="","",IF(M206&lt;=$AR$1,"O","X"))</f>
        <v/>
      </c>
      <c r="AS206" s="119" t="inlineStr">
        <is>
          <t>X</t>
        </is>
      </c>
      <c r="AT206" s="119">
        <f>IF(OR(F206="",AI206=""),"",IF(AND((F206&lt;=85),(AI206&gt;=15)),"O","X"))</f>
        <v/>
      </c>
      <c r="AU206" s="119">
        <f>IF(C206="","",IF(C206&gt;=$AU$1,"O","X"))</f>
        <v/>
      </c>
      <c r="AV206" s="119">
        <f>IF(AO206="","",IF(AND(AO206="O",AP206="O",AR206="O",AT206="O",AU206="O"),"후보","X"))</f>
        <v/>
      </c>
    </row>
    <row r="207" ht="12" customFormat="1" customHeight="1" s="38">
      <c r="A207" s="122" t="inlineStr">
        <is>
          <t>용정동 우미린에듀파크1단지</t>
        </is>
      </c>
      <c r="B207" s="123" t="inlineStr">
        <is>
          <t>17.11.</t>
        </is>
      </c>
      <c r="C207" s="131" t="n">
        <v>390</v>
      </c>
      <c r="D207" s="132" t="n">
        <v>142.1</v>
      </c>
      <c r="E207" s="133" t="n">
        <v>43</v>
      </c>
      <c r="F207" s="132" t="n">
        <v>113.9</v>
      </c>
      <c r="G207" s="17" t="n">
        <v>34</v>
      </c>
      <c r="H207" s="134" t="n">
        <v>171</v>
      </c>
      <c r="I207" s="135" t="n">
        <v>64000</v>
      </c>
      <c r="J207" s="135" t="inlineStr">
        <is>
          <t>고</t>
        </is>
      </c>
      <c r="K207" s="135" t="n">
        <v>47000</v>
      </c>
      <c r="L207" s="135" t="inlineStr">
        <is>
          <t>고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19" t="n">
        <v>4</v>
      </c>
      <c r="R207" s="119" t="n">
        <v>2</v>
      </c>
      <c r="S207" s="119" t="inlineStr">
        <is>
          <t>계</t>
        </is>
      </c>
      <c r="T207" s="5" t="n">
        <v>142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19">
        <f>S207</f>
        <v/>
      </c>
      <c r="AF207" s="119">
        <f>Q207&amp;"/"&amp;R207</f>
        <v/>
      </c>
      <c r="AH207" s="20">
        <f>IF(A207="","",A207)</f>
        <v/>
      </c>
      <c r="AI207" s="133">
        <f>IF(E207="","",E207)</f>
        <v/>
      </c>
      <c r="AJ207" s="119">
        <f>IF(AI207="","",$AJ$2)</f>
        <v/>
      </c>
      <c r="AK207" s="119" t="inlineStr">
        <is>
          <t>A</t>
        </is>
      </c>
      <c r="AL207" s="119" t="inlineStr">
        <is>
          <t>A+</t>
        </is>
      </c>
      <c r="AM207" s="119" t="inlineStr">
        <is>
          <t>B+</t>
        </is>
      </c>
      <c r="AN207" s="119">
        <f>IF(AI207="","",$AN$2)</f>
        <v/>
      </c>
      <c r="AO207" s="119">
        <f>IF(N207="","",IF(N207&gt;=$AO$1/100,"O","X"))</f>
        <v/>
      </c>
      <c r="AP207" s="119">
        <f>IF(I207="","",IF(I207&lt;=$AP$1,"O","X"))</f>
        <v/>
      </c>
      <c r="AQ207" s="119">
        <f>IF(O207="","",IF(O207&lt;=$AQ$1,"O","X"))</f>
        <v/>
      </c>
      <c r="AR207" s="119">
        <f>IF(M207="","",IF(M207&lt;=$AR$1,"O","X"))</f>
        <v/>
      </c>
      <c r="AS207" s="119" t="inlineStr">
        <is>
          <t>X</t>
        </is>
      </c>
      <c r="AT207" s="119">
        <f>IF(OR(F207="",AI207=""),"",IF(AND((F207&lt;=85),(AI207&gt;=15)),"O","X"))</f>
        <v/>
      </c>
      <c r="AU207" s="119">
        <f>IF(C207="","",IF(C207&gt;=$AU$1,"O","X"))</f>
        <v/>
      </c>
      <c r="AV207" s="119">
        <f>IF(AO207="","",IF(AND(AO207="O",AP207="O",AR207="O",AT207="O",AU207="O"),"후보","X"))</f>
        <v/>
      </c>
    </row>
    <row r="208" ht="12" customFormat="1" customHeight="1" s="38">
      <c r="A208" s="122" t="inlineStr">
        <is>
          <t>용정동 우미린에듀파크1단지</t>
        </is>
      </c>
      <c r="B208" s="123" t="inlineStr">
        <is>
          <t>17.11.</t>
        </is>
      </c>
      <c r="C208" s="131" t="n">
        <v>390</v>
      </c>
      <c r="D208" s="132" t="n">
        <v>164</v>
      </c>
      <c r="E208" s="133" t="n">
        <v>50</v>
      </c>
      <c r="F208" s="132" t="n">
        <v>136.5</v>
      </c>
      <c r="G208" s="17" t="n">
        <v>41</v>
      </c>
      <c r="H208" s="134" t="n">
        <v>40</v>
      </c>
      <c r="I208" s="135" t="n">
        <v>73000</v>
      </c>
      <c r="J208" s="135" t="inlineStr">
        <is>
          <t>12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19" t="n">
        <v>5</v>
      </c>
      <c r="R208" s="119" t="n">
        <v>2</v>
      </c>
      <c r="S208" s="119" t="inlineStr">
        <is>
          <t>계</t>
        </is>
      </c>
      <c r="T208" s="5" t="n">
        <v>163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19">
        <f>S208</f>
        <v/>
      </c>
      <c r="AF208" s="119">
        <f>Q208&amp;"/"&amp;R208</f>
        <v/>
      </c>
      <c r="AH208" s="20">
        <f>IF(A208="","",A208)</f>
        <v/>
      </c>
      <c r="AI208" s="133">
        <f>IF(E208="","",E208)</f>
        <v/>
      </c>
      <c r="AJ208" s="119">
        <f>IF(AI208="","",$AJ$2)</f>
        <v/>
      </c>
      <c r="AK208" s="119" t="inlineStr">
        <is>
          <t>A</t>
        </is>
      </c>
      <c r="AL208" s="119" t="inlineStr">
        <is>
          <t>A+</t>
        </is>
      </c>
      <c r="AM208" s="119" t="inlineStr">
        <is>
          <t>B+</t>
        </is>
      </c>
      <c r="AN208" s="119">
        <f>IF(AI208="","",$AN$2)</f>
        <v/>
      </c>
      <c r="AO208" s="119">
        <f>IF(N208="","",IF(N208&gt;=$AO$1/100,"O","X"))</f>
        <v/>
      </c>
      <c r="AP208" s="119">
        <f>IF(I208="","",IF(I208&lt;=$AP$1,"O","X"))</f>
        <v/>
      </c>
      <c r="AQ208" s="119">
        <f>IF(O208="","",IF(O208&lt;=$AQ$1,"O","X"))</f>
        <v/>
      </c>
      <c r="AR208" s="119">
        <f>IF(M208="","",IF(M208&lt;=$AR$1,"O","X"))</f>
        <v/>
      </c>
      <c r="AS208" s="119" t="inlineStr">
        <is>
          <t>X</t>
        </is>
      </c>
      <c r="AT208" s="119">
        <f>IF(OR(F208="",AI208=""),"",IF(AND((F208&lt;=85),(AI208&gt;=15)),"O","X"))</f>
        <v/>
      </c>
      <c r="AU208" s="119">
        <f>IF(C208="","",IF(C208&gt;=$AU$1,"O","X"))</f>
        <v/>
      </c>
      <c r="AV208" s="119">
        <f>IF(AO208="","",IF(AND(AO208="O",AP208="O",AR208="O",AT208="O",AU208="O"),"후보","X"))</f>
        <v/>
      </c>
    </row>
    <row r="209" ht="12" customFormat="1" customHeight="1" s="38">
      <c r="A209" s="122" t="inlineStr">
        <is>
          <t>용정동 청주용정한라비발디1단지</t>
        </is>
      </c>
      <c r="B209" s="123" t="inlineStr">
        <is>
          <t>13.06.</t>
        </is>
      </c>
      <c r="C209" s="131" t="n">
        <v>612</v>
      </c>
      <c r="D209" s="132" t="n">
        <v>111.1</v>
      </c>
      <c r="E209" s="133" t="n">
        <v>34</v>
      </c>
      <c r="F209" s="132" t="n">
        <v>85</v>
      </c>
      <c r="G209" s="17" t="n">
        <v>26</v>
      </c>
      <c r="H209" s="134" t="n">
        <v>173</v>
      </c>
      <c r="I209" s="135" t="n">
        <v>38000</v>
      </c>
      <c r="J209" s="135" t="inlineStr">
        <is>
          <t>10</t>
        </is>
      </c>
      <c r="K209" s="135" t="n">
        <v>33000</v>
      </c>
      <c r="L209" s="135" t="inlineStr">
        <is>
          <t>11</t>
        </is>
      </c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19" t="n">
        <v>3</v>
      </c>
      <c r="R209" s="119" t="n">
        <v>2</v>
      </c>
      <c r="S209" s="119" t="inlineStr">
        <is>
          <t>계</t>
        </is>
      </c>
      <c r="T209" s="5" t="inlineStr">
        <is>
          <t>111C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19">
        <f>S209</f>
        <v/>
      </c>
      <c r="AF209" s="119">
        <f>Q209&amp;"/"&amp;R209</f>
        <v/>
      </c>
      <c r="AH209" s="20">
        <f>IF(A209="","",A209)</f>
        <v/>
      </c>
      <c r="AI209" s="133">
        <f>IF(E209="","",E209)</f>
        <v/>
      </c>
      <c r="AJ209" s="119">
        <f>IF(AI209="","",$AJ$2)</f>
        <v/>
      </c>
      <c r="AK209" s="119" t="inlineStr">
        <is>
          <t>A</t>
        </is>
      </c>
      <c r="AL209" s="119" t="inlineStr">
        <is>
          <t>A+</t>
        </is>
      </c>
      <c r="AM209" s="119" t="inlineStr">
        <is>
          <t>B+</t>
        </is>
      </c>
      <c r="AN209" s="119">
        <f>IF(AI209="","",$AN$2)</f>
        <v/>
      </c>
      <c r="AO209" s="119">
        <f>IF(N209="","",IF(N209&gt;=$AO$1/100,"O","X"))</f>
        <v/>
      </c>
      <c r="AP209" s="119">
        <f>IF(I209="","",IF(I209&lt;=$AP$1,"O","X"))</f>
        <v/>
      </c>
      <c r="AQ209" s="119">
        <f>IF(O209="","",IF(O209&lt;=$AQ$1,"O","X"))</f>
        <v/>
      </c>
      <c r="AR209" s="119">
        <f>IF(M209="","",IF(M209&lt;=$AR$1,"O","X"))</f>
        <v/>
      </c>
      <c r="AS209" s="119" t="inlineStr">
        <is>
          <t>X</t>
        </is>
      </c>
      <c r="AT209" s="119">
        <f>IF(OR(F209="",AI209=""),"",IF(AND((F209&lt;=85),(AI209&gt;=15)),"O","X"))</f>
        <v/>
      </c>
      <c r="AU209" s="119">
        <f>IF(C209="","",IF(C209&gt;=$AU$1,"O","X"))</f>
        <v/>
      </c>
      <c r="AV209" s="119">
        <f>IF(AO209="","",IF(AND(AO209="O",AP209="O",AR209="O",AT209="O",AU209="O"),"후보","X"))</f>
        <v/>
      </c>
    </row>
    <row r="210" ht="12" customFormat="1" customHeight="1" s="38">
      <c r="A210" s="122" t="inlineStr">
        <is>
          <t>용정동 청주용정한라비발디1단지</t>
        </is>
      </c>
      <c r="B210" s="123" t="inlineStr">
        <is>
          <t>13.06.</t>
        </is>
      </c>
      <c r="C210" s="131" t="n">
        <v>612</v>
      </c>
      <c r="D210" s="132" t="n">
        <v>111.9</v>
      </c>
      <c r="E210" s="133" t="n">
        <v>34</v>
      </c>
      <c r="F210" s="132" t="n">
        <v>84.5</v>
      </c>
      <c r="G210" s="17" t="n">
        <v>26</v>
      </c>
      <c r="H210" s="134" t="n">
        <v>96</v>
      </c>
      <c r="I210" s="135" t="n">
        <v>38500</v>
      </c>
      <c r="J210" s="135" t="inlineStr">
        <is>
          <t>중</t>
        </is>
      </c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19" t="n">
        <v>3</v>
      </c>
      <c r="R210" s="119" t="n">
        <v>2</v>
      </c>
      <c r="S210" s="119" t="inlineStr">
        <is>
          <t>계</t>
        </is>
      </c>
      <c r="T210" s="5" t="inlineStr">
        <is>
          <t>111B</t>
        </is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19">
        <f>S210</f>
        <v/>
      </c>
      <c r="AF210" s="119">
        <f>Q210&amp;"/"&amp;R210</f>
        <v/>
      </c>
      <c r="AH210" s="20">
        <f>IF(A210="","",A210)</f>
        <v/>
      </c>
      <c r="AI210" s="133">
        <f>IF(E210="","",E210)</f>
        <v/>
      </c>
      <c r="AJ210" s="119">
        <f>IF(AI210="","",$AJ$2)</f>
        <v/>
      </c>
      <c r="AK210" s="119" t="inlineStr">
        <is>
          <t>A</t>
        </is>
      </c>
      <c r="AL210" s="119" t="inlineStr">
        <is>
          <t>A+</t>
        </is>
      </c>
      <c r="AM210" s="119" t="inlineStr">
        <is>
          <t>B+</t>
        </is>
      </c>
      <c r="AN210" s="119">
        <f>IF(AI210="","",$AN$2)</f>
        <v/>
      </c>
      <c r="AO210" s="119">
        <f>IF(N210="","",IF(N210&gt;=$AO$1/100,"O","X"))</f>
        <v/>
      </c>
      <c r="AP210" s="119">
        <f>IF(I210="","",IF(I210&lt;=$AP$1,"O","X"))</f>
        <v/>
      </c>
      <c r="AQ210" s="119">
        <f>IF(O210="","",IF(O210&lt;=$AQ$1,"O","X"))</f>
        <v/>
      </c>
      <c r="AR210" s="119">
        <f>IF(M210="","",IF(M210&lt;=$AR$1,"O","X"))</f>
        <v/>
      </c>
      <c r="AS210" s="119" t="inlineStr">
        <is>
          <t>X</t>
        </is>
      </c>
      <c r="AT210" s="119">
        <f>IF(OR(F210="",AI210=""),"",IF(AND((F210&lt;=85),(AI210&gt;=15)),"O","X"))</f>
        <v/>
      </c>
      <c r="AU210" s="119">
        <f>IF(C210="","",IF(C210&gt;=$AU$1,"O","X"))</f>
        <v/>
      </c>
      <c r="AV210" s="119">
        <f>IF(AO210="","",IF(AND(AO210="O",AP210="O",AR210="O",AT210="O",AU210="O"),"후보","X"))</f>
        <v/>
      </c>
    </row>
    <row r="211" ht="12" customFormat="1" customHeight="1" s="38">
      <c r="A211" s="122" t="inlineStr">
        <is>
          <t>용정동 청주용정한라비발디1단지</t>
        </is>
      </c>
      <c r="B211" s="123" t="inlineStr">
        <is>
          <t>13.06.</t>
        </is>
      </c>
      <c r="C211" s="131" t="n">
        <v>612</v>
      </c>
      <c r="D211" s="132" t="n">
        <v>111.8</v>
      </c>
      <c r="E211" s="133" t="n">
        <v>34</v>
      </c>
      <c r="F211" s="132" t="n">
        <v>84.90000000000001</v>
      </c>
      <c r="G211" s="17" t="n">
        <v>26</v>
      </c>
      <c r="H211" s="134" t="n">
        <v>73</v>
      </c>
      <c r="I211" s="135" t="n">
        <v>37500</v>
      </c>
      <c r="J211" s="135" t="inlineStr">
        <is>
          <t>중</t>
        </is>
      </c>
      <c r="K211" s="135" t="n">
        <v>34000</v>
      </c>
      <c r="L211" s="135" t="inlineStr">
        <is>
          <t>중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19" t="n">
        <v>3</v>
      </c>
      <c r="R211" s="119" t="n">
        <v>2</v>
      </c>
      <c r="S211" s="119" t="inlineStr">
        <is>
          <t>계</t>
        </is>
      </c>
      <c r="T211" s="5" t="inlineStr">
        <is>
          <t>111A</t>
        </is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19">
        <f>S211</f>
        <v/>
      </c>
      <c r="AF211" s="119">
        <f>Q211&amp;"/"&amp;R211</f>
        <v/>
      </c>
      <c r="AH211" s="20">
        <f>IF(A211="","",A211)</f>
        <v/>
      </c>
      <c r="AI211" s="133">
        <f>IF(E211="","",E211)</f>
        <v/>
      </c>
      <c r="AJ211" s="119">
        <f>IF(AI211="","",$AJ$2)</f>
        <v/>
      </c>
      <c r="AK211" s="119" t="inlineStr">
        <is>
          <t>A</t>
        </is>
      </c>
      <c r="AL211" s="119" t="inlineStr">
        <is>
          <t>A+</t>
        </is>
      </c>
      <c r="AM211" s="119" t="inlineStr">
        <is>
          <t>B+</t>
        </is>
      </c>
      <c r="AN211" s="119">
        <f>IF(AI211="","",$AN$2)</f>
        <v/>
      </c>
      <c r="AO211" s="119">
        <f>IF(N211="","",IF(N211&gt;=$AO$1/100,"O","X"))</f>
        <v/>
      </c>
      <c r="AP211" s="119">
        <f>IF(I211="","",IF(I211&lt;=$AP$1,"O","X"))</f>
        <v/>
      </c>
      <c r="AQ211" s="119">
        <f>IF(O211="","",IF(O211&lt;=$AQ$1,"O","X"))</f>
        <v/>
      </c>
      <c r="AR211" s="119">
        <f>IF(M211="","",IF(M211&lt;=$AR$1,"O","X"))</f>
        <v/>
      </c>
      <c r="AS211" s="119" t="inlineStr">
        <is>
          <t>X</t>
        </is>
      </c>
      <c r="AT211" s="119">
        <f>IF(OR(F211="",AI211=""),"",IF(AND((F211&lt;=85),(AI211&gt;=15)),"O","X"))</f>
        <v/>
      </c>
      <c r="AU211" s="119">
        <f>IF(C211="","",IF(C211&gt;=$AU$1,"O","X"))</f>
        <v/>
      </c>
      <c r="AV211" s="119">
        <f>IF(AO211="","",IF(AND(AO211="O",AP211="O",AR211="O",AT211="O",AU211="O"),"후보","X"))</f>
        <v/>
      </c>
    </row>
    <row r="212" ht="12" customFormat="1" customHeight="1" s="38">
      <c r="A212" s="122" t="inlineStr">
        <is>
          <t>용정동 청주용정한라비발디1단지</t>
        </is>
      </c>
      <c r="B212" s="123" t="inlineStr">
        <is>
          <t>13.06.</t>
        </is>
      </c>
      <c r="C212" s="131" t="n">
        <v>612</v>
      </c>
      <c r="D212" s="132" t="n">
        <v>130.7</v>
      </c>
      <c r="E212" s="133" t="n">
        <v>40</v>
      </c>
      <c r="F212" s="132" t="n">
        <v>102</v>
      </c>
      <c r="G212" s="17" t="n">
        <v>31</v>
      </c>
      <c r="H212" s="134" t="n">
        <v>113</v>
      </c>
      <c r="I212" s="135" t="n">
        <v>48000</v>
      </c>
      <c r="J212" s="135" t="inlineStr">
        <is>
          <t>12</t>
        </is>
      </c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19" t="n">
        <v>3</v>
      </c>
      <c r="R212" s="119" t="n">
        <v>2</v>
      </c>
      <c r="S212" s="119" t="inlineStr">
        <is>
          <t>계</t>
        </is>
      </c>
      <c r="T212" s="5" t="inlineStr">
        <is>
          <t>130C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19">
        <f>S212</f>
        <v/>
      </c>
      <c r="AF212" s="119">
        <f>Q212&amp;"/"&amp;R212</f>
        <v/>
      </c>
      <c r="AH212" s="20">
        <f>IF(A212="","",A212)</f>
        <v/>
      </c>
      <c r="AI212" s="133">
        <f>IF(E212="","",E212)</f>
        <v/>
      </c>
      <c r="AJ212" s="119">
        <f>IF(AI212="","",$AJ$2)</f>
        <v/>
      </c>
      <c r="AK212" s="119" t="inlineStr">
        <is>
          <t>A</t>
        </is>
      </c>
      <c r="AL212" s="119" t="inlineStr">
        <is>
          <t>A+</t>
        </is>
      </c>
      <c r="AM212" s="119" t="inlineStr">
        <is>
          <t>B+</t>
        </is>
      </c>
      <c r="AN212" s="119">
        <f>IF(AI212="","",$AN$2)</f>
        <v/>
      </c>
      <c r="AO212" s="119">
        <f>IF(N212="","",IF(N212&gt;=$AO$1/100,"O","X"))</f>
        <v/>
      </c>
      <c r="AP212" s="119">
        <f>IF(I212="","",IF(I212&lt;=$AP$1,"O","X"))</f>
        <v/>
      </c>
      <c r="AQ212" s="119">
        <f>IF(O212="","",IF(O212&lt;=$AQ$1,"O","X"))</f>
        <v/>
      </c>
      <c r="AR212" s="119">
        <f>IF(M212="","",IF(M212&lt;=$AR$1,"O","X"))</f>
        <v/>
      </c>
      <c r="AS212" s="119" t="inlineStr">
        <is>
          <t>X</t>
        </is>
      </c>
      <c r="AT212" s="119">
        <f>IF(OR(F212="",AI212=""),"",IF(AND((F212&lt;=85),(AI212&gt;=15)),"O","X"))</f>
        <v/>
      </c>
      <c r="AU212" s="119">
        <f>IF(C212="","",IF(C212&gt;=$AU$1,"O","X"))</f>
        <v/>
      </c>
      <c r="AV212" s="119">
        <f>IF(AO212="","",IF(AND(AO212="O",AP212="O",AR212="O",AT212="O",AU212="O"),"후보","X"))</f>
        <v/>
      </c>
    </row>
    <row r="213" ht="12" customFormat="1" customHeight="1" s="38">
      <c r="A213" s="122" t="inlineStr">
        <is>
          <t>용정동 청주용정한라비발디1단지</t>
        </is>
      </c>
      <c r="B213" s="123" t="inlineStr">
        <is>
          <t>13.06.</t>
        </is>
      </c>
      <c r="C213" s="131" t="n">
        <v>612</v>
      </c>
      <c r="D213" s="132" t="n">
        <v>130.2</v>
      </c>
      <c r="E213" s="133" t="n">
        <v>39</v>
      </c>
      <c r="F213" s="132" t="n">
        <v>102</v>
      </c>
      <c r="G213" s="17" t="n">
        <v>31</v>
      </c>
      <c r="H213" s="134" t="n">
        <v>91</v>
      </c>
      <c r="I213" s="135" t="n">
        <v>47000</v>
      </c>
      <c r="J213" s="135" t="inlineStr">
        <is>
          <t>고</t>
        </is>
      </c>
      <c r="K213" s="135" t="n"/>
      <c r="L213" s="135" t="n"/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19" t="n">
        <v>3</v>
      </c>
      <c r="R213" s="119" t="n">
        <v>2</v>
      </c>
      <c r="S213" s="119" t="inlineStr">
        <is>
          <t>계</t>
        </is>
      </c>
      <c r="T213" s="5" t="inlineStr">
        <is>
          <t>130A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19">
        <f>S213</f>
        <v/>
      </c>
      <c r="AF213" s="119">
        <f>Q213&amp;"/"&amp;R213</f>
        <v/>
      </c>
      <c r="AH213" s="20">
        <f>IF(A213="","",A213)</f>
        <v/>
      </c>
      <c r="AI213" s="133">
        <f>IF(E213="","",E213)</f>
        <v/>
      </c>
      <c r="AJ213" s="119">
        <f>IF(AI213="","",$AJ$2)</f>
        <v/>
      </c>
      <c r="AK213" s="119" t="inlineStr">
        <is>
          <t>A</t>
        </is>
      </c>
      <c r="AL213" s="119" t="inlineStr">
        <is>
          <t>A+</t>
        </is>
      </c>
      <c r="AM213" s="119" t="inlineStr">
        <is>
          <t>B+</t>
        </is>
      </c>
      <c r="AN213" s="119">
        <f>IF(AI213="","",$AN$2)</f>
        <v/>
      </c>
      <c r="AO213" s="119">
        <f>IF(N213="","",IF(N213&gt;=$AO$1/100,"O","X"))</f>
        <v/>
      </c>
      <c r="AP213" s="119">
        <f>IF(I213="","",IF(I213&lt;=$AP$1,"O","X"))</f>
        <v/>
      </c>
      <c r="AQ213" s="119">
        <f>IF(O213="","",IF(O213&lt;=$AQ$1,"O","X"))</f>
        <v/>
      </c>
      <c r="AR213" s="119">
        <f>IF(M213="","",IF(M213&lt;=$AR$1,"O","X"))</f>
        <v/>
      </c>
      <c r="AS213" s="119" t="inlineStr">
        <is>
          <t>X</t>
        </is>
      </c>
      <c r="AT213" s="119">
        <f>IF(OR(F213="",AI213=""),"",IF(AND((F213&lt;=85),(AI213&gt;=15)),"O","X"))</f>
        <v/>
      </c>
      <c r="AU213" s="119">
        <f>IF(C213="","",IF(C213&gt;=$AU$1,"O","X"))</f>
        <v/>
      </c>
      <c r="AV213" s="119">
        <f>IF(AO213="","",IF(AND(AO213="O",AP213="O",AR213="O",AT213="O",AU213="O"),"후보","X"))</f>
        <v/>
      </c>
    </row>
    <row r="214" ht="12" customFormat="1" customHeight="1" s="38">
      <c r="A214" s="122" t="inlineStr">
        <is>
          <t>용정동 청주용정한라비발디1단지</t>
        </is>
      </c>
      <c r="B214" s="123" t="inlineStr">
        <is>
          <t>13.06.</t>
        </is>
      </c>
      <c r="C214" s="131" t="n">
        <v>612</v>
      </c>
      <c r="D214" s="132" t="n">
        <v>130.8</v>
      </c>
      <c r="E214" s="133" t="n">
        <v>40</v>
      </c>
      <c r="F214" s="132" t="n">
        <v>101.9</v>
      </c>
      <c r="G214" s="17" t="n">
        <v>31</v>
      </c>
      <c r="H214" s="134" t="n">
        <v>21</v>
      </c>
      <c r="I214" s="135" t="n">
        <v>47500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19" t="n">
        <v>3</v>
      </c>
      <c r="R214" s="119" t="n">
        <v>2</v>
      </c>
      <c r="S214" s="119" t="inlineStr">
        <is>
          <t>계</t>
        </is>
      </c>
      <c r="T214" s="5" t="inlineStr">
        <is>
          <t>130B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19">
        <f>S214</f>
        <v/>
      </c>
      <c r="AF214" s="119">
        <f>Q214&amp;"/"&amp;R214</f>
        <v/>
      </c>
      <c r="AH214" s="20">
        <f>IF(A214="","",A214)</f>
        <v/>
      </c>
      <c r="AI214" s="133">
        <f>IF(E214="","",E214)</f>
        <v/>
      </c>
      <c r="AJ214" s="119">
        <f>IF(AI214="","",$AJ$2)</f>
        <v/>
      </c>
      <c r="AK214" s="119" t="inlineStr">
        <is>
          <t>A</t>
        </is>
      </c>
      <c r="AL214" s="119" t="inlineStr">
        <is>
          <t>A+</t>
        </is>
      </c>
      <c r="AM214" s="119" t="inlineStr">
        <is>
          <t>B+</t>
        </is>
      </c>
      <c r="AN214" s="119">
        <f>IF(AI214="","",$AN$2)</f>
        <v/>
      </c>
      <c r="AO214" s="119">
        <f>IF(N214="","",IF(N214&gt;=$AO$1/100,"O","X"))</f>
        <v/>
      </c>
      <c r="AP214" s="119">
        <f>IF(I214="","",IF(I214&lt;=$AP$1,"O","X"))</f>
        <v/>
      </c>
      <c r="AQ214" s="119">
        <f>IF(O214="","",IF(O214&lt;=$AQ$1,"O","X"))</f>
        <v/>
      </c>
      <c r="AR214" s="119">
        <f>IF(M214="","",IF(M214&lt;=$AR$1,"O","X"))</f>
        <v/>
      </c>
      <c r="AS214" s="119" t="inlineStr">
        <is>
          <t>X</t>
        </is>
      </c>
      <c r="AT214" s="119">
        <f>IF(OR(F214="",AI214=""),"",IF(AND((F214&lt;=85),(AI214&gt;=15)),"O","X"))</f>
        <v/>
      </c>
      <c r="AU214" s="119">
        <f>IF(C214="","",IF(C214&gt;=$AU$1,"O","X"))</f>
        <v/>
      </c>
      <c r="AV214" s="119">
        <f>IF(AO214="","",IF(AND(AO214="O",AP214="O",AR214="O",AT214="O",AU214="O"),"후보","X"))</f>
        <v/>
      </c>
    </row>
    <row r="215" ht="12" customFormat="1" customHeight="1" s="38">
      <c r="A215" s="122" t="inlineStr">
        <is>
          <t>용정동 청주용정한라비발디1단지</t>
        </is>
      </c>
      <c r="B215" s="123" t="inlineStr">
        <is>
          <t>13.06.</t>
        </is>
      </c>
      <c r="C215" s="131" t="n">
        <v>612</v>
      </c>
      <c r="D215" s="132" t="n">
        <v>171.9</v>
      </c>
      <c r="E215" s="133" t="n">
        <v>52</v>
      </c>
      <c r="F215" s="132" t="n">
        <v>134.3</v>
      </c>
      <c r="G215" s="17" t="n">
        <v>41</v>
      </c>
      <c r="H215" s="134" t="n">
        <v>45</v>
      </c>
      <c r="I215" s="135" t="n">
        <v>69000</v>
      </c>
      <c r="J215" s="135" t="inlineStr">
        <is>
          <t>21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19" t="n">
        <v>4</v>
      </c>
      <c r="R215" s="119" t="n">
        <v>2</v>
      </c>
      <c r="S215" s="119" t="inlineStr">
        <is>
          <t>계</t>
        </is>
      </c>
      <c r="T215" s="5" t="n">
        <v>171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19">
        <f>S215</f>
        <v/>
      </c>
      <c r="AF215" s="119">
        <f>Q215&amp;"/"&amp;R215</f>
        <v/>
      </c>
      <c r="AH215" s="20">
        <f>IF(A215="","",A215)</f>
        <v/>
      </c>
      <c r="AI215" s="133">
        <f>IF(E215="","",E215)</f>
        <v/>
      </c>
      <c r="AJ215" s="119">
        <f>IF(AI215="","",$AJ$2)</f>
        <v/>
      </c>
      <c r="AK215" s="119" t="inlineStr">
        <is>
          <t>A</t>
        </is>
      </c>
      <c r="AL215" s="119" t="inlineStr">
        <is>
          <t>A+</t>
        </is>
      </c>
      <c r="AM215" s="119" t="inlineStr">
        <is>
          <t>B+</t>
        </is>
      </c>
      <c r="AN215" s="119">
        <f>IF(AI215="","",$AN$2)</f>
        <v/>
      </c>
      <c r="AO215" s="119">
        <f>IF(N215="","",IF(N215&gt;=$AO$1/100,"O","X"))</f>
        <v/>
      </c>
      <c r="AP215" s="119">
        <f>IF(I215="","",IF(I215&lt;=$AP$1,"O","X"))</f>
        <v/>
      </c>
      <c r="AQ215" s="119">
        <f>IF(O215="","",IF(O215&lt;=$AQ$1,"O","X"))</f>
        <v/>
      </c>
      <c r="AR215" s="119">
        <f>IF(M215="","",IF(M215&lt;=$AR$1,"O","X"))</f>
        <v/>
      </c>
      <c r="AS215" s="119" t="inlineStr">
        <is>
          <t>X</t>
        </is>
      </c>
      <c r="AT215" s="119">
        <f>IF(OR(F215="",AI215=""),"",IF(AND((F215&lt;=85),(AI215&gt;=15)),"O","X"))</f>
        <v/>
      </c>
      <c r="AU215" s="119">
        <f>IF(C215="","",IF(C215&gt;=$AU$1,"O","X"))</f>
        <v/>
      </c>
      <c r="AV215" s="119">
        <f>IF(AO215="","",IF(AND(AO215="O",AP215="O",AR215="O",AT215="O",AU215="O"),"후보","X"))</f>
        <v/>
      </c>
    </row>
    <row r="216" ht="12" customFormat="1" customHeight="1" s="38">
      <c r="A216" s="122" t="inlineStr">
        <is>
          <t>용정동 청주용정한라비발디2단지</t>
        </is>
      </c>
      <c r="B216" s="123" t="inlineStr">
        <is>
          <t>13.06.</t>
        </is>
      </c>
      <c r="C216" s="131" t="n">
        <v>788</v>
      </c>
      <c r="D216" s="132" t="n">
        <v>111.4</v>
      </c>
      <c r="E216" s="133" t="n">
        <v>34</v>
      </c>
      <c r="F216" s="132" t="n">
        <v>85</v>
      </c>
      <c r="G216" s="17" t="n">
        <v>26</v>
      </c>
      <c r="H216" s="134" t="n">
        <v>161</v>
      </c>
      <c r="I216" s="135" t="n">
        <v>38000</v>
      </c>
      <c r="J216" s="135" t="inlineStr">
        <is>
          <t>19</t>
        </is>
      </c>
      <c r="K216" s="135" t="n">
        <v>31500</v>
      </c>
      <c r="L216" s="135" t="inlineStr">
        <is>
          <t>12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19" t="n">
        <v>3</v>
      </c>
      <c r="R216" s="119" t="n">
        <v>2</v>
      </c>
      <c r="S216" s="119" t="inlineStr">
        <is>
          <t>계</t>
        </is>
      </c>
      <c r="T216" s="5" t="inlineStr">
        <is>
          <t>111C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19">
        <f>S216</f>
        <v/>
      </c>
      <c r="AF216" s="119">
        <f>Q216&amp;"/"&amp;R216</f>
        <v/>
      </c>
      <c r="AH216" s="20">
        <f>IF(A216="","",A216)</f>
        <v/>
      </c>
      <c r="AI216" s="133">
        <f>IF(E216="","",E216)</f>
        <v/>
      </c>
      <c r="AJ216" s="119">
        <f>IF(AI216="","",$AJ$2)</f>
        <v/>
      </c>
      <c r="AK216" s="119" t="inlineStr">
        <is>
          <t>A</t>
        </is>
      </c>
      <c r="AL216" s="119" t="inlineStr">
        <is>
          <t>A+</t>
        </is>
      </c>
      <c r="AM216" s="119" t="inlineStr">
        <is>
          <t>B+</t>
        </is>
      </c>
      <c r="AN216" s="119">
        <f>IF(AI216="","",$AN$2)</f>
        <v/>
      </c>
      <c r="AO216" s="119">
        <f>IF(N216="","",IF(N216&gt;=$AO$1/100,"O","X"))</f>
        <v/>
      </c>
      <c r="AP216" s="119">
        <f>IF(I216="","",IF(I216&lt;=$AP$1,"O","X"))</f>
        <v/>
      </c>
      <c r="AQ216" s="119">
        <f>IF(O216="","",IF(O216&lt;=$AQ$1,"O","X"))</f>
        <v/>
      </c>
      <c r="AR216" s="119">
        <f>IF(M216="","",IF(M216&lt;=$AR$1,"O","X"))</f>
        <v/>
      </c>
      <c r="AS216" s="119" t="inlineStr">
        <is>
          <t>X</t>
        </is>
      </c>
      <c r="AT216" s="119">
        <f>IF(OR(F216="",AI216=""),"",IF(AND((F216&lt;=85),(AI216&gt;=15)),"O","X"))</f>
        <v/>
      </c>
      <c r="AU216" s="119">
        <f>IF(C216="","",IF(C216&gt;=$AU$1,"O","X"))</f>
        <v/>
      </c>
      <c r="AV216" s="119">
        <f>IF(AO216="","",IF(AND(AO216="O",AP216="O",AR216="O",AT216="O",AU216="O"),"후보","X"))</f>
        <v/>
      </c>
    </row>
    <row r="217" ht="12" customFormat="1" customHeight="1" s="38">
      <c r="A217" s="122" t="inlineStr">
        <is>
          <t>용정동 청주용정한라비발디2단지</t>
        </is>
      </c>
      <c r="B217" s="123" t="inlineStr">
        <is>
          <t>13.06.</t>
        </is>
      </c>
      <c r="C217" s="131" t="n">
        <v>788</v>
      </c>
      <c r="D217" s="132" t="n">
        <v>112.1</v>
      </c>
      <c r="E217" s="133" t="n">
        <v>34</v>
      </c>
      <c r="F217" s="132" t="n">
        <v>84.90000000000001</v>
      </c>
      <c r="G217" s="17" t="n">
        <v>26</v>
      </c>
      <c r="H217" s="134" t="n">
        <v>186</v>
      </c>
      <c r="I217" s="135" t="n">
        <v>38000</v>
      </c>
      <c r="J217" s="135" t="inlineStr">
        <is>
          <t>12</t>
        </is>
      </c>
      <c r="K217" s="135" t="n">
        <v>34000</v>
      </c>
      <c r="L217" s="135" t="inlineStr">
        <is>
          <t>고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19" t="n">
        <v>3</v>
      </c>
      <c r="R217" s="119" t="n">
        <v>2</v>
      </c>
      <c r="S217" s="119" t="inlineStr">
        <is>
          <t>계</t>
        </is>
      </c>
      <c r="T217" s="5" t="inlineStr">
        <is>
          <t>112A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19">
        <f>S217</f>
        <v/>
      </c>
      <c r="AF217" s="119">
        <f>Q217&amp;"/"&amp;R217</f>
        <v/>
      </c>
      <c r="AH217" s="20">
        <f>IF(A217="","",A217)</f>
        <v/>
      </c>
      <c r="AI217" s="133">
        <f>IF(E217="","",E217)</f>
        <v/>
      </c>
      <c r="AJ217" s="119">
        <f>IF(AI217="","",$AJ$2)</f>
        <v/>
      </c>
      <c r="AK217" s="119" t="inlineStr">
        <is>
          <t>A</t>
        </is>
      </c>
      <c r="AL217" s="119" t="inlineStr">
        <is>
          <t>A+</t>
        </is>
      </c>
      <c r="AM217" s="119" t="inlineStr">
        <is>
          <t>B+</t>
        </is>
      </c>
      <c r="AN217" s="119">
        <f>IF(AI217="","",$AN$2)</f>
        <v/>
      </c>
      <c r="AO217" s="119">
        <f>IF(N217="","",IF(N217&gt;=$AO$1/100,"O","X"))</f>
        <v/>
      </c>
      <c r="AP217" s="119">
        <f>IF(I217="","",IF(I217&lt;=$AP$1,"O","X"))</f>
        <v/>
      </c>
      <c r="AQ217" s="119">
        <f>IF(O217="","",IF(O217&lt;=$AQ$1,"O","X"))</f>
        <v/>
      </c>
      <c r="AR217" s="119">
        <f>IF(M217="","",IF(M217&lt;=$AR$1,"O","X"))</f>
        <v/>
      </c>
      <c r="AS217" s="119" t="inlineStr">
        <is>
          <t>X</t>
        </is>
      </c>
      <c r="AT217" s="119">
        <f>IF(OR(F217="",AI217=""),"",IF(AND((F217&lt;=85),(AI217&gt;=15)),"O","X"))</f>
        <v/>
      </c>
      <c r="AU217" s="119">
        <f>IF(C217="","",IF(C217&gt;=$AU$1,"O","X"))</f>
        <v/>
      </c>
      <c r="AV217" s="119">
        <f>IF(AO217="","",IF(AND(AO217="O",AP217="O",AR217="O",AT217="O",AU217="O"),"후보","X"))</f>
        <v/>
      </c>
    </row>
    <row r="218" ht="12" customFormat="1" customHeight="1" s="38">
      <c r="A218" s="122" t="inlineStr">
        <is>
          <t>용정동 청주용정한라비발디2단지</t>
        </is>
      </c>
      <c r="B218" s="123" t="inlineStr">
        <is>
          <t>13.06.</t>
        </is>
      </c>
      <c r="C218" s="131" t="n">
        <v>788</v>
      </c>
      <c r="D218" s="132" t="n">
        <v>112.2</v>
      </c>
      <c r="E218" s="133" t="n">
        <v>34</v>
      </c>
      <c r="F218" s="132" t="n">
        <v>84.5</v>
      </c>
      <c r="G218" s="17" t="n">
        <v>26</v>
      </c>
      <c r="H218" s="134" t="n">
        <v>146</v>
      </c>
      <c r="I218" s="135" t="n">
        <v>39500</v>
      </c>
      <c r="J218" s="135" t="inlineStr">
        <is>
          <t>고</t>
        </is>
      </c>
      <c r="K218" s="135" t="n"/>
      <c r="L218" s="135" t="n"/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19" t="n">
        <v>3</v>
      </c>
      <c r="R218" s="119" t="n">
        <v>2</v>
      </c>
      <c r="S218" s="119" t="inlineStr">
        <is>
          <t>계</t>
        </is>
      </c>
      <c r="T218" s="5" t="inlineStr">
        <is>
          <t>112B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19">
        <f>S218</f>
        <v/>
      </c>
      <c r="AF218" s="119">
        <f>Q218&amp;"/"&amp;R218</f>
        <v/>
      </c>
      <c r="AH218" s="20">
        <f>IF(A218="","",A218)</f>
        <v/>
      </c>
      <c r="AI218" s="133">
        <f>IF(E218="","",E218)</f>
        <v/>
      </c>
      <c r="AJ218" s="119">
        <f>IF(AI218="","",$AJ$2)</f>
        <v/>
      </c>
      <c r="AK218" s="119" t="inlineStr">
        <is>
          <t>A</t>
        </is>
      </c>
      <c r="AL218" s="119" t="inlineStr">
        <is>
          <t>A+</t>
        </is>
      </c>
      <c r="AM218" s="119" t="inlineStr">
        <is>
          <t>B+</t>
        </is>
      </c>
      <c r="AN218" s="119">
        <f>IF(AI218="","",$AN$2)</f>
        <v/>
      </c>
      <c r="AO218" s="119">
        <f>IF(N218="","",IF(N218&gt;=$AO$1/100,"O","X"))</f>
        <v/>
      </c>
      <c r="AP218" s="119">
        <f>IF(I218="","",IF(I218&lt;=$AP$1,"O","X"))</f>
        <v/>
      </c>
      <c r="AQ218" s="119">
        <f>IF(O218="","",IF(O218&lt;=$AQ$1,"O","X"))</f>
        <v/>
      </c>
      <c r="AR218" s="119">
        <f>IF(M218="","",IF(M218&lt;=$AR$1,"O","X"))</f>
        <v/>
      </c>
      <c r="AS218" s="119" t="inlineStr">
        <is>
          <t>X</t>
        </is>
      </c>
      <c r="AT218" s="119">
        <f>IF(OR(F218="",AI218=""),"",IF(AND((F218&lt;=85),(AI218&gt;=15)),"O","X"))</f>
        <v/>
      </c>
      <c r="AU218" s="119">
        <f>IF(C218="","",IF(C218&gt;=$AU$1,"O","X"))</f>
        <v/>
      </c>
      <c r="AV218" s="119">
        <f>IF(AO218="","",IF(AND(AO218="O",AP218="O",AR218="O",AT218="O",AU218="O"),"후보","X"))</f>
        <v/>
      </c>
    </row>
    <row r="219" ht="12" customFormat="1" customHeight="1" s="38">
      <c r="A219" s="122" t="inlineStr">
        <is>
          <t>용정동 청주용정한라비발디2단지</t>
        </is>
      </c>
      <c r="B219" s="123" t="inlineStr">
        <is>
          <t>13.06.</t>
        </is>
      </c>
      <c r="C219" s="131" t="n">
        <v>788</v>
      </c>
      <c r="D219" s="132" t="n">
        <v>130.7</v>
      </c>
      <c r="E219" s="133" t="n">
        <v>40</v>
      </c>
      <c r="F219" s="132" t="n">
        <v>102</v>
      </c>
      <c r="G219" s="17" t="n">
        <v>31</v>
      </c>
      <c r="H219" s="134" t="n">
        <v>135</v>
      </c>
      <c r="I219" s="135" t="n">
        <v>46000</v>
      </c>
      <c r="J219" s="135" t="inlineStr">
        <is>
          <t>11</t>
        </is>
      </c>
      <c r="K219" s="135" t="n">
        <v>40000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19" t="n">
        <v>3</v>
      </c>
      <c r="R219" s="119" t="n">
        <v>2</v>
      </c>
      <c r="S219" s="119" t="inlineStr">
        <is>
          <t>계</t>
        </is>
      </c>
      <c r="T219" s="5" t="inlineStr">
        <is>
          <t>130C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19">
        <f>S219</f>
        <v/>
      </c>
      <c r="AF219" s="119">
        <f>Q219&amp;"/"&amp;R219</f>
        <v/>
      </c>
      <c r="AH219" s="20">
        <f>IF(A219="","",A219)</f>
        <v/>
      </c>
      <c r="AI219" s="133">
        <f>IF(E219="","",E219)</f>
        <v/>
      </c>
      <c r="AJ219" s="119">
        <f>IF(AI219="","",$AJ$2)</f>
        <v/>
      </c>
      <c r="AK219" s="119" t="inlineStr">
        <is>
          <t>A</t>
        </is>
      </c>
      <c r="AL219" s="119" t="inlineStr">
        <is>
          <t>A+</t>
        </is>
      </c>
      <c r="AM219" s="119" t="inlineStr">
        <is>
          <t>B+</t>
        </is>
      </c>
      <c r="AN219" s="119">
        <f>IF(AI219="","",$AN$2)</f>
        <v/>
      </c>
      <c r="AO219" s="119">
        <f>IF(N219="","",IF(N219&gt;=$AO$1/100,"O","X"))</f>
        <v/>
      </c>
      <c r="AP219" s="119">
        <f>IF(I219="","",IF(I219&lt;=$AP$1,"O","X"))</f>
        <v/>
      </c>
      <c r="AQ219" s="119">
        <f>IF(O219="","",IF(O219&lt;=$AQ$1,"O","X"))</f>
        <v/>
      </c>
      <c r="AR219" s="119">
        <f>IF(M219="","",IF(M219&lt;=$AR$1,"O","X"))</f>
        <v/>
      </c>
      <c r="AS219" s="119" t="inlineStr">
        <is>
          <t>X</t>
        </is>
      </c>
      <c r="AT219" s="119">
        <f>IF(OR(F219="",AI219=""),"",IF(AND((F219&lt;=85),(AI219&gt;=15)),"O","X"))</f>
        <v/>
      </c>
      <c r="AU219" s="119">
        <f>IF(C219="","",IF(C219&gt;=$AU$1,"O","X"))</f>
        <v/>
      </c>
      <c r="AV219" s="119">
        <f>IF(AO219="","",IF(AND(AO219="O",AP219="O",AR219="O",AT219="O",AU219="O"),"후보","X"))</f>
        <v/>
      </c>
    </row>
    <row r="220" ht="12" customFormat="1" customHeight="1" s="38">
      <c r="A220" s="122" t="inlineStr">
        <is>
          <t>용정동 청주용정한라비발디2단지</t>
        </is>
      </c>
      <c r="B220" s="123" t="inlineStr">
        <is>
          <t>13.06.</t>
        </is>
      </c>
      <c r="C220" s="131" t="n">
        <v>788</v>
      </c>
      <c r="D220" s="132" t="n">
        <v>130.2</v>
      </c>
      <c r="E220" s="133" t="n">
        <v>39</v>
      </c>
      <c r="F220" s="132" t="n">
        <v>102</v>
      </c>
      <c r="G220" s="17" t="n">
        <v>31</v>
      </c>
      <c r="H220" s="134" t="n">
        <v>93</v>
      </c>
      <c r="I220" s="135" t="n">
        <v>46000</v>
      </c>
      <c r="J220" s="135" t="inlineStr">
        <is>
          <t>8</t>
        </is>
      </c>
      <c r="K220" s="135" t="n">
        <v>37000</v>
      </c>
      <c r="L220" s="135" t="inlineStr">
        <is>
          <t>14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19" t="n">
        <v>3</v>
      </c>
      <c r="R220" s="119" t="n">
        <v>2</v>
      </c>
      <c r="S220" s="119" t="inlineStr">
        <is>
          <t>계</t>
        </is>
      </c>
      <c r="T220" s="5" t="inlineStr">
        <is>
          <t>130A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19">
        <f>S220</f>
        <v/>
      </c>
      <c r="AF220" s="119">
        <f>Q220&amp;"/"&amp;R220</f>
        <v/>
      </c>
      <c r="AH220" s="20">
        <f>IF(A220="","",A220)</f>
        <v/>
      </c>
      <c r="AI220" s="133">
        <f>IF(E220="","",E220)</f>
        <v/>
      </c>
      <c r="AJ220" s="119">
        <f>IF(AI220="","",$AJ$2)</f>
        <v/>
      </c>
      <c r="AK220" s="119" t="inlineStr">
        <is>
          <t>A</t>
        </is>
      </c>
      <c r="AL220" s="119" t="inlineStr">
        <is>
          <t>A+</t>
        </is>
      </c>
      <c r="AM220" s="119" t="inlineStr">
        <is>
          <t>B+</t>
        </is>
      </c>
      <c r="AN220" s="119">
        <f>IF(AI220="","",$AN$2)</f>
        <v/>
      </c>
      <c r="AO220" s="119">
        <f>IF(N220="","",IF(N220&gt;=$AO$1/100,"O","X"))</f>
        <v/>
      </c>
      <c r="AP220" s="119">
        <f>IF(I220="","",IF(I220&lt;=$AP$1,"O","X"))</f>
        <v/>
      </c>
      <c r="AQ220" s="119">
        <f>IF(O220="","",IF(O220&lt;=$AQ$1,"O","X"))</f>
        <v/>
      </c>
      <c r="AR220" s="119">
        <f>IF(M220="","",IF(M220&lt;=$AR$1,"O","X"))</f>
        <v/>
      </c>
      <c r="AS220" s="119" t="inlineStr">
        <is>
          <t>X</t>
        </is>
      </c>
      <c r="AT220" s="119">
        <f>IF(OR(F220="",AI220=""),"",IF(AND((F220&lt;=85),(AI220&gt;=15)),"O","X"))</f>
        <v/>
      </c>
      <c r="AU220" s="119">
        <f>IF(C220="","",IF(C220&gt;=$AU$1,"O","X"))</f>
        <v/>
      </c>
      <c r="AV220" s="119">
        <f>IF(AO220="","",IF(AND(AO220="O",AP220="O",AR220="O",AT220="O",AU220="O"),"후보","X"))</f>
        <v/>
      </c>
    </row>
    <row r="221" ht="12" customFormat="1" customHeight="1" s="38">
      <c r="A221" s="122" t="inlineStr">
        <is>
          <t>용정동 청주용정한라비발디2단지</t>
        </is>
      </c>
      <c r="B221" s="123" t="inlineStr">
        <is>
          <t>13.06.</t>
        </is>
      </c>
      <c r="C221" s="131" t="n">
        <v>788</v>
      </c>
      <c r="D221" s="132" t="n">
        <v>130.8</v>
      </c>
      <c r="E221" s="133" t="n">
        <v>40</v>
      </c>
      <c r="F221" s="132" t="n">
        <v>101.9</v>
      </c>
      <c r="G221" s="17" t="n">
        <v>31</v>
      </c>
      <c r="H221" s="134" t="n">
        <v>67</v>
      </c>
      <c r="I221" s="135" t="n">
        <v>46000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19" t="n">
        <v>3</v>
      </c>
      <c r="R221" s="119" t="n">
        <v>2</v>
      </c>
      <c r="S221" s="119" t="inlineStr">
        <is>
          <t>계</t>
        </is>
      </c>
      <c r="T221" s="5" t="inlineStr">
        <is>
          <t>130B</t>
        </is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19">
        <f>S221</f>
        <v/>
      </c>
      <c r="AF221" s="119">
        <f>Q221&amp;"/"&amp;R221</f>
        <v/>
      </c>
      <c r="AH221" s="20">
        <f>IF(A221="","",A221)</f>
        <v/>
      </c>
      <c r="AI221" s="133">
        <f>IF(E221="","",E221)</f>
        <v/>
      </c>
      <c r="AJ221" s="119">
        <f>IF(AI221="","",$AJ$2)</f>
        <v/>
      </c>
      <c r="AK221" s="119" t="inlineStr">
        <is>
          <t>A</t>
        </is>
      </c>
      <c r="AL221" s="119" t="inlineStr">
        <is>
          <t>A+</t>
        </is>
      </c>
      <c r="AM221" s="119" t="inlineStr">
        <is>
          <t>B+</t>
        </is>
      </c>
      <c r="AN221" s="119">
        <f>IF(AI221="","",$AN$2)</f>
        <v/>
      </c>
      <c r="AO221" s="119">
        <f>IF(N221="","",IF(N221&gt;=$AO$1/100,"O","X"))</f>
        <v/>
      </c>
      <c r="AP221" s="119">
        <f>IF(I221="","",IF(I221&lt;=$AP$1,"O","X"))</f>
        <v/>
      </c>
      <c r="AQ221" s="119">
        <f>IF(O221="","",IF(O221&lt;=$AQ$1,"O","X"))</f>
        <v/>
      </c>
      <c r="AR221" s="119">
        <f>IF(M221="","",IF(M221&lt;=$AR$1,"O","X"))</f>
        <v/>
      </c>
      <c r="AS221" s="119" t="inlineStr">
        <is>
          <t>X</t>
        </is>
      </c>
      <c r="AT221" s="119">
        <f>IF(OR(F221="",AI221=""),"",IF(AND((F221&lt;=85),(AI221&gt;=15)),"O","X"))</f>
        <v/>
      </c>
      <c r="AU221" s="119">
        <f>IF(C221="","",IF(C221&gt;=$AU$1,"O","X"))</f>
        <v/>
      </c>
      <c r="AV221" s="119">
        <f>IF(AO221="","",IF(AND(AO221="O",AP221="O",AR221="O",AT221="O",AU221="O"),"후보","X"))</f>
        <v/>
      </c>
    </row>
    <row r="222" ht="12" customFormat="1" customHeight="1" s="38">
      <c r="A222" s="122" t="inlineStr">
        <is>
          <t>운동동 청주동남파라곤</t>
        </is>
      </c>
      <c r="B222" s="123" t="inlineStr">
        <is>
          <t>22.08.</t>
        </is>
      </c>
      <c r="C222" s="131" t="n">
        <v>562</v>
      </c>
      <c r="D222" s="132" t="n">
        <v>101.6</v>
      </c>
      <c r="E222" s="133" t="n">
        <v>31</v>
      </c>
      <c r="F222" s="132" t="n">
        <v>77.8</v>
      </c>
      <c r="G222" s="17" t="n">
        <v>24</v>
      </c>
      <c r="H222" s="134" t="n">
        <v>119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19" t="n">
        <v>3</v>
      </c>
      <c r="R222" s="119" t="n">
        <v>2</v>
      </c>
      <c r="S222" s="119" t="inlineStr">
        <is>
          <t>계</t>
        </is>
      </c>
      <c r="T222" s="5" t="inlineStr">
        <is>
          <t>101A</t>
        </is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19">
        <f>S222</f>
        <v/>
      </c>
      <c r="AF222" s="119">
        <f>Q222&amp;"/"&amp;R222</f>
        <v/>
      </c>
      <c r="AH222" s="20">
        <f>IF(A222="","",A222)</f>
        <v/>
      </c>
      <c r="AI222" s="133">
        <f>IF(E222="","",E222)</f>
        <v/>
      </c>
      <c r="AJ222" s="119">
        <f>IF(AI222="","",$AJ$2)</f>
        <v/>
      </c>
      <c r="AK222" s="119" t="inlineStr">
        <is>
          <t>A</t>
        </is>
      </c>
      <c r="AL222" s="119" t="inlineStr">
        <is>
          <t>A+</t>
        </is>
      </c>
      <c r="AM222" s="119" t="inlineStr">
        <is>
          <t>B+</t>
        </is>
      </c>
      <c r="AN222" s="119">
        <f>IF(AI222="","",$AN$2)</f>
        <v/>
      </c>
      <c r="AO222" s="119">
        <f>IF(N222="","",IF(N222&gt;=$AO$1/100,"O","X"))</f>
        <v/>
      </c>
      <c r="AP222" s="119">
        <f>IF(I222="","",IF(I222&lt;=$AP$1,"O","X"))</f>
        <v/>
      </c>
      <c r="AQ222" s="119">
        <f>IF(O222="","",IF(O222&lt;=$AQ$1,"O","X"))</f>
        <v/>
      </c>
      <c r="AR222" s="119">
        <f>IF(M222="","",IF(M222&lt;=$AR$1,"O","X"))</f>
        <v/>
      </c>
      <c r="AS222" s="119" t="inlineStr">
        <is>
          <t>X</t>
        </is>
      </c>
      <c r="AT222" s="119">
        <f>IF(OR(F222="",AI222=""),"",IF(AND((F222&lt;=85),(AI222&gt;=15)),"O","X"))</f>
        <v/>
      </c>
      <c r="AU222" s="119">
        <f>IF(C222="","",IF(C222&gt;=$AU$1,"O","X"))</f>
        <v/>
      </c>
      <c r="AV222" s="119">
        <f>IF(AO222="","",IF(AND(AO222="O",AP222="O",AR222="O",AT222="O",AU222="O"),"후보","X"))</f>
        <v/>
      </c>
    </row>
    <row r="223" ht="12" customFormat="1" customHeight="1" s="38">
      <c r="A223" s="122" t="inlineStr">
        <is>
          <t>운동동 청주동남파라곤</t>
        </is>
      </c>
      <c r="B223" s="123" t="inlineStr">
        <is>
          <t>22.08.</t>
        </is>
      </c>
      <c r="C223" s="131" t="n">
        <v>562</v>
      </c>
      <c r="D223" s="132" t="n">
        <v>101</v>
      </c>
      <c r="E223" s="133" t="n">
        <v>31</v>
      </c>
      <c r="F223" s="132" t="n">
        <v>77.5</v>
      </c>
      <c r="G223" s="17" t="n">
        <v>23</v>
      </c>
      <c r="H223" s="134" t="n">
        <v>68</v>
      </c>
      <c r="I223" s="135" t="n"/>
      <c r="J223" s="135" t="n"/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19" t="n">
        <v>3</v>
      </c>
      <c r="R223" s="119" t="n">
        <v>2</v>
      </c>
      <c r="S223" s="119" t="inlineStr">
        <is>
          <t>계</t>
        </is>
      </c>
      <c r="T223" s="5" t="inlineStr">
        <is>
          <t>101B</t>
        </is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19">
        <f>S223</f>
        <v/>
      </c>
      <c r="AF223" s="119">
        <f>Q223&amp;"/"&amp;R223</f>
        <v/>
      </c>
      <c r="AH223" s="20">
        <f>IF(A223="","",A223)</f>
        <v/>
      </c>
      <c r="AI223" s="133">
        <f>IF(E223="","",E223)</f>
        <v/>
      </c>
      <c r="AJ223" s="119">
        <f>IF(AI223="","",$AJ$2)</f>
        <v/>
      </c>
      <c r="AK223" s="119" t="inlineStr">
        <is>
          <t>A</t>
        </is>
      </c>
      <c r="AL223" s="119" t="inlineStr">
        <is>
          <t>A+</t>
        </is>
      </c>
      <c r="AM223" s="119" t="inlineStr">
        <is>
          <t>B+</t>
        </is>
      </c>
      <c r="AN223" s="119">
        <f>IF(AI223="","",$AN$2)</f>
        <v/>
      </c>
      <c r="AO223" s="119">
        <f>IF(N223="","",IF(N223&gt;=$AO$1/100,"O","X"))</f>
        <v/>
      </c>
      <c r="AP223" s="119">
        <f>IF(I223="","",IF(I223&lt;=$AP$1,"O","X"))</f>
        <v/>
      </c>
      <c r="AQ223" s="119">
        <f>IF(O223="","",IF(O223&lt;=$AQ$1,"O","X"))</f>
        <v/>
      </c>
      <c r="AR223" s="119">
        <f>IF(M223="","",IF(M223&lt;=$AR$1,"O","X"))</f>
        <v/>
      </c>
      <c r="AS223" s="119" t="inlineStr">
        <is>
          <t>X</t>
        </is>
      </c>
      <c r="AT223" s="119">
        <f>IF(OR(F223="",AI223=""),"",IF(AND((F223&lt;=85),(AI223&gt;=15)),"O","X"))</f>
        <v/>
      </c>
      <c r="AU223" s="119">
        <f>IF(C223="","",IF(C223&gt;=$AU$1,"O","X"))</f>
        <v/>
      </c>
      <c r="AV223" s="119">
        <f>IF(AO223="","",IF(AND(AO223="O",AP223="O",AR223="O",AT223="O",AU223="O"),"후보","X"))</f>
        <v/>
      </c>
    </row>
    <row r="224" ht="12" customFormat="1" customHeight="1" s="38">
      <c r="A224" s="122" t="inlineStr">
        <is>
          <t>운동동 청주동남파라곤</t>
        </is>
      </c>
      <c r="B224" s="123" t="inlineStr">
        <is>
          <t>22.08.</t>
        </is>
      </c>
      <c r="C224" s="131" t="n">
        <v>562</v>
      </c>
      <c r="D224" s="132" t="n">
        <v>110.1</v>
      </c>
      <c r="E224" s="133" t="n">
        <v>33</v>
      </c>
      <c r="F224" s="132" t="n">
        <v>84.90000000000001</v>
      </c>
      <c r="G224" s="17" t="n">
        <v>26</v>
      </c>
      <c r="H224" s="134" t="n">
        <v>375</v>
      </c>
      <c r="I224" s="135" t="n"/>
      <c r="J224" s="135" t="n"/>
      <c r="K224" s="135" t="n"/>
      <c r="L224" s="135" t="n"/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19" t="n">
        <v>3</v>
      </c>
      <c r="R224" s="119" t="n">
        <v>2</v>
      </c>
      <c r="S224" s="119" t="inlineStr">
        <is>
          <t>계</t>
        </is>
      </c>
      <c r="T224" s="5" t="n">
        <v>110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19">
        <f>S224</f>
        <v/>
      </c>
      <c r="AF224" s="119">
        <f>Q224&amp;"/"&amp;R224</f>
        <v/>
      </c>
      <c r="AH224" s="20">
        <f>IF(A224="","",A224)</f>
        <v/>
      </c>
      <c r="AI224" s="133">
        <f>IF(E224="","",E224)</f>
        <v/>
      </c>
      <c r="AJ224" s="119">
        <f>IF(AI224="","",$AJ$2)</f>
        <v/>
      </c>
      <c r="AK224" s="119" t="inlineStr">
        <is>
          <t>A</t>
        </is>
      </c>
      <c r="AL224" s="119" t="inlineStr">
        <is>
          <t>A+</t>
        </is>
      </c>
      <c r="AM224" s="119" t="inlineStr">
        <is>
          <t>B+</t>
        </is>
      </c>
      <c r="AN224" s="119">
        <f>IF(AI224="","",$AN$2)</f>
        <v/>
      </c>
      <c r="AO224" s="119">
        <f>IF(N224="","",IF(N224&gt;=$AO$1/100,"O","X"))</f>
        <v/>
      </c>
      <c r="AP224" s="119">
        <f>IF(I224="","",IF(I224&lt;=$AP$1,"O","X"))</f>
        <v/>
      </c>
      <c r="AQ224" s="119">
        <f>IF(O224="","",IF(O224&lt;=$AQ$1,"O","X"))</f>
        <v/>
      </c>
      <c r="AR224" s="119">
        <f>IF(M224="","",IF(M224&lt;=$AR$1,"O","X"))</f>
        <v/>
      </c>
      <c r="AS224" s="119" t="inlineStr">
        <is>
          <t>X</t>
        </is>
      </c>
      <c r="AT224" s="119">
        <f>IF(OR(F224="",AI224=""),"",IF(AND((F224&lt;=85),(AI224&gt;=15)),"O","X"))</f>
        <v/>
      </c>
      <c r="AU224" s="119">
        <f>IF(C224="","",IF(C224&gt;=$AU$1,"O","X"))</f>
        <v/>
      </c>
      <c r="AV224" s="119">
        <f>IF(AO224="","",IF(AND(AO224="O",AP224="O",AR224="O",AT224="O",AU224="O"),"후보","X"))</f>
        <v/>
      </c>
    </row>
    <row r="225" ht="12" customFormat="1" customHeight="1" s="38">
      <c r="A225" s="122" t="inlineStr">
        <is>
          <t>탑동 탑동힐데스하임</t>
        </is>
      </c>
      <c r="B225" s="123" t="inlineStr">
        <is>
          <t>22.11.</t>
        </is>
      </c>
      <c r="C225" s="131" t="n">
        <v>1298</v>
      </c>
      <c r="D225" s="132" t="n">
        <v>90.7</v>
      </c>
      <c r="E225" s="133" t="n">
        <v>27</v>
      </c>
      <c r="F225" s="132" t="n">
        <v>66</v>
      </c>
      <c r="G225" s="17" t="n">
        <v>20</v>
      </c>
      <c r="H225" s="134" t="n">
        <v>348</v>
      </c>
      <c r="I225" s="135" t="n"/>
      <c r="J225" s="135" t="n"/>
      <c r="K225" s="135" t="n"/>
      <c r="L225" s="135" t="n"/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19" t="n">
        <v>3</v>
      </c>
      <c r="R225" s="119" t="n">
        <v>2</v>
      </c>
      <c r="S225" s="119" t="inlineStr">
        <is>
          <t>계</t>
        </is>
      </c>
      <c r="T225" s="5" t="n">
        <v>90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19">
        <f>S225</f>
        <v/>
      </c>
      <c r="AF225" s="119">
        <f>Q225&amp;"/"&amp;R225</f>
        <v/>
      </c>
      <c r="AH225" s="20">
        <f>IF(A225="","",A225)</f>
        <v/>
      </c>
      <c r="AI225" s="133">
        <f>IF(E225="","",E225)</f>
        <v/>
      </c>
      <c r="AJ225" s="119">
        <f>IF(AI225="","",$AJ$2)</f>
        <v/>
      </c>
      <c r="AK225" s="119" t="inlineStr">
        <is>
          <t>A</t>
        </is>
      </c>
      <c r="AL225" s="119" t="inlineStr">
        <is>
          <t>A+</t>
        </is>
      </c>
      <c r="AM225" s="119" t="inlineStr">
        <is>
          <t>B+</t>
        </is>
      </c>
      <c r="AN225" s="119">
        <f>IF(AI225="","",$AN$2)</f>
        <v/>
      </c>
      <c r="AO225" s="119">
        <f>IF(N225="","",IF(N225&gt;=$AO$1/100,"O","X"))</f>
        <v/>
      </c>
      <c r="AP225" s="119">
        <f>IF(I225="","",IF(I225&lt;=$AP$1,"O","X"))</f>
        <v/>
      </c>
      <c r="AQ225" s="119">
        <f>IF(O225="","",IF(O225&lt;=$AQ$1,"O","X"))</f>
        <v/>
      </c>
      <c r="AR225" s="119">
        <f>IF(M225="","",IF(M225&lt;=$AR$1,"O","X"))</f>
        <v/>
      </c>
      <c r="AS225" s="119" t="inlineStr">
        <is>
          <t>X</t>
        </is>
      </c>
      <c r="AT225" s="119">
        <f>IF(OR(F225="",AI225=""),"",IF(AND((F225&lt;=85),(AI225&gt;=15)),"O","X"))</f>
        <v/>
      </c>
      <c r="AU225" s="119">
        <f>IF(C225="","",IF(C225&gt;=$AU$1,"O","X"))</f>
        <v/>
      </c>
      <c r="AV225" s="119">
        <f>IF(AO225="","",IF(AND(AO225="O",AP225="O",AR225="O",AT225="O",AU225="O"),"후보","X"))</f>
        <v/>
      </c>
    </row>
    <row r="226" ht="12" customFormat="1" customHeight="1" s="38">
      <c r="A226" s="122" t="inlineStr">
        <is>
          <t>탑동 탑동힐데스하임</t>
        </is>
      </c>
      <c r="B226" s="123" t="inlineStr">
        <is>
          <t>22.11.</t>
        </is>
      </c>
      <c r="C226" s="131" t="n">
        <v>1298</v>
      </c>
      <c r="D226" s="132" t="n">
        <v>108.3</v>
      </c>
      <c r="E226" s="133" t="n">
        <v>33</v>
      </c>
      <c r="F226" s="132" t="n">
        <v>80.90000000000001</v>
      </c>
      <c r="G226" s="17" t="n">
        <v>24</v>
      </c>
      <c r="H226" s="134" t="n">
        <v>49</v>
      </c>
      <c r="I226" s="135" t="n"/>
      <c r="J226" s="135" t="n"/>
      <c r="K226" s="135" t="n"/>
      <c r="L226" s="135" t="n"/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19" t="n">
        <v>3</v>
      </c>
      <c r="R226" s="119" t="n">
        <v>2</v>
      </c>
      <c r="S226" s="119" t="inlineStr">
        <is>
          <t>계</t>
        </is>
      </c>
      <c r="T226" s="5" t="n">
        <v>108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19">
        <f>S226</f>
        <v/>
      </c>
      <c r="AF226" s="119">
        <f>Q226&amp;"/"&amp;R226</f>
        <v/>
      </c>
      <c r="AH226" s="20">
        <f>IF(A226="","",A226)</f>
        <v/>
      </c>
      <c r="AI226" s="133">
        <f>IF(E226="","",E226)</f>
        <v/>
      </c>
      <c r="AJ226" s="119">
        <f>IF(AI226="","",$AJ$2)</f>
        <v/>
      </c>
      <c r="AK226" s="119" t="inlineStr">
        <is>
          <t>A</t>
        </is>
      </c>
      <c r="AL226" s="119" t="inlineStr">
        <is>
          <t>A+</t>
        </is>
      </c>
      <c r="AM226" s="119" t="inlineStr">
        <is>
          <t>B+</t>
        </is>
      </c>
      <c r="AN226" s="119">
        <f>IF(AI226="","",$AN$2)</f>
        <v/>
      </c>
      <c r="AO226" s="119">
        <f>IF(N226="","",IF(N226&gt;=$AO$1/100,"O","X"))</f>
        <v/>
      </c>
      <c r="AP226" s="119">
        <f>IF(I226="","",IF(I226&lt;=$AP$1,"O","X"))</f>
        <v/>
      </c>
      <c r="AQ226" s="119">
        <f>IF(O226="","",IF(O226&lt;=$AQ$1,"O","X"))</f>
        <v/>
      </c>
      <c r="AR226" s="119">
        <f>IF(M226="","",IF(M226&lt;=$AR$1,"O","X"))</f>
        <v/>
      </c>
      <c r="AS226" s="119" t="inlineStr">
        <is>
          <t>X</t>
        </is>
      </c>
      <c r="AT226" s="119">
        <f>IF(OR(F226="",AI226=""),"",IF(AND((F226&lt;=85),(AI226&gt;=15)),"O","X"))</f>
        <v/>
      </c>
      <c r="AU226" s="119">
        <f>IF(C226="","",IF(C226&gt;=$AU$1,"O","X"))</f>
        <v/>
      </c>
      <c r="AV226" s="119">
        <f>IF(AO226="","",IF(AND(AO226="O",AP226="O",AR226="O",AT226="O",AU226="O"),"후보","X"))</f>
        <v/>
      </c>
    </row>
    <row r="227" ht="12" customFormat="1" customHeight="1" s="38">
      <c r="A227" s="122" t="inlineStr">
        <is>
          <t>탑동 탑동힐데스하임</t>
        </is>
      </c>
      <c r="B227" s="123" t="inlineStr">
        <is>
          <t>22.11.</t>
        </is>
      </c>
      <c r="C227" s="131" t="n">
        <v>1298</v>
      </c>
      <c r="D227" s="132" t="n">
        <v>110.6</v>
      </c>
      <c r="E227" s="133" t="n">
        <v>33</v>
      </c>
      <c r="F227" s="132" t="n">
        <v>84.8</v>
      </c>
      <c r="G227" s="17" t="n">
        <v>26</v>
      </c>
      <c r="H227" s="134" t="n">
        <v>530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19" t="n">
        <v>3</v>
      </c>
      <c r="R227" s="119" t="n">
        <v>2</v>
      </c>
      <c r="S227" s="119" t="inlineStr">
        <is>
          <t>계</t>
        </is>
      </c>
      <c r="T227" s="5" t="n">
        <v>110</v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19">
        <f>S227</f>
        <v/>
      </c>
      <c r="AF227" s="119">
        <f>Q227&amp;"/"&amp;R227</f>
        <v/>
      </c>
      <c r="AH227" s="20">
        <f>IF(A227="","",A227)</f>
        <v/>
      </c>
      <c r="AI227" s="133">
        <f>IF(E227="","",E227)</f>
        <v/>
      </c>
      <c r="AJ227" s="119">
        <f>IF(AI227="","",$AJ$2)</f>
        <v/>
      </c>
      <c r="AK227" s="119" t="inlineStr">
        <is>
          <t>A</t>
        </is>
      </c>
      <c r="AL227" s="119" t="inlineStr">
        <is>
          <t>A+</t>
        </is>
      </c>
      <c r="AM227" s="119" t="inlineStr">
        <is>
          <t>B+</t>
        </is>
      </c>
      <c r="AN227" s="119">
        <f>IF(AI227="","",$AN$2)</f>
        <v/>
      </c>
      <c r="AO227" s="119">
        <f>IF(N227="","",IF(N227&gt;=$AO$1/100,"O","X"))</f>
        <v/>
      </c>
      <c r="AP227" s="119">
        <f>IF(I227="","",IF(I227&lt;=$AP$1,"O","X"))</f>
        <v/>
      </c>
      <c r="AQ227" s="119">
        <f>IF(O227="","",IF(O227&lt;=$AQ$1,"O","X"))</f>
        <v/>
      </c>
      <c r="AR227" s="119">
        <f>IF(M227="","",IF(M227&lt;=$AR$1,"O","X"))</f>
        <v/>
      </c>
      <c r="AS227" s="119" t="inlineStr">
        <is>
          <t>X</t>
        </is>
      </c>
      <c r="AT227" s="119">
        <f>IF(OR(F227="",AI227=""),"",IF(AND((F227&lt;=85),(AI227&gt;=15)),"O","X"))</f>
        <v/>
      </c>
      <c r="AU227" s="119">
        <f>IF(C227="","",IF(C227&gt;=$AU$1,"O","X"))</f>
        <v/>
      </c>
      <c r="AV227" s="119">
        <f>IF(AO227="","",IF(AND(AO227="O",AP227="O",AR227="O",AT227="O",AU227="O"),"후보","X"))</f>
        <v/>
      </c>
    </row>
    <row r="228" ht="12" customFormat="1" customHeight="1" s="38">
      <c r="A228" s="122" t="inlineStr">
        <is>
          <t>탑동 탑동힐데스하임</t>
        </is>
      </c>
      <c r="B228" s="123" t="inlineStr">
        <is>
          <t>22.11.</t>
        </is>
      </c>
      <c r="C228" s="131" t="n">
        <v>1298</v>
      </c>
      <c r="D228" s="132" t="n">
        <v>146.2</v>
      </c>
      <c r="E228" s="133" t="n">
        <v>44</v>
      </c>
      <c r="F228" s="132" t="n">
        <v>112</v>
      </c>
      <c r="G228" s="17" t="n">
        <v>34</v>
      </c>
      <c r="H228" s="134" t="n">
        <v>102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19" t="n">
        <v>3</v>
      </c>
      <c r="R228" s="119" t="n">
        <v>2</v>
      </c>
      <c r="S228" s="119" t="inlineStr">
        <is>
          <t>계</t>
        </is>
      </c>
      <c r="T228" s="5" t="n">
        <v>146</v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19">
        <f>S228</f>
        <v/>
      </c>
      <c r="AF228" s="119">
        <f>Q228&amp;"/"&amp;R228</f>
        <v/>
      </c>
      <c r="AH228" s="20">
        <f>IF(A228="","",A228)</f>
        <v/>
      </c>
      <c r="AI228" s="133">
        <f>IF(E228="","",E228)</f>
        <v/>
      </c>
      <c r="AJ228" s="119">
        <f>IF(AI228="","",$AJ$2)</f>
        <v/>
      </c>
      <c r="AK228" s="119" t="inlineStr">
        <is>
          <t>A</t>
        </is>
      </c>
      <c r="AL228" s="119" t="inlineStr">
        <is>
          <t>A+</t>
        </is>
      </c>
      <c r="AM228" s="119" t="inlineStr">
        <is>
          <t>B+</t>
        </is>
      </c>
      <c r="AN228" s="119">
        <f>IF(AI228="","",$AN$2)</f>
        <v/>
      </c>
      <c r="AO228" s="119">
        <f>IF(N228="","",IF(N228&gt;=$AO$1/100,"O","X"))</f>
        <v/>
      </c>
      <c r="AP228" s="119">
        <f>IF(I228="","",IF(I228&lt;=$AP$1,"O","X"))</f>
        <v/>
      </c>
      <c r="AQ228" s="119">
        <f>IF(O228="","",IF(O228&lt;=$AQ$1,"O","X"))</f>
        <v/>
      </c>
      <c r="AR228" s="119">
        <f>IF(M228="","",IF(M228&lt;=$AR$1,"O","X"))</f>
        <v/>
      </c>
      <c r="AS228" s="119" t="inlineStr">
        <is>
          <t>X</t>
        </is>
      </c>
      <c r="AT228" s="119">
        <f>IF(OR(F228="",AI228=""),"",IF(AND((F228&lt;=85),(AI228&gt;=15)),"O","X"))</f>
        <v/>
      </c>
      <c r="AU228" s="119">
        <f>IF(C228="","",IF(C228&gt;=$AU$1,"O","X"))</f>
        <v/>
      </c>
      <c r="AV228" s="119">
        <f>IF(AO228="","",IF(AND(AO228="O",AP228="O",AR228="O",AT228="O",AU228="O"),"후보","X"))</f>
        <v/>
      </c>
    </row>
    <row r="229" ht="12" customFormat="1" customHeight="1" s="38">
      <c r="A229" s="122" t="inlineStr">
        <is>
          <t>탑동 탑동힐데스하임</t>
        </is>
      </c>
      <c r="B229" s="123" t="inlineStr">
        <is>
          <t>22.11.</t>
        </is>
      </c>
      <c r="C229" s="131" t="n">
        <v>1298</v>
      </c>
      <c r="D229" s="132" t="n">
        <v>169.3</v>
      </c>
      <c r="E229" s="133" t="n">
        <v>51</v>
      </c>
      <c r="F229" s="132" t="n">
        <v>129.8</v>
      </c>
      <c r="G229" s="17" t="n">
        <v>39</v>
      </c>
      <c r="H229" s="134" t="n">
        <v>76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19" t="n">
        <v>3</v>
      </c>
      <c r="R229" s="119" t="n">
        <v>2</v>
      </c>
      <c r="S229" s="119" t="inlineStr">
        <is>
          <t>계</t>
        </is>
      </c>
      <c r="T229" s="5" t="n">
        <v>169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19">
        <f>S229</f>
        <v/>
      </c>
      <c r="AF229" s="119">
        <f>Q229&amp;"/"&amp;R229</f>
        <v/>
      </c>
      <c r="AH229" s="20">
        <f>IF(A229="","",A229)</f>
        <v/>
      </c>
      <c r="AI229" s="133">
        <f>IF(E229="","",E229)</f>
        <v/>
      </c>
      <c r="AJ229" s="119">
        <f>IF(AI229="","",$AJ$2)</f>
        <v/>
      </c>
      <c r="AK229" s="119" t="inlineStr">
        <is>
          <t>A</t>
        </is>
      </c>
      <c r="AL229" s="119" t="inlineStr">
        <is>
          <t>A+</t>
        </is>
      </c>
      <c r="AM229" s="119" t="inlineStr">
        <is>
          <t>B+</t>
        </is>
      </c>
      <c r="AN229" s="119">
        <f>IF(AI229="","",$AN$2)</f>
        <v/>
      </c>
      <c r="AO229" s="119">
        <f>IF(N229="","",IF(N229&gt;=$AO$1/100,"O","X"))</f>
        <v/>
      </c>
      <c r="AP229" s="119">
        <f>IF(I229="","",IF(I229&lt;=$AP$1,"O","X"))</f>
        <v/>
      </c>
      <c r="AQ229" s="119">
        <f>IF(O229="","",IF(O229&lt;=$AQ$1,"O","X"))</f>
        <v/>
      </c>
      <c r="AR229" s="119">
        <f>IF(M229="","",IF(M229&lt;=$AR$1,"O","X"))</f>
        <v/>
      </c>
      <c r="AS229" s="119" t="inlineStr">
        <is>
          <t>X</t>
        </is>
      </c>
      <c r="AT229" s="119">
        <f>IF(OR(F229="",AI229=""),"",IF(AND((F229&lt;=85),(AI229&gt;=15)),"O","X"))</f>
        <v/>
      </c>
      <c r="AU229" s="119">
        <f>IF(C229="","",IF(C229&gt;=$AU$1,"O","X"))</f>
        <v/>
      </c>
      <c r="AV229" s="119">
        <f>IF(AO229="","",IF(AND(AO229="O",AP229="O",AR229="O",AT229="O",AU229="O"),"후보","X"))</f>
        <v/>
      </c>
    </row>
    <row r="230" ht="12" customFormat="1" customHeight="1" s="38">
      <c r="A230" s="122" t="inlineStr">
        <is>
          <t>탑동 LH청주탑동</t>
        </is>
      </c>
      <c r="B230" s="123" t="inlineStr">
        <is>
          <t>14.03.</t>
        </is>
      </c>
      <c r="C230" s="131" t="n">
        <v>400</v>
      </c>
      <c r="D230" s="132" t="n">
        <v>53</v>
      </c>
      <c r="E230" s="133" t="n">
        <v>16</v>
      </c>
      <c r="F230" s="132" t="n">
        <v>39.9</v>
      </c>
      <c r="G230" s="17" t="n">
        <v>12</v>
      </c>
      <c r="H230" s="134" t="n">
        <v>50</v>
      </c>
      <c r="I230" s="135" t="n">
        <v>13500</v>
      </c>
      <c r="J230" s="135" t="inlineStr">
        <is>
          <t>고</t>
        </is>
      </c>
      <c r="K230" s="135" t="n"/>
      <c r="L230" s="135" t="n"/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19" t="n">
        <v>2</v>
      </c>
      <c r="R230" s="119" t="n">
        <v>1</v>
      </c>
      <c r="S230" s="119" t="inlineStr">
        <is>
          <t>계</t>
        </is>
      </c>
      <c r="T230" s="5" t="inlineStr">
        <is>
          <t>52A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19">
        <f>S230</f>
        <v/>
      </c>
      <c r="AF230" s="119">
        <f>Q230&amp;"/"&amp;R230</f>
        <v/>
      </c>
      <c r="AH230" s="20">
        <f>IF(A230="","",A230)</f>
        <v/>
      </c>
      <c r="AI230" s="133">
        <f>IF(E230="","",E230)</f>
        <v/>
      </c>
      <c r="AJ230" s="119">
        <f>IF(AI230="","",$AJ$2)</f>
        <v/>
      </c>
      <c r="AK230" s="119" t="inlineStr">
        <is>
          <t>A</t>
        </is>
      </c>
      <c r="AL230" s="119" t="inlineStr">
        <is>
          <t>A+</t>
        </is>
      </c>
      <c r="AM230" s="119" t="inlineStr">
        <is>
          <t>B+</t>
        </is>
      </c>
      <c r="AN230" s="119">
        <f>IF(AI230="","",$AN$2)</f>
        <v/>
      </c>
      <c r="AO230" s="119">
        <f>IF(N230="","",IF(N230&gt;=$AO$1/100,"O","X"))</f>
        <v/>
      </c>
      <c r="AP230" s="119">
        <f>IF(I230="","",IF(I230&lt;=$AP$1,"O","X"))</f>
        <v/>
      </c>
      <c r="AQ230" s="119">
        <f>IF(O230="","",IF(O230&lt;=$AQ$1,"O","X"))</f>
        <v/>
      </c>
      <c r="AR230" s="119">
        <f>IF(M230="","",IF(M230&lt;=$AR$1,"O","X"))</f>
        <v/>
      </c>
      <c r="AS230" s="119" t="inlineStr">
        <is>
          <t>X</t>
        </is>
      </c>
      <c r="AT230" s="119">
        <f>IF(OR(F230="",AI230=""),"",IF(AND((F230&lt;=85),(AI230&gt;=15)),"O","X"))</f>
        <v/>
      </c>
      <c r="AU230" s="119">
        <f>IF(C230="","",IF(C230&gt;=$AU$1,"O","X"))</f>
        <v/>
      </c>
      <c r="AV230" s="119">
        <f>IF(AO230="","",IF(AND(AO230="O",AP230="O",AR230="O",AT230="O",AU230="O"),"후보","X"))</f>
        <v/>
      </c>
    </row>
    <row r="231" ht="12" customFormat="1" customHeight="1" s="38">
      <c r="A231" s="122" t="inlineStr">
        <is>
          <t>탑동 LH청주탑동</t>
        </is>
      </c>
      <c r="B231" s="123" t="inlineStr">
        <is>
          <t>14.03.</t>
        </is>
      </c>
      <c r="C231" s="131" t="n">
        <v>400</v>
      </c>
      <c r="D231" s="132" t="n">
        <v>79.5</v>
      </c>
      <c r="E231" s="133" t="n">
        <v>24</v>
      </c>
      <c r="F231" s="132" t="n">
        <v>59.9</v>
      </c>
      <c r="G231" s="17" t="n">
        <v>18</v>
      </c>
      <c r="H231" s="134" t="n">
        <v>36</v>
      </c>
      <c r="I231" s="135" t="n">
        <v>25500</v>
      </c>
      <c r="J231" s="135" t="inlineStr">
        <is>
          <t>5</t>
        </is>
      </c>
      <c r="K231" s="135" t="n"/>
      <c r="L231" s="135" t="n"/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19" t="n">
        <v>3</v>
      </c>
      <c r="R231" s="119" t="n">
        <v>1</v>
      </c>
      <c r="S231" s="119" t="inlineStr">
        <is>
          <t>계</t>
        </is>
      </c>
      <c r="T231" s="5" t="inlineStr">
        <is>
          <t>79A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19">
        <f>S231</f>
        <v/>
      </c>
      <c r="AF231" s="119">
        <f>Q231&amp;"/"&amp;R231</f>
        <v/>
      </c>
      <c r="AH231" s="20">
        <f>IF(A231="","",A231)</f>
        <v/>
      </c>
      <c r="AI231" s="133">
        <f>IF(E231="","",E231)</f>
        <v/>
      </c>
      <c r="AJ231" s="119">
        <f>IF(AI231="","",$AJ$2)</f>
        <v/>
      </c>
      <c r="AK231" s="119" t="inlineStr">
        <is>
          <t>A</t>
        </is>
      </c>
      <c r="AL231" s="119" t="inlineStr">
        <is>
          <t>A+</t>
        </is>
      </c>
      <c r="AM231" s="119" t="inlineStr">
        <is>
          <t>B+</t>
        </is>
      </c>
      <c r="AN231" s="119">
        <f>IF(AI231="","",$AN$2)</f>
        <v/>
      </c>
      <c r="AO231" s="119">
        <f>IF(N231="","",IF(N231&gt;=$AO$1/100,"O","X"))</f>
        <v/>
      </c>
      <c r="AP231" s="119">
        <f>IF(I231="","",IF(I231&lt;=$AP$1,"O","X"))</f>
        <v/>
      </c>
      <c r="AQ231" s="119">
        <f>IF(O231="","",IF(O231&lt;=$AQ$1,"O","X"))</f>
        <v/>
      </c>
      <c r="AR231" s="119">
        <f>IF(M231="","",IF(M231&lt;=$AR$1,"O","X"))</f>
        <v/>
      </c>
      <c r="AS231" s="119" t="inlineStr">
        <is>
          <t>X</t>
        </is>
      </c>
      <c r="AT231" s="119">
        <f>IF(OR(F231="",AI231=""),"",IF(AND((F231&lt;=85),(AI231&gt;=15)),"O","X"))</f>
        <v/>
      </c>
      <c r="AU231" s="119">
        <f>IF(C231="","",IF(C231&gt;=$AU$1,"O","X"))</f>
        <v/>
      </c>
      <c r="AV231" s="119">
        <f>IF(AO231="","",IF(AND(AO231="O",AP231="O",AR231="O",AT231="O",AU231="O"),"후보","X"))</f>
        <v/>
      </c>
    </row>
    <row r="232" ht="12" customFormat="1" customHeight="1" s="38">
      <c r="A232" s="122" t="inlineStr">
        <is>
          <t>탑동 LH청주탑동</t>
        </is>
      </c>
      <c r="B232" s="123" t="inlineStr">
        <is>
          <t>14.03.</t>
        </is>
      </c>
      <c r="C232" s="131" t="n">
        <v>400</v>
      </c>
      <c r="D232" s="132" t="n">
        <v>112.7</v>
      </c>
      <c r="E232" s="133" t="n">
        <v>34</v>
      </c>
      <c r="F232" s="132" t="n">
        <v>84.8</v>
      </c>
      <c r="G232" s="17" t="n">
        <v>26</v>
      </c>
      <c r="H232" s="134" t="n">
        <v>239</v>
      </c>
      <c r="I232" s="135" t="n">
        <v>32000</v>
      </c>
      <c r="J232" s="135" t="inlineStr">
        <is>
          <t>19</t>
        </is>
      </c>
      <c r="K232" s="135" t="n">
        <v>28500</v>
      </c>
      <c r="L232" s="135" t="inlineStr">
        <is>
          <t>9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19" t="n">
        <v>3</v>
      </c>
      <c r="R232" s="119" t="n">
        <v>2</v>
      </c>
      <c r="S232" s="119" t="inlineStr">
        <is>
          <t>계</t>
        </is>
      </c>
      <c r="T232" s="5" t="inlineStr">
        <is>
          <t>112A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19">
        <f>S232</f>
        <v/>
      </c>
      <c r="AF232" s="119">
        <f>Q232&amp;"/"&amp;R232</f>
        <v/>
      </c>
      <c r="AH232" s="20">
        <f>IF(A232="","",A232)</f>
        <v/>
      </c>
      <c r="AI232" s="133">
        <f>IF(E232="","",E232)</f>
        <v/>
      </c>
      <c r="AJ232" s="119">
        <f>IF(AI232="","",$AJ$2)</f>
        <v/>
      </c>
      <c r="AK232" s="119" t="inlineStr">
        <is>
          <t>A</t>
        </is>
      </c>
      <c r="AL232" s="119" t="inlineStr">
        <is>
          <t>A+</t>
        </is>
      </c>
      <c r="AM232" s="119" t="inlineStr">
        <is>
          <t>B+</t>
        </is>
      </c>
      <c r="AN232" s="119">
        <f>IF(AI232="","",$AN$2)</f>
        <v/>
      </c>
      <c r="AO232" s="119">
        <f>IF(N232="","",IF(N232&gt;=$AO$1/100,"O","X"))</f>
        <v/>
      </c>
      <c r="AP232" s="119">
        <f>IF(I232="","",IF(I232&lt;=$AP$1,"O","X"))</f>
        <v/>
      </c>
      <c r="AQ232" s="119">
        <f>IF(O232="","",IF(O232&lt;=$AQ$1,"O","X"))</f>
        <v/>
      </c>
      <c r="AR232" s="119">
        <f>IF(M232="","",IF(M232&lt;=$AR$1,"O","X"))</f>
        <v/>
      </c>
      <c r="AS232" s="119" t="inlineStr">
        <is>
          <t>X</t>
        </is>
      </c>
      <c r="AT232" s="119">
        <f>IF(OR(F232="",AI232=""),"",IF(AND((F232&lt;=85),(AI232&gt;=15)),"O","X"))</f>
        <v/>
      </c>
      <c r="AU232" s="119">
        <f>IF(C232="","",IF(C232&gt;=$AU$1,"O","X"))</f>
        <v/>
      </c>
      <c r="AV232" s="119">
        <f>IF(AO232="","",IF(AND(AO232="O",AP232="O",AR232="O",AT232="O",AU232="O"),"후보","X"))</f>
        <v/>
      </c>
    </row>
    <row r="233" ht="12" customFormat="1" customHeight="1" s="38">
      <c r="A233" s="122" t="inlineStr">
        <is>
          <t>탑동 LH청주탑동</t>
        </is>
      </c>
      <c r="B233" s="123" t="inlineStr">
        <is>
          <t>14.03.</t>
        </is>
      </c>
      <c r="C233" s="131" t="n">
        <v>400</v>
      </c>
      <c r="D233" s="132" t="n">
        <v>112.8</v>
      </c>
      <c r="E233" s="133" t="n">
        <v>34</v>
      </c>
      <c r="F233" s="132" t="n">
        <v>84.90000000000001</v>
      </c>
      <c r="G233" s="17" t="n">
        <v>26</v>
      </c>
      <c r="H233" s="134" t="n">
        <v>57</v>
      </c>
      <c r="I233" s="135" t="n">
        <v>32000</v>
      </c>
      <c r="J233" s="135" t="inlineStr">
        <is>
          <t>고</t>
        </is>
      </c>
      <c r="K233" s="135" t="n"/>
      <c r="L233" s="135" t="n"/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19" t="n">
        <v>3</v>
      </c>
      <c r="R233" s="119" t="n">
        <v>2</v>
      </c>
      <c r="S233" s="119" t="inlineStr">
        <is>
          <t>계</t>
        </is>
      </c>
      <c r="T233" s="5" t="inlineStr">
        <is>
          <t>112B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19">
        <f>S233</f>
        <v/>
      </c>
      <c r="AF233" s="119">
        <f>Q233&amp;"/"&amp;R233</f>
        <v/>
      </c>
      <c r="AH233" s="20">
        <f>IF(A233="","",A233)</f>
        <v/>
      </c>
      <c r="AI233" s="133">
        <f>IF(E233="","",E233)</f>
        <v/>
      </c>
      <c r="AJ233" s="119">
        <f>IF(AI233="","",$AJ$2)</f>
        <v/>
      </c>
      <c r="AK233" s="119" t="inlineStr">
        <is>
          <t>A</t>
        </is>
      </c>
      <c r="AL233" s="119" t="inlineStr">
        <is>
          <t>A+</t>
        </is>
      </c>
      <c r="AM233" s="119" t="inlineStr">
        <is>
          <t>B+</t>
        </is>
      </c>
      <c r="AN233" s="119">
        <f>IF(AI233="","",$AN$2)</f>
        <v/>
      </c>
      <c r="AO233" s="119">
        <f>IF(N233="","",IF(N233&gt;=$AO$1/100,"O","X"))</f>
        <v/>
      </c>
      <c r="AP233" s="119">
        <f>IF(I233="","",IF(I233&lt;=$AP$1,"O","X"))</f>
        <v/>
      </c>
      <c r="AQ233" s="119">
        <f>IF(O233="","",IF(O233&lt;=$AQ$1,"O","X"))</f>
        <v/>
      </c>
      <c r="AR233" s="119">
        <f>IF(M233="","",IF(M233&lt;=$AR$1,"O","X"))</f>
        <v/>
      </c>
      <c r="AS233" s="119" t="inlineStr">
        <is>
          <t>X</t>
        </is>
      </c>
      <c r="AT233" s="119">
        <f>IF(OR(F233="",AI233=""),"",IF(AND((F233&lt;=85),(AI233&gt;=15)),"O","X"))</f>
        <v/>
      </c>
      <c r="AU233" s="119">
        <f>IF(C233="","",IF(C233&gt;=$AU$1,"O","X"))</f>
        <v/>
      </c>
      <c r="AV233" s="119">
        <f>IF(AO233="","",IF(AND(AO233="O",AP233="O",AR233="O",AT233="O",AU233="O"),"후보","X"))</f>
        <v/>
      </c>
    </row>
    <row r="234" ht="12" customFormat="1" customHeight="1" s="38">
      <c r="A234" s="122" t="inlineStr">
        <is>
          <t>탑동 LH청주탑동</t>
        </is>
      </c>
      <c r="B234" s="123" t="inlineStr">
        <is>
          <t>14.03.</t>
        </is>
      </c>
      <c r="C234" s="131" t="n">
        <v>400</v>
      </c>
      <c r="D234" s="132" t="n">
        <v>112.8</v>
      </c>
      <c r="E234" s="133" t="n">
        <v>34</v>
      </c>
      <c r="F234" s="132" t="n">
        <v>84.90000000000001</v>
      </c>
      <c r="G234" s="17" t="n">
        <v>26</v>
      </c>
      <c r="H234" s="134" t="n">
        <v>18</v>
      </c>
      <c r="I234" s="135" t="n">
        <v>32000</v>
      </c>
      <c r="J234" s="135" t="inlineStr">
        <is>
          <t>고</t>
        </is>
      </c>
      <c r="K234" s="135" t="n"/>
      <c r="L234" s="135" t="n"/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19" t="n">
        <v>3</v>
      </c>
      <c r="R234" s="119" t="n">
        <v>2</v>
      </c>
      <c r="S234" s="119" t="inlineStr">
        <is>
          <t>계</t>
        </is>
      </c>
      <c r="T234" s="5" t="inlineStr">
        <is>
          <t>112C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19">
        <f>S234</f>
        <v/>
      </c>
      <c r="AF234" s="119">
        <f>Q234&amp;"/"&amp;R234</f>
        <v/>
      </c>
      <c r="AH234" s="20">
        <f>IF(A234="","",A234)</f>
        <v/>
      </c>
      <c r="AI234" s="133">
        <f>IF(E234="","",E234)</f>
        <v/>
      </c>
      <c r="AJ234" s="119">
        <f>IF(AI234="","",$AJ$2)</f>
        <v/>
      </c>
      <c r="AK234" s="119" t="inlineStr">
        <is>
          <t>A</t>
        </is>
      </c>
      <c r="AL234" s="119" t="inlineStr">
        <is>
          <t>A+</t>
        </is>
      </c>
      <c r="AM234" s="119" t="inlineStr">
        <is>
          <t>B+</t>
        </is>
      </c>
      <c r="AN234" s="119">
        <f>IF(AI234="","",$AN$2)</f>
        <v/>
      </c>
      <c r="AO234" s="119">
        <f>IF(N234="","",IF(N234&gt;=$AO$1/100,"O","X"))</f>
        <v/>
      </c>
      <c r="AP234" s="119">
        <f>IF(I234="","",IF(I234&lt;=$AP$1,"O","X"))</f>
        <v/>
      </c>
      <c r="AQ234" s="119">
        <f>IF(O234="","",IF(O234&lt;=$AQ$1,"O","X"))</f>
        <v/>
      </c>
      <c r="AR234" s="119">
        <f>IF(M234="","",IF(M234&lt;=$AR$1,"O","X"))</f>
        <v/>
      </c>
      <c r="AS234" s="119" t="inlineStr">
        <is>
          <t>X</t>
        </is>
      </c>
      <c r="AT234" s="119">
        <f>IF(OR(F234="",AI234=""),"",IF(AND((F234&lt;=85),(AI234&gt;=15)),"O","X"))</f>
        <v/>
      </c>
      <c r="AU234" s="119">
        <f>IF(C234="","",IF(C234&gt;=$AU$1,"O","X"))</f>
        <v/>
      </c>
      <c r="AV234" s="119">
        <f>IF(AO234="","",IF(AND(AO234="O",AP234="O",AR234="O",AT234="O",AU234="O"),"후보","X"))</f>
        <v/>
      </c>
    </row>
    <row r="235" ht="12" customFormat="1" customHeight="1" s="38">
      <c r="A235" s="122" t="inlineStr">
        <is>
          <t>탑동 현대</t>
        </is>
      </c>
      <c r="B235" s="123" t="inlineStr">
        <is>
          <t>91.04.</t>
        </is>
      </c>
      <c r="C235" s="131" t="n">
        <v>485</v>
      </c>
      <c r="D235" s="132" t="n">
        <v>84</v>
      </c>
      <c r="E235" s="133" t="n">
        <v>25</v>
      </c>
      <c r="F235" s="132" t="n">
        <v>71.2</v>
      </c>
      <c r="G235" s="17" t="n">
        <v>22</v>
      </c>
      <c r="H235" s="134" t="n">
        <v>78</v>
      </c>
      <c r="I235" s="135" t="n"/>
      <c r="J235" s="135" t="n"/>
      <c r="K235" s="135" t="n"/>
      <c r="L235" s="135" t="n"/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19" t="n">
        <v>3</v>
      </c>
      <c r="R235" s="119" t="n">
        <v>1</v>
      </c>
      <c r="S235" s="119" t="inlineStr">
        <is>
          <t>계</t>
        </is>
      </c>
      <c r="T235" s="5" t="n">
        <v>83</v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19">
        <f>S235</f>
        <v/>
      </c>
      <c r="AF235" s="119">
        <f>Q235&amp;"/"&amp;R235</f>
        <v/>
      </c>
      <c r="AH235" s="20">
        <f>IF(A235="","",A235)</f>
        <v/>
      </c>
      <c r="AI235" s="133">
        <f>IF(E235="","",E235)</f>
        <v/>
      </c>
      <c r="AJ235" s="119">
        <f>IF(AI235="","",$AJ$2)</f>
        <v/>
      </c>
      <c r="AK235" s="119" t="inlineStr">
        <is>
          <t>A</t>
        </is>
      </c>
      <c r="AL235" s="119" t="inlineStr">
        <is>
          <t>A+</t>
        </is>
      </c>
      <c r="AM235" s="119" t="inlineStr">
        <is>
          <t>B+</t>
        </is>
      </c>
      <c r="AN235" s="119">
        <f>IF(AI235="","",$AN$2)</f>
        <v/>
      </c>
      <c r="AO235" s="119">
        <f>IF(N235="","",IF(N235&gt;=$AO$1/100,"O","X"))</f>
        <v/>
      </c>
      <c r="AP235" s="119">
        <f>IF(I235="","",IF(I235&lt;=$AP$1,"O","X"))</f>
        <v/>
      </c>
      <c r="AQ235" s="119">
        <f>IF(O235="","",IF(O235&lt;=$AQ$1,"O","X"))</f>
        <v/>
      </c>
      <c r="AR235" s="119">
        <f>IF(M235="","",IF(M235&lt;=$AR$1,"O","X"))</f>
        <v/>
      </c>
      <c r="AS235" s="119" t="inlineStr">
        <is>
          <t>X</t>
        </is>
      </c>
      <c r="AT235" s="119">
        <f>IF(OR(F235="",AI235=""),"",IF(AND((F235&lt;=85),(AI235&gt;=15)),"O","X"))</f>
        <v/>
      </c>
      <c r="AU235" s="119">
        <f>IF(C235="","",IF(C235&gt;=$AU$1,"O","X"))</f>
        <v/>
      </c>
      <c r="AV235" s="119">
        <f>IF(AO235="","",IF(AND(AO235="O",AP235="O",AR235="O",AT235="O",AU235="O"),"후보","X"))</f>
        <v/>
      </c>
    </row>
    <row r="236" ht="12" customFormat="1" customHeight="1" s="38">
      <c r="A236" s="122" t="inlineStr">
        <is>
          <t>탑동 현대</t>
        </is>
      </c>
      <c r="B236" s="123" t="inlineStr">
        <is>
          <t>91.04.</t>
        </is>
      </c>
      <c r="C236" s="131" t="n">
        <v>485</v>
      </c>
      <c r="D236" s="132" t="n">
        <v>100.2</v>
      </c>
      <c r="E236" s="133" t="n">
        <v>30</v>
      </c>
      <c r="F236" s="132" t="n">
        <v>84.90000000000001</v>
      </c>
      <c r="G236" s="17" t="n">
        <v>26</v>
      </c>
      <c r="H236" s="134" t="n">
        <v>407</v>
      </c>
      <c r="I236" s="135" t="n">
        <v>16500</v>
      </c>
      <c r="J236" s="135" t="inlineStr">
        <is>
          <t>13</t>
        </is>
      </c>
      <c r="K236" s="135" t="n"/>
      <c r="L236" s="135" t="n"/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19" t="n">
        <v>3</v>
      </c>
      <c r="R236" s="119" t="n">
        <v>2</v>
      </c>
      <c r="S236" s="119" t="inlineStr">
        <is>
          <t>계</t>
        </is>
      </c>
      <c r="T236" s="5" t="n">
        <v>100</v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19">
        <f>S236</f>
        <v/>
      </c>
      <c r="AF236" s="119">
        <f>Q236&amp;"/"&amp;R236</f>
        <v/>
      </c>
      <c r="AH236" s="20">
        <f>IF(A236="","",A236)</f>
        <v/>
      </c>
      <c r="AI236" s="133">
        <f>IF(E236="","",E236)</f>
        <v/>
      </c>
      <c r="AJ236" s="119">
        <f>IF(AI236="","",$AJ$2)</f>
        <v/>
      </c>
      <c r="AK236" s="119" t="inlineStr">
        <is>
          <t>A</t>
        </is>
      </c>
      <c r="AL236" s="119" t="inlineStr">
        <is>
          <t>A+</t>
        </is>
      </c>
      <c r="AM236" s="119" t="inlineStr">
        <is>
          <t>B+</t>
        </is>
      </c>
      <c r="AN236" s="119">
        <f>IF(AI236="","",$AN$2)</f>
        <v/>
      </c>
      <c r="AO236" s="119">
        <f>IF(N236="","",IF(N236&gt;=$AO$1/100,"O","X"))</f>
        <v/>
      </c>
      <c r="AP236" s="119">
        <f>IF(I236="","",IF(I236&lt;=$AP$1,"O","X"))</f>
        <v/>
      </c>
      <c r="AQ236" s="119">
        <f>IF(O236="","",IF(O236&lt;=$AQ$1,"O","X"))</f>
        <v/>
      </c>
      <c r="AR236" s="119">
        <f>IF(M236="","",IF(M236&lt;=$AR$1,"O","X"))</f>
        <v/>
      </c>
      <c r="AS236" s="119" t="inlineStr">
        <is>
          <t>X</t>
        </is>
      </c>
      <c r="AT236" s="119">
        <f>IF(OR(F236="",AI236=""),"",IF(AND((F236&lt;=85),(AI236&gt;=15)),"O","X"))</f>
        <v/>
      </c>
      <c r="AU236" s="119">
        <f>IF(C236="","",IF(C236&gt;=$AU$1,"O","X"))</f>
        <v/>
      </c>
      <c r="AV236" s="119">
        <f>IF(AO236="","",IF(AND(AO236="O",AP236="O",AR236="O",AT236="O",AU236="O"),"후보","X"))</f>
        <v/>
      </c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9" t="n"/>
      <c r="AY237" s="139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9" t="n"/>
      <c r="AY238" s="139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9" t="n"/>
      <c r="AY239" s="139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9" t="n"/>
      <c r="AY240" s="139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9" t="n"/>
      <c r="AY241" s="139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9" t="n"/>
      <c r="AY242" s="139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9" t="n"/>
      <c r="AY243" s="139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9" t="n"/>
      <c r="AY244" s="139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9" t="n"/>
      <c r="AY245" s="139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9" t="n"/>
      <c r="AY246" s="139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9" t="n"/>
      <c r="AY247" s="139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9" t="n"/>
      <c r="AY248" s="139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9" t="n"/>
      <c r="AY249" s="139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9" t="n"/>
      <c r="AY250" s="139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9" t="n"/>
      <c r="AY251" s="139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9" t="n"/>
      <c r="AY252" s="139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9" t="n"/>
      <c r="AY253" s="139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9" t="n"/>
      <c r="AY254" s="139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9" t="n"/>
      <c r="AY255" s="139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9" t="n"/>
      <c r="AY256" s="139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9" t="n"/>
      <c r="AY257" s="139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9" t="n"/>
      <c r="AY258" s="139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9" t="n"/>
      <c r="AY259" s="139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9" t="n"/>
      <c r="AY260" s="139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9" t="n"/>
      <c r="AY261" s="139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9" t="n"/>
      <c r="AY262" s="139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9" t="n"/>
      <c r="AY263" s="139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9" t="n"/>
      <c r="AY264" s="139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9" t="n"/>
      <c r="AY265" s="139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9" t="n"/>
      <c r="AY266" s="139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9" t="n"/>
      <c r="AY267" s="139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9" t="n"/>
      <c r="AY268" s="139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9" t="n"/>
      <c r="AY269" s="139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9" t="n"/>
      <c r="AY270" s="139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9" t="n"/>
      <c r="AY271" s="139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9" t="n"/>
      <c r="AY272" s="139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9" t="n"/>
      <c r="AY273" s="139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9" t="n"/>
      <c r="AY274" s="139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9" t="n"/>
      <c r="AY275" s="139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9" t="n"/>
      <c r="AY276" s="139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9" t="n"/>
      <c r="AY277" s="139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9" t="n"/>
      <c r="AY278" s="139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9" t="n"/>
      <c r="AY279" s="139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9" t="n"/>
      <c r="AY280" s="139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9" t="n"/>
      <c r="AY281" s="139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9" t="n"/>
      <c r="AY282" s="139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9" t="n"/>
      <c r="AY283" s="139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9" t="n"/>
      <c r="AY284" s="139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9" t="n"/>
      <c r="AY285" s="139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9" t="n"/>
      <c r="AY286" s="139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9" t="n"/>
      <c r="AY287" s="139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9" t="n"/>
      <c r="AY288" s="139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9" t="n"/>
      <c r="AY289" s="139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9" t="n"/>
      <c r="AY290" s="139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9" t="n"/>
      <c r="AY291" s="139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9" t="n"/>
      <c r="AY292" s="139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9" t="n"/>
      <c r="AY293" s="139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9" t="n"/>
      <c r="AY294" s="139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9" t="n"/>
      <c r="AY295" s="139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9" t="n"/>
      <c r="AY296" s="139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9" t="n"/>
      <c r="AY297" s="139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9" t="n"/>
      <c r="AY298" s="139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9" t="n"/>
      <c r="AY299" s="139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9" t="n"/>
      <c r="AY300" s="139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9" t="n"/>
      <c r="AY301" s="139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9" t="n"/>
      <c r="AY302" s="139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9" t="n"/>
      <c r="AY303" s="139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9" t="n"/>
      <c r="AY304" s="139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9" t="n"/>
      <c r="AY305" s="139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9" t="n"/>
      <c r="AY306" s="139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9" t="n"/>
      <c r="AY307" s="139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9" t="n"/>
      <c r="AY308" s="139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9" t="n"/>
      <c r="AY309" s="139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9" t="n"/>
      <c r="AY310" s="139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9" t="n"/>
      <c r="AY311" s="139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9" t="n"/>
      <c r="AY312" s="139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9" t="n"/>
      <c r="AY313" s="139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9" t="n"/>
      <c r="AY314" s="139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9" t="n"/>
      <c r="AY315" s="139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9" t="n"/>
      <c r="AY316" s="139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9" t="n"/>
      <c r="AY317" s="139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9" t="n"/>
      <c r="AY318" s="139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9" t="n"/>
      <c r="AY319" s="139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9" t="n"/>
      <c r="AY320" s="139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9" t="n"/>
      <c r="AY321" s="139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9" t="n"/>
      <c r="AY322" s="139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9" t="n"/>
      <c r="AY323" s="139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9" t="n"/>
      <c r="AY324" s="139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9" t="n"/>
      <c r="AY325" s="139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9" t="n"/>
      <c r="AY326" s="139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9" t="n"/>
      <c r="AY327" s="139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9" t="n"/>
      <c r="AY328" s="139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9" t="n"/>
      <c r="AY329" s="139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9" t="n"/>
      <c r="AY330" s="139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9" t="n"/>
      <c r="AY331" s="139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9" t="n"/>
      <c r="AY332" s="139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9" t="n"/>
      <c r="AY333" s="139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9" t="n"/>
      <c r="AY334" s="139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9" t="n"/>
      <c r="AY335" s="139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9" t="n"/>
      <c r="AY336" s="139" t="n"/>
      <c r="AZ336" s="139" t="n"/>
      <c r="BA336" s="119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9" t="n"/>
      <c r="AY337" s="139" t="n"/>
      <c r="AZ337" s="139" t="n"/>
      <c r="BA337" s="119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9" t="n"/>
      <c r="AY338" s="139" t="n"/>
      <c r="AZ338" s="139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9" t="n"/>
      <c r="AY339" s="139" t="n"/>
      <c r="AZ339" s="139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9" t="n"/>
      <c r="AY340" s="139" t="n"/>
      <c r="AZ340" s="139" t="n"/>
      <c r="BA340" s="119" t="n"/>
      <c r="BB340" s="119" t="inlineStr">
        <is>
          <t>10년 이하</t>
        </is>
      </c>
      <c r="BC340" s="119" t="inlineStr">
        <is>
          <t>10~20년</t>
        </is>
      </c>
      <c r="BD340" s="119" t="inlineStr">
        <is>
          <t>20~30년</t>
        </is>
      </c>
      <c r="BE340" s="119" t="inlineStr">
        <is>
          <t>30년 이상</t>
        </is>
      </c>
      <c r="BF340" s="119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9" t="n"/>
      <c r="AY341" s="139" t="n"/>
      <c r="BA341" s="119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9" t="n"/>
      <c r="AY342" s="139" t="n"/>
      <c r="BA342" s="76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9" t="n"/>
      <c r="AY343" s="139" t="n"/>
      <c r="BA343" s="119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9" t="n"/>
      <c r="AY344" s="139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9" t="n"/>
      <c r="AY345" s="139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9" t="n"/>
      <c r="AY346" s="139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9" t="n"/>
      <c r="AY347" s="139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9" t="n"/>
      <c r="AY348" s="139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9" t="n"/>
      <c r="AY349" s="139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9" t="n"/>
      <c r="AY350" s="139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9" t="n"/>
      <c r="AY351" s="139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9" t="n"/>
      <c r="AY352" s="139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9" t="n"/>
      <c r="AY353" s="139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9" t="n"/>
      <c r="AY354" s="139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9" t="n"/>
      <c r="AY355" s="139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9" t="n"/>
      <c r="AY356" s="139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9" t="n"/>
      <c r="AY357" s="139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9" t="n"/>
      <c r="AY358" s="139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9" t="n"/>
      <c r="AY359" s="139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9" t="n"/>
      <c r="AY360" s="139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9" t="n"/>
      <c r="AY361" s="139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9" t="n"/>
      <c r="AY362" s="139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9" t="n"/>
      <c r="AY363" s="139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9" t="n"/>
      <c r="AY364" s="139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9" t="n"/>
      <c r="AY365" s="139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9" t="n"/>
      <c r="AY366" s="139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9" t="n"/>
      <c r="AY367" s="139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9" t="n"/>
      <c r="AY368" s="139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9" t="n"/>
      <c r="AY369" s="139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9" t="n"/>
      <c r="AY370" s="139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9" t="n"/>
      <c r="AY371" s="139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9" t="n"/>
      <c r="AY372" s="139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9" t="n"/>
      <c r="AY373" s="139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9" t="n"/>
      <c r="AY374" s="139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9" t="n"/>
      <c r="AY375" s="139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9" t="n"/>
      <c r="AY376" s="139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9" t="n"/>
      <c r="AY377" s="139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9" t="n"/>
      <c r="AY378" s="139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9" t="n"/>
      <c r="AY379" s="139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9" t="n"/>
      <c r="AY380" s="139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9" t="n"/>
      <c r="AY381" s="139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9" t="n"/>
      <c r="AY382" s="139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9" t="n"/>
      <c r="AY383" s="139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9" t="n"/>
      <c r="AY384" s="139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9" t="n"/>
      <c r="AY385" s="139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9" t="n"/>
      <c r="AY386" s="139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9" t="n"/>
      <c r="AY387" s="139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9" t="n"/>
      <c r="AY388" s="139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9" t="n"/>
      <c r="AY389" s="139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9" t="n"/>
      <c r="AY390" s="139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9" t="n"/>
      <c r="AY391" s="139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9" t="n"/>
      <c r="AY392" s="139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9" t="n"/>
      <c r="AY393" s="139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9" t="n"/>
      <c r="AY394" s="139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9" t="n"/>
      <c r="AY395" s="139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9" t="n"/>
      <c r="AY396" s="139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9" t="n"/>
      <c r="AY397" s="139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9" t="n"/>
      <c r="AY398" s="139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9" t="n"/>
      <c r="AY399" s="139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9" t="n"/>
      <c r="AY400" s="139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9" t="n"/>
      <c r="AY401" s="139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9" t="n"/>
      <c r="AY402" s="139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9" t="n"/>
      <c r="AY403" s="139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9" t="n"/>
      <c r="AY404" s="139" t="n"/>
      <c r="AZ404" s="139" t="n"/>
      <c r="BA404" s="119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9" t="n"/>
      <c r="AY405" s="139" t="n"/>
      <c r="AZ405" s="139" t="n"/>
      <c r="BA405" s="119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9" t="n"/>
      <c r="AY406" s="139" t="n"/>
      <c r="AZ406" s="139" t="n"/>
      <c r="BA406" s="119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9" t="n"/>
      <c r="AY407" s="139" t="n"/>
      <c r="AZ407" s="139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9" t="n"/>
      <c r="AY408" s="139" t="n"/>
      <c r="AZ408" s="139" t="n"/>
      <c r="BA408" s="119" t="n"/>
      <c r="BB408" s="119" t="inlineStr">
        <is>
          <t>10년 이하</t>
        </is>
      </c>
      <c r="BC408" s="119" t="inlineStr">
        <is>
          <t>10~20년</t>
        </is>
      </c>
      <c r="BD408" s="119" t="inlineStr">
        <is>
          <t>20~30년</t>
        </is>
      </c>
      <c r="BE408" s="119" t="inlineStr">
        <is>
          <t>30년 이상</t>
        </is>
      </c>
      <c r="BF408" s="119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9" t="n"/>
      <c r="AY409" s="139" t="n"/>
      <c r="BA409" s="119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9" t="n"/>
      <c r="AY410" s="139" t="n"/>
      <c r="BA410" s="119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9" t="n"/>
      <c r="AY411" s="139" t="n"/>
      <c r="BA411" s="119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9" t="n"/>
      <c r="AY412" s="139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9" t="n"/>
      <c r="AY413" s="139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9" t="n"/>
      <c r="AY414" s="139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9" t="n"/>
      <c r="AY415" s="139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9" t="n"/>
      <c r="AY416" s="139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9" t="n"/>
      <c r="AY417" s="139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9" t="n"/>
      <c r="AY418" s="139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9" t="n"/>
      <c r="AY419" s="139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9" t="n"/>
      <c r="AY420" s="139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9" t="n"/>
      <c r="AY421" s="139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9" t="n"/>
      <c r="AY422" s="139" t="n"/>
      <c r="AZ422" s="139" t="n"/>
      <c r="BA422" s="119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9" t="n"/>
      <c r="AY423" s="139" t="n"/>
      <c r="AZ423" s="139" t="n"/>
      <c r="BA423" s="119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9" t="n"/>
      <c r="AY424" s="139" t="n"/>
      <c r="AZ424" s="139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9" t="n"/>
      <c r="AY425" s="139" t="n"/>
      <c r="AZ425" s="139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9" t="n"/>
      <c r="AY426" s="139" t="n"/>
      <c r="AZ426" s="139" t="n"/>
      <c r="BA426" s="119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9" t="n"/>
      <c r="AY427" s="139" t="n"/>
      <c r="BA427" s="119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9" t="n"/>
      <c r="AY428" s="139" t="n"/>
      <c r="BA428" s="76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9" t="n"/>
      <c r="AY429" s="139" t="n"/>
      <c r="BA429" s="119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9" t="n"/>
      <c r="AY430" s="139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9" t="n"/>
      <c r="AY431" s="139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9" t="n"/>
      <c r="AY432" s="139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9" t="n"/>
      <c r="AY433" s="139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9" t="n"/>
      <c r="AY434" s="139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9" t="n"/>
      <c r="AY435" s="139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9" t="n"/>
      <c r="AY436" s="139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9" t="n"/>
      <c r="AY437" s="139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9" t="n"/>
      <c r="AY438" s="139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9" t="n"/>
      <c r="AY439" s="139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9" t="n"/>
      <c r="AY440" s="139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9" t="n"/>
      <c r="AY441" s="139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9" t="n"/>
      <c r="AY442" s="139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9" t="n"/>
      <c r="AY443" s="139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9" t="n"/>
      <c r="AY444" s="139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9" t="n"/>
      <c r="AY445" s="139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9" t="n"/>
      <c r="AY446" s="139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9" t="n"/>
      <c r="AY447" s="139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9" t="n"/>
      <c r="AY448" s="139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9" t="n"/>
      <c r="AY449" s="139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9" t="n"/>
      <c r="AY450" s="139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9" t="n"/>
      <c r="AY451" s="139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9" t="n"/>
      <c r="AY452" s="139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9" t="n"/>
      <c r="AY453" s="139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9" t="n"/>
      <c r="AY454" s="139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9" t="n"/>
      <c r="AY455" s="139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9" t="n"/>
      <c r="AY456" s="139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9" t="n"/>
      <c r="AY457" s="139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9" t="n"/>
      <c r="AY458" s="139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9" t="n"/>
      <c r="AY459" s="139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9" t="n"/>
      <c r="AY460" s="139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9" t="n"/>
      <c r="AY461" s="139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9" t="n"/>
      <c r="AY462" s="139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9" t="n"/>
      <c r="AY463" s="139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9" t="n"/>
      <c r="AY464" s="139" t="n"/>
      <c r="AZ464" s="139" t="n"/>
      <c r="BA464" s="119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9" t="n"/>
      <c r="AY465" s="139" t="n"/>
      <c r="AZ465" s="139" t="n"/>
      <c r="BA465" s="119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9" t="n"/>
      <c r="AY466" s="139" t="n"/>
      <c r="AZ466" s="139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9" t="n"/>
      <c r="AY467" s="139" t="n"/>
      <c r="AZ467" s="139" t="n"/>
      <c r="BA467" s="119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9" t="n"/>
      <c r="AY468" s="139" t="n"/>
      <c r="AZ468" s="139" t="n"/>
      <c r="BA468" s="119" t="n"/>
      <c r="BB468" s="119" t="inlineStr">
        <is>
          <t>10년 이하</t>
        </is>
      </c>
      <c r="BC468" s="119" t="inlineStr">
        <is>
          <t>10~20년</t>
        </is>
      </c>
      <c r="BD468" s="119" t="inlineStr">
        <is>
          <t>20~30년</t>
        </is>
      </c>
      <c r="BE468" s="119" t="inlineStr">
        <is>
          <t>30년 이상</t>
        </is>
      </c>
      <c r="BF468" s="119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9" t="n"/>
      <c r="AY469" s="139" t="n"/>
      <c r="AZ469" s="139" t="n"/>
      <c r="BA469" s="119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9" t="n"/>
      <c r="AY470" s="139" t="n"/>
      <c r="BA470" s="119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9" t="n"/>
      <c r="AY471" s="139" t="n"/>
      <c r="BA471" s="76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9" t="n"/>
      <c r="AY472" s="139" t="n"/>
      <c r="BA472" s="119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9" t="n"/>
      <c r="AY473" s="139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9" t="n"/>
      <c r="AY474" s="139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9" t="n"/>
      <c r="AY475" s="139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9" t="n"/>
      <c r="AY476" s="139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9" t="n"/>
      <c r="AY477" s="139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9" t="n"/>
      <c r="AY478" s="139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9" t="n"/>
      <c r="AY479" s="139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9" t="n"/>
      <c r="AY480" s="139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9" t="n"/>
      <c r="AY481" s="139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9" t="n"/>
      <c r="AY482" s="139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9" t="n"/>
      <c r="AY483" s="139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9" t="n"/>
      <c r="AY484" s="139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9" t="n"/>
      <c r="AY485" s="139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9" t="n"/>
      <c r="AY486" s="139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9" t="n"/>
      <c r="AY487" s="139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9" t="n"/>
      <c r="AY488" s="139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9" t="n"/>
      <c r="AY489" s="139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9" t="n"/>
      <c r="AY490" s="139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9" t="n"/>
      <c r="AY491" s="139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9" t="n"/>
      <c r="AY492" s="139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9" t="n"/>
      <c r="AY493" s="139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9" t="n"/>
      <c r="AY494" s="139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9" t="n"/>
      <c r="AY495" s="139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9" t="n"/>
      <c r="AY496" s="139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9" t="n"/>
      <c r="AY497" s="139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9" t="n"/>
      <c r="AY498" s="139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9" t="n"/>
      <c r="AY499" s="139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9" t="n"/>
      <c r="AY500" s="139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9" t="n"/>
      <c r="AY501" s="139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9" t="n"/>
      <c r="AY502" s="139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9" t="n"/>
      <c r="AY503" s="139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9" t="n"/>
      <c r="AY504" s="139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9" t="n"/>
      <c r="AY505" s="139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9" t="n"/>
      <c r="AY506" s="139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9" t="n"/>
      <c r="AY507" s="139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9" t="n"/>
      <c r="AY508" s="139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9" t="n"/>
      <c r="AY509" s="139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9" t="n"/>
      <c r="AY510" s="139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9" t="n"/>
      <c r="AY511" s="139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9" t="n"/>
      <c r="AY512" s="139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9" t="n"/>
      <c r="AY513" s="139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9" t="n"/>
      <c r="AY514" s="139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9" t="n"/>
      <c r="AY515" s="139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9" t="n"/>
      <c r="AY516" s="139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9" t="n"/>
      <c r="AY517" s="139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9" t="n"/>
      <c r="AY518" s="139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9" t="n"/>
      <c r="AY519" s="139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9" t="n"/>
      <c r="AY520" s="139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9" t="n"/>
      <c r="AY521" s="139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9" t="n"/>
      <c r="AY522" s="139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9" t="n"/>
      <c r="AY523" s="139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9" t="n"/>
      <c r="AY524" s="139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9" t="n"/>
      <c r="AY525" s="139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9" t="n"/>
      <c r="AY526" s="139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9" t="n"/>
      <c r="AY527" s="139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9" t="n"/>
      <c r="AY528" s="139" t="n"/>
      <c r="AZ528" s="139" t="n"/>
      <c r="BA528" s="119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9" t="n"/>
      <c r="AY529" s="139" t="n"/>
      <c r="AZ529" s="139" t="n"/>
      <c r="BA529" s="119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9" t="n"/>
      <c r="AY530" s="139" t="n"/>
      <c r="AZ530" s="139" t="n"/>
      <c r="BA530" s="119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9" t="n"/>
      <c r="AY531" s="139" t="n"/>
      <c r="AZ531" s="139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9" t="n"/>
      <c r="AY532" s="139" t="n"/>
      <c r="AZ532" s="139" t="n"/>
      <c r="BA532" s="119" t="n"/>
      <c r="BB532" s="119" t="inlineStr">
        <is>
          <t>10년 이하</t>
        </is>
      </c>
      <c r="BC532" s="119" t="inlineStr">
        <is>
          <t>10~20년</t>
        </is>
      </c>
      <c r="BD532" s="119" t="inlineStr">
        <is>
          <t>20~30년</t>
        </is>
      </c>
      <c r="BE532" s="119" t="inlineStr">
        <is>
          <t>30년 이상</t>
        </is>
      </c>
      <c r="BF532" s="119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9" t="n"/>
      <c r="AY533" s="139" t="n"/>
      <c r="BA533" s="119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9" t="n"/>
      <c r="AY534" s="139" t="n"/>
      <c r="BA534" s="119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9" t="n"/>
      <c r="AY535" s="139" t="n"/>
      <c r="BA535" s="119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9" t="n"/>
      <c r="AY536" s="139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9" t="n"/>
      <c r="AY537" s="139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9" t="n"/>
      <c r="AY538" s="139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3756" operator="lessThan" dxfId="2">
      <formula>15.1</formula>
    </cfRule>
    <cfRule type="cellIs" priority="73757" operator="lessThan" dxfId="9000">
      <formula>18.1</formula>
    </cfRule>
    <cfRule type="cellIs" priority="73758" operator="lessThan" dxfId="8999">
      <formula>21.1</formula>
    </cfRule>
    <cfRule type="cellIs" priority="73759" operator="lessThan" dxfId="8998">
      <formula>24.1</formula>
    </cfRule>
    <cfRule type="cellIs" priority="73760" operator="lessThan" dxfId="1">
      <formula>30</formula>
    </cfRule>
    <cfRule type="cellIs" priority="73761" operator="lessThan" dxfId="8996">
      <formula>34.1</formula>
    </cfRule>
  </conditionalFormatting>
  <conditionalFormatting sqref="Z3">
    <cfRule type="colorScale" priority="737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3753" operator="greaterThan" dxfId="17">
      <formula>0.9</formula>
    </cfRule>
    <cfRule type="cellIs" priority="73754" operator="greaterThan" dxfId="16">
      <formula>0.85</formula>
    </cfRule>
  </conditionalFormatting>
  <conditionalFormatting sqref="N2">
    <cfRule type="cellIs" priority="73751" operator="greaterThan" dxfId="17">
      <formula>0.9</formula>
    </cfRule>
    <cfRule type="cellIs" priority="73752" operator="greaterThan" dxfId="16">
      <formula>0.85</formula>
    </cfRule>
  </conditionalFormatting>
  <conditionalFormatting sqref="AV4">
    <cfRule type="expression" priority="4193" dxfId="23">
      <formula>AV4="X"</formula>
    </cfRule>
    <cfRule type="expression" priority="4194" dxfId="22">
      <formula>AV4="후보"</formula>
    </cfRule>
  </conditionalFormatting>
  <conditionalFormatting sqref="AC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">
    <cfRule type="expression" priority="4185" dxfId="3">
      <formula>AND(IF(OR($Q4=1,$Q4=2),1,0),IF($X4&lt;=20,1,0))</formula>
    </cfRule>
    <cfRule type="expression" priority="4186" dxfId="2">
      <formula>AND(IF($Q4=2,1,0),IF($X4&lt;30,1,0))</formula>
    </cfRule>
    <cfRule type="expression" priority="4187" dxfId="1">
      <formula>AND(IF($Q4=3,1,0),IF($X4&lt;30,1,0))</formula>
    </cfRule>
    <cfRule type="expression" priority="4188" dxfId="0">
      <formula>AND(IF($Q4=3,1,IF($Q4=4,1,0)),IF($F4&lt;=85,1,0))</formula>
    </cfRule>
  </conditionalFormatting>
  <conditionalFormatting sqref="X4">
    <cfRule type="expression" priority="4181" dxfId="3">
      <formula>AND(IF(OR($Q4=1,$Q4=2),1,0),IF($X4&lt;=20,1,0))</formula>
    </cfRule>
    <cfRule type="expression" priority="4182" dxfId="2">
      <formula>AND(IF($Q4=2,1,0),IF($X4&lt;30,1,0))</formula>
    </cfRule>
    <cfRule type="expression" priority="4183" dxfId="1">
      <formula>AND(IF($Q4=3,1,0),IF($X4&lt;30,1,0))</formula>
    </cfRule>
    <cfRule type="expression" priority="4184" dxfId="0">
      <formula>AND(IF($Q4=3,1,IF($Q4=4,1,0)),IF($F4&lt;=85,1,0))</formula>
    </cfRule>
  </conditionalFormatting>
  <conditionalFormatting sqref="AI4">
    <cfRule type="expression" priority="4177" dxfId="3">
      <formula>AND(IF(OR($Q4=1,$Q4=2),1,0),IF($X4&lt;=20,1,0))</formula>
    </cfRule>
    <cfRule type="expression" priority="4178" dxfId="2">
      <formula>AND(IF($Q4=2,1,0),IF($X4&lt;30,1,0))</formula>
    </cfRule>
    <cfRule type="expression" priority="4179" dxfId="1">
      <formula>AND(IF($Q4=3,1,0),IF($X4&lt;30,1,0))</formula>
    </cfRule>
    <cfRule type="expression" priority="4180" dxfId="0">
      <formula>AND(IF($Q4=3,1,IF($Q4=4,1,0)),IF($F4&lt;=85,1,0))</formula>
    </cfRule>
  </conditionalFormatting>
  <conditionalFormatting sqref="AV5">
    <cfRule type="expression" priority="4175" dxfId="23">
      <formula>AV5="X"</formula>
    </cfRule>
    <cfRule type="expression" priority="4176" dxfId="22">
      <formula>AV5="후보"</formula>
    </cfRule>
  </conditionalFormatting>
  <conditionalFormatting sqref="AC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">
    <cfRule type="expression" priority="4167" dxfId="3">
      <formula>AND(IF(OR($Q5=1,$Q5=2),1,0),IF($X5&lt;=20,1,0))</formula>
    </cfRule>
    <cfRule type="expression" priority="4168" dxfId="2">
      <formula>AND(IF($Q5=2,1,0),IF($X5&lt;30,1,0))</formula>
    </cfRule>
    <cfRule type="expression" priority="4169" dxfId="1">
      <formula>AND(IF($Q5=3,1,0),IF($X5&lt;30,1,0))</formula>
    </cfRule>
    <cfRule type="expression" priority="4170" dxfId="0">
      <formula>AND(IF($Q5=3,1,IF($Q5=4,1,0)),IF($F5&lt;=85,1,0))</formula>
    </cfRule>
  </conditionalFormatting>
  <conditionalFormatting sqref="X5">
    <cfRule type="expression" priority="4163" dxfId="3">
      <formula>AND(IF(OR($Q5=1,$Q5=2),1,0),IF($X5&lt;=20,1,0))</formula>
    </cfRule>
    <cfRule type="expression" priority="4164" dxfId="2">
      <formula>AND(IF($Q5=2,1,0),IF($X5&lt;30,1,0))</formula>
    </cfRule>
    <cfRule type="expression" priority="4165" dxfId="1">
      <formula>AND(IF($Q5=3,1,0),IF($X5&lt;30,1,0))</formula>
    </cfRule>
    <cfRule type="expression" priority="4166" dxfId="0">
      <formula>AND(IF($Q5=3,1,IF($Q5=4,1,0)),IF($F5&lt;=85,1,0))</formula>
    </cfRule>
  </conditionalFormatting>
  <conditionalFormatting sqref="AI5">
    <cfRule type="expression" priority="4159" dxfId="3">
      <formula>AND(IF(OR($Q5=1,$Q5=2),1,0),IF($X5&lt;=20,1,0))</formula>
    </cfRule>
    <cfRule type="expression" priority="4160" dxfId="2">
      <formula>AND(IF($Q5=2,1,0),IF($X5&lt;30,1,0))</formula>
    </cfRule>
    <cfRule type="expression" priority="4161" dxfId="1">
      <formula>AND(IF($Q5=3,1,0),IF($X5&lt;30,1,0))</formula>
    </cfRule>
    <cfRule type="expression" priority="4162" dxfId="0">
      <formula>AND(IF($Q5=3,1,IF($Q5=4,1,0)),IF($F5&lt;=85,1,0))</formula>
    </cfRule>
  </conditionalFormatting>
  <conditionalFormatting sqref="AV6">
    <cfRule type="expression" priority="4157" dxfId="23">
      <formula>AV6="X"</formula>
    </cfRule>
    <cfRule type="expression" priority="4158" dxfId="22">
      <formula>AV6="후보"</formula>
    </cfRule>
  </conditionalFormatting>
  <conditionalFormatting sqref="AC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">
    <cfRule type="expression" priority="4149" dxfId="3">
      <formula>AND(IF(OR($Q6=1,$Q6=2),1,0),IF($X6&lt;=20,1,0))</formula>
    </cfRule>
    <cfRule type="expression" priority="4150" dxfId="2">
      <formula>AND(IF($Q6=2,1,0),IF($X6&lt;30,1,0))</formula>
    </cfRule>
    <cfRule type="expression" priority="4151" dxfId="1">
      <formula>AND(IF($Q6=3,1,0),IF($X6&lt;30,1,0))</formula>
    </cfRule>
    <cfRule type="expression" priority="4152" dxfId="0">
      <formula>AND(IF($Q6=3,1,IF($Q6=4,1,0)),IF($F6&lt;=85,1,0))</formula>
    </cfRule>
  </conditionalFormatting>
  <conditionalFormatting sqref="X6">
    <cfRule type="expression" priority="4145" dxfId="3">
      <formula>AND(IF(OR($Q6=1,$Q6=2),1,0),IF($X6&lt;=20,1,0))</formula>
    </cfRule>
    <cfRule type="expression" priority="4146" dxfId="2">
      <formula>AND(IF($Q6=2,1,0),IF($X6&lt;30,1,0))</formula>
    </cfRule>
    <cfRule type="expression" priority="4147" dxfId="1">
      <formula>AND(IF($Q6=3,1,0),IF($X6&lt;30,1,0))</formula>
    </cfRule>
    <cfRule type="expression" priority="4148" dxfId="0">
      <formula>AND(IF($Q6=3,1,IF($Q6=4,1,0)),IF($F6&lt;=85,1,0))</formula>
    </cfRule>
  </conditionalFormatting>
  <conditionalFormatting sqref="AI6">
    <cfRule type="expression" priority="4141" dxfId="3">
      <formula>AND(IF(OR($Q6=1,$Q6=2),1,0),IF($X6&lt;=20,1,0))</formula>
    </cfRule>
    <cfRule type="expression" priority="4142" dxfId="2">
      <formula>AND(IF($Q6=2,1,0),IF($X6&lt;30,1,0))</formula>
    </cfRule>
    <cfRule type="expression" priority="4143" dxfId="1">
      <formula>AND(IF($Q6=3,1,0),IF($X6&lt;30,1,0))</formula>
    </cfRule>
    <cfRule type="expression" priority="4144" dxfId="0">
      <formula>AND(IF($Q6=3,1,IF($Q6=4,1,0)),IF($F6&lt;=85,1,0))</formula>
    </cfRule>
  </conditionalFormatting>
  <conditionalFormatting sqref="AV7">
    <cfRule type="expression" priority="4139" dxfId="23">
      <formula>AV7="X"</formula>
    </cfRule>
    <cfRule type="expression" priority="4140" dxfId="22">
      <formula>AV7="후보"</formula>
    </cfRule>
  </conditionalFormatting>
  <conditionalFormatting sqref="AC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X7">
    <cfRule type="expression" priority="4127" dxfId="3">
      <formula>AND(IF(OR($Q7=1,$Q7=2),1,0),IF($X7&lt;=20,1,0))</formula>
    </cfRule>
    <cfRule type="expression" priority="4128" dxfId="2">
      <formula>AND(IF($Q7=2,1,0),IF($X7&lt;30,1,0))</formula>
    </cfRule>
    <cfRule type="expression" priority="4129" dxfId="1">
      <formula>AND(IF($Q7=3,1,0),IF($X7&lt;30,1,0))</formula>
    </cfRule>
    <cfRule type="expression" priority="4130" dxfId="0">
      <formula>AND(IF($Q7=3,1,IF($Q7=4,1,0)),IF($F7&lt;=85,1,0))</formula>
    </cfRule>
  </conditionalFormatting>
  <conditionalFormatting sqref="AI7">
    <cfRule type="expression" priority="4123" dxfId="3">
      <formula>AND(IF(OR($Q7=1,$Q7=2),1,0),IF($X7&lt;=20,1,0))</formula>
    </cfRule>
    <cfRule type="expression" priority="4124" dxfId="2">
      <formula>AND(IF($Q7=2,1,0),IF($X7&lt;30,1,0))</formula>
    </cfRule>
    <cfRule type="expression" priority="4125" dxfId="1">
      <formula>AND(IF($Q7=3,1,0),IF($X7&lt;30,1,0))</formula>
    </cfRule>
    <cfRule type="expression" priority="4126" dxfId="0">
      <formula>AND(IF($Q7=3,1,IF($Q7=4,1,0)),IF($F7&lt;=85,1,0))</formula>
    </cfRule>
  </conditionalFormatting>
  <conditionalFormatting sqref="AV8">
    <cfRule type="expression" priority="4121" dxfId="23">
      <formula>AV8="X"</formula>
    </cfRule>
    <cfRule type="expression" priority="4122" dxfId="22">
      <formula>AV8="후보"</formula>
    </cfRule>
  </conditionalFormatting>
  <conditionalFormatting sqref="AC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">
    <cfRule type="expression" priority="4113" dxfId="3">
      <formula>AND(IF(OR($Q8=1,$Q8=2),1,0),IF($X8&lt;=20,1,0))</formula>
    </cfRule>
    <cfRule type="expression" priority="4114" dxfId="2">
      <formula>AND(IF($Q8=2,1,0),IF($X8&lt;30,1,0))</formula>
    </cfRule>
    <cfRule type="expression" priority="4115" dxfId="1">
      <formula>AND(IF($Q8=3,1,0),IF($X8&lt;30,1,0))</formula>
    </cfRule>
    <cfRule type="expression" priority="4116" dxfId="0">
      <formula>AND(IF($Q8=3,1,IF($Q8=4,1,0)),IF($F8&lt;=85,1,0))</formula>
    </cfRule>
  </conditionalFormatting>
  <conditionalFormatting sqref="X8">
    <cfRule type="expression" priority="4109" dxfId="3">
      <formula>AND(IF(OR($Q8=1,$Q8=2),1,0),IF($X8&lt;=20,1,0))</formula>
    </cfRule>
    <cfRule type="expression" priority="4110" dxfId="2">
      <formula>AND(IF($Q8=2,1,0),IF($X8&lt;30,1,0))</formula>
    </cfRule>
    <cfRule type="expression" priority="4111" dxfId="1">
      <formula>AND(IF($Q8=3,1,0),IF($X8&lt;30,1,0))</formula>
    </cfRule>
    <cfRule type="expression" priority="4112" dxfId="0">
      <formula>AND(IF($Q8=3,1,IF($Q8=4,1,0)),IF($F8&lt;=85,1,0))</formula>
    </cfRule>
  </conditionalFormatting>
  <conditionalFormatting sqref="AI8">
    <cfRule type="expression" priority="4105" dxfId="3">
      <formula>AND(IF(OR($Q8=1,$Q8=2),1,0),IF($X8&lt;=20,1,0))</formula>
    </cfRule>
    <cfRule type="expression" priority="4106" dxfId="2">
      <formula>AND(IF($Q8=2,1,0),IF($X8&lt;30,1,0))</formula>
    </cfRule>
    <cfRule type="expression" priority="4107" dxfId="1">
      <formula>AND(IF($Q8=3,1,0),IF($X8&lt;30,1,0))</formula>
    </cfRule>
    <cfRule type="expression" priority="4108" dxfId="0">
      <formula>AND(IF($Q8=3,1,IF($Q8=4,1,0)),IF($F8&lt;=85,1,0))</formula>
    </cfRule>
  </conditionalFormatting>
  <conditionalFormatting sqref="AV9">
    <cfRule type="expression" priority="4103" dxfId="23">
      <formula>AV9="X"</formula>
    </cfRule>
    <cfRule type="expression" priority="4104" dxfId="22">
      <formula>AV9="후보"</formula>
    </cfRule>
  </conditionalFormatting>
  <conditionalFormatting sqref="AC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9">
    <cfRule type="expression" priority="4095" dxfId="3">
      <formula>AND(IF(OR($Q9=1,$Q9=2),1,0),IF($X9&lt;=20,1,0))</formula>
    </cfRule>
    <cfRule type="expression" priority="4096" dxfId="2">
      <formula>AND(IF($Q9=2,1,0),IF($X9&lt;30,1,0))</formula>
    </cfRule>
    <cfRule type="expression" priority="4097" dxfId="1">
      <formula>AND(IF($Q9=3,1,0),IF($X9&lt;30,1,0))</formula>
    </cfRule>
    <cfRule type="expression" priority="4098" dxfId="0">
      <formula>AND(IF($Q9=3,1,IF($Q9=4,1,0)),IF($F9&lt;=85,1,0))</formula>
    </cfRule>
  </conditionalFormatting>
  <conditionalFormatting sqref="X9">
    <cfRule type="expression" priority="4091" dxfId="3">
      <formula>AND(IF(OR($Q9=1,$Q9=2),1,0),IF($X9&lt;=20,1,0))</formula>
    </cfRule>
    <cfRule type="expression" priority="4092" dxfId="2">
      <formula>AND(IF($Q9=2,1,0),IF($X9&lt;30,1,0))</formula>
    </cfRule>
    <cfRule type="expression" priority="4093" dxfId="1">
      <formula>AND(IF($Q9=3,1,0),IF($X9&lt;30,1,0))</formula>
    </cfRule>
    <cfRule type="expression" priority="4094" dxfId="0">
      <formula>AND(IF($Q9=3,1,IF($Q9=4,1,0)),IF($F9&lt;=85,1,0))</formula>
    </cfRule>
  </conditionalFormatting>
  <conditionalFormatting sqref="AI9">
    <cfRule type="expression" priority="4087" dxfId="3">
      <formula>AND(IF(OR($Q9=1,$Q9=2),1,0),IF($X9&lt;=20,1,0))</formula>
    </cfRule>
    <cfRule type="expression" priority="4088" dxfId="2">
      <formula>AND(IF($Q9=2,1,0),IF($X9&lt;30,1,0))</formula>
    </cfRule>
    <cfRule type="expression" priority="4089" dxfId="1">
      <formula>AND(IF($Q9=3,1,0),IF($X9&lt;30,1,0))</formula>
    </cfRule>
    <cfRule type="expression" priority="4090" dxfId="0">
      <formula>AND(IF($Q9=3,1,IF($Q9=4,1,0)),IF($F9&lt;=85,1,0))</formula>
    </cfRule>
  </conditionalFormatting>
  <conditionalFormatting sqref="AV10">
    <cfRule type="expression" priority="4085" dxfId="23">
      <formula>AV10="X"</formula>
    </cfRule>
    <cfRule type="expression" priority="4086" dxfId="22">
      <formula>AV10="후보"</formula>
    </cfRule>
  </conditionalFormatting>
  <conditionalFormatting sqref="AC1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0">
    <cfRule type="expression" priority="4077" dxfId="3">
      <formula>AND(IF(OR($Q10=1,$Q10=2),1,0),IF($X10&lt;=20,1,0))</formula>
    </cfRule>
    <cfRule type="expression" priority="4078" dxfId="2">
      <formula>AND(IF($Q10=2,1,0),IF($X10&lt;30,1,0))</formula>
    </cfRule>
    <cfRule type="expression" priority="4079" dxfId="1">
      <formula>AND(IF($Q10=3,1,0),IF($X10&lt;30,1,0))</formula>
    </cfRule>
    <cfRule type="expression" priority="4080" dxfId="0">
      <formula>AND(IF($Q10=3,1,IF($Q10=4,1,0)),IF($F10&lt;=85,1,0))</formula>
    </cfRule>
  </conditionalFormatting>
  <conditionalFormatting sqref="X10">
    <cfRule type="expression" priority="4073" dxfId="3">
      <formula>AND(IF(OR($Q10=1,$Q10=2),1,0),IF($X10&lt;=20,1,0))</formula>
    </cfRule>
    <cfRule type="expression" priority="4074" dxfId="2">
      <formula>AND(IF($Q10=2,1,0),IF($X10&lt;30,1,0))</formula>
    </cfRule>
    <cfRule type="expression" priority="4075" dxfId="1">
      <formula>AND(IF($Q10=3,1,0),IF($X10&lt;30,1,0))</formula>
    </cfRule>
    <cfRule type="expression" priority="4076" dxfId="0">
      <formula>AND(IF($Q10=3,1,IF($Q10=4,1,0)),IF($F10&lt;=85,1,0))</formula>
    </cfRule>
  </conditionalFormatting>
  <conditionalFormatting sqref="AI10">
    <cfRule type="expression" priority="4069" dxfId="3">
      <formula>AND(IF(OR($Q10=1,$Q10=2),1,0),IF($X10&lt;=20,1,0))</formula>
    </cfRule>
    <cfRule type="expression" priority="4070" dxfId="2">
      <formula>AND(IF($Q10=2,1,0),IF($X10&lt;30,1,0))</formula>
    </cfRule>
    <cfRule type="expression" priority="4071" dxfId="1">
      <formula>AND(IF($Q10=3,1,0),IF($X10&lt;30,1,0))</formula>
    </cfRule>
    <cfRule type="expression" priority="4072" dxfId="0">
      <formula>AND(IF($Q10=3,1,IF($Q10=4,1,0)),IF($F10&lt;=85,1,0))</formula>
    </cfRule>
  </conditionalFormatting>
  <conditionalFormatting sqref="AV11">
    <cfRule type="expression" priority="4067" dxfId="23">
      <formula>AV11="X"</formula>
    </cfRule>
    <cfRule type="expression" priority="4068" dxfId="22">
      <formula>AV11="후보"</formula>
    </cfRule>
  </conditionalFormatting>
  <conditionalFormatting sqref="AC1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1">
    <cfRule type="expression" priority="4059" dxfId="3">
      <formula>AND(IF(OR($Q11=1,$Q11=2),1,0),IF($X11&lt;=20,1,0))</formula>
    </cfRule>
    <cfRule type="expression" priority="4060" dxfId="2">
      <formula>AND(IF($Q11=2,1,0),IF($X11&lt;30,1,0))</formula>
    </cfRule>
    <cfRule type="expression" priority="4061" dxfId="1">
      <formula>AND(IF($Q11=3,1,0),IF($X11&lt;30,1,0))</formula>
    </cfRule>
    <cfRule type="expression" priority="4062" dxfId="0">
      <formula>AND(IF($Q11=3,1,IF($Q11=4,1,0)),IF($F11&lt;=85,1,0))</formula>
    </cfRule>
  </conditionalFormatting>
  <conditionalFormatting sqref="X11">
    <cfRule type="expression" priority="4055" dxfId="3">
      <formula>AND(IF(OR($Q11=1,$Q11=2),1,0),IF($X11&lt;=20,1,0))</formula>
    </cfRule>
    <cfRule type="expression" priority="4056" dxfId="2">
      <formula>AND(IF($Q11=2,1,0),IF($X11&lt;30,1,0))</formula>
    </cfRule>
    <cfRule type="expression" priority="4057" dxfId="1">
      <formula>AND(IF($Q11=3,1,0),IF($X11&lt;30,1,0))</formula>
    </cfRule>
    <cfRule type="expression" priority="4058" dxfId="0">
      <formula>AND(IF($Q11=3,1,IF($Q11=4,1,0)),IF($F11&lt;=85,1,0))</formula>
    </cfRule>
  </conditionalFormatting>
  <conditionalFormatting sqref="AI11">
    <cfRule type="expression" priority="4051" dxfId="3">
      <formula>AND(IF(OR($Q11=1,$Q11=2),1,0),IF($X11&lt;=20,1,0))</formula>
    </cfRule>
    <cfRule type="expression" priority="4052" dxfId="2">
      <formula>AND(IF($Q11=2,1,0),IF($X11&lt;30,1,0))</formula>
    </cfRule>
    <cfRule type="expression" priority="4053" dxfId="1">
      <formula>AND(IF($Q11=3,1,0),IF($X11&lt;30,1,0))</formula>
    </cfRule>
    <cfRule type="expression" priority="4054" dxfId="0">
      <formula>AND(IF($Q11=3,1,IF($Q11=4,1,0)),IF($F11&lt;=85,1,0))</formula>
    </cfRule>
  </conditionalFormatting>
  <conditionalFormatting sqref="AV12">
    <cfRule type="expression" priority="4049" dxfId="23">
      <formula>AV12="X"</formula>
    </cfRule>
    <cfRule type="expression" priority="4050" dxfId="22">
      <formula>AV12="후보"</formula>
    </cfRule>
  </conditionalFormatting>
  <conditionalFormatting sqref="AC1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2">
    <cfRule type="expression" priority="4041" dxfId="3">
      <formula>AND(IF(OR($Q12=1,$Q12=2),1,0),IF($X12&lt;=20,1,0))</formula>
    </cfRule>
    <cfRule type="expression" priority="4042" dxfId="2">
      <formula>AND(IF($Q12=2,1,0),IF($X12&lt;30,1,0))</formula>
    </cfRule>
    <cfRule type="expression" priority="4043" dxfId="1">
      <formula>AND(IF($Q12=3,1,0),IF($X12&lt;30,1,0))</formula>
    </cfRule>
    <cfRule type="expression" priority="4044" dxfId="0">
      <formula>AND(IF($Q12=3,1,IF($Q12=4,1,0)),IF($F12&lt;=85,1,0))</formula>
    </cfRule>
  </conditionalFormatting>
  <conditionalFormatting sqref="X12">
    <cfRule type="expression" priority="4037" dxfId="3">
      <formula>AND(IF(OR($Q12=1,$Q12=2),1,0),IF($X12&lt;=20,1,0))</formula>
    </cfRule>
    <cfRule type="expression" priority="4038" dxfId="2">
      <formula>AND(IF($Q12=2,1,0),IF($X12&lt;30,1,0))</formula>
    </cfRule>
    <cfRule type="expression" priority="4039" dxfId="1">
      <formula>AND(IF($Q12=3,1,0),IF($X12&lt;30,1,0))</formula>
    </cfRule>
    <cfRule type="expression" priority="4040" dxfId="0">
      <formula>AND(IF($Q12=3,1,IF($Q12=4,1,0)),IF($F12&lt;=85,1,0))</formula>
    </cfRule>
  </conditionalFormatting>
  <conditionalFormatting sqref="AI12">
    <cfRule type="expression" priority="4033" dxfId="3">
      <formula>AND(IF(OR($Q12=1,$Q12=2),1,0),IF($X12&lt;=20,1,0))</formula>
    </cfRule>
    <cfRule type="expression" priority="4034" dxfId="2">
      <formula>AND(IF($Q12=2,1,0),IF($X12&lt;30,1,0))</formula>
    </cfRule>
    <cfRule type="expression" priority="4035" dxfId="1">
      <formula>AND(IF($Q12=3,1,0),IF($X12&lt;30,1,0))</formula>
    </cfRule>
    <cfRule type="expression" priority="4036" dxfId="0">
      <formula>AND(IF($Q12=3,1,IF($Q12=4,1,0)),IF($F12&lt;=85,1,0))</formula>
    </cfRule>
  </conditionalFormatting>
  <conditionalFormatting sqref="AV13">
    <cfRule type="expression" priority="4031" dxfId="23">
      <formula>AV13="X"</formula>
    </cfRule>
    <cfRule type="expression" priority="4032" dxfId="22">
      <formula>AV13="후보"</formula>
    </cfRule>
  </conditionalFormatting>
  <conditionalFormatting sqref="AC1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">
    <cfRule type="expression" priority="4023" dxfId="3">
      <formula>AND(IF(OR($Q13=1,$Q13=2),1,0),IF($X13&lt;=20,1,0))</formula>
    </cfRule>
    <cfRule type="expression" priority="4024" dxfId="2">
      <formula>AND(IF($Q13=2,1,0),IF($X13&lt;30,1,0))</formula>
    </cfRule>
    <cfRule type="expression" priority="4025" dxfId="1">
      <formula>AND(IF($Q13=3,1,0),IF($X13&lt;30,1,0))</formula>
    </cfRule>
    <cfRule type="expression" priority="4026" dxfId="0">
      <formula>AND(IF($Q13=3,1,IF($Q13=4,1,0)),IF($F13&lt;=85,1,0))</formula>
    </cfRule>
  </conditionalFormatting>
  <conditionalFormatting sqref="X13">
    <cfRule type="expression" priority="4019" dxfId="3">
      <formula>AND(IF(OR($Q13=1,$Q13=2),1,0),IF($X13&lt;=20,1,0))</formula>
    </cfRule>
    <cfRule type="expression" priority="4020" dxfId="2">
      <formula>AND(IF($Q13=2,1,0),IF($X13&lt;30,1,0))</formula>
    </cfRule>
    <cfRule type="expression" priority="4021" dxfId="1">
      <formula>AND(IF($Q13=3,1,0),IF($X13&lt;30,1,0))</formula>
    </cfRule>
    <cfRule type="expression" priority="4022" dxfId="0">
      <formula>AND(IF($Q13=3,1,IF($Q13=4,1,0)),IF($F13&lt;=85,1,0))</formula>
    </cfRule>
  </conditionalFormatting>
  <conditionalFormatting sqref="AI13">
    <cfRule type="expression" priority="4015" dxfId="3">
      <formula>AND(IF(OR($Q13=1,$Q13=2),1,0),IF($X13&lt;=20,1,0))</formula>
    </cfRule>
    <cfRule type="expression" priority="4016" dxfId="2">
      <formula>AND(IF($Q13=2,1,0),IF($X13&lt;30,1,0))</formula>
    </cfRule>
    <cfRule type="expression" priority="4017" dxfId="1">
      <formula>AND(IF($Q13=3,1,0),IF($X13&lt;30,1,0))</formula>
    </cfRule>
    <cfRule type="expression" priority="4018" dxfId="0">
      <formula>AND(IF($Q13=3,1,IF($Q13=4,1,0)),IF($F13&lt;=85,1,0))</formula>
    </cfRule>
  </conditionalFormatting>
  <conditionalFormatting sqref="AV14">
    <cfRule type="expression" priority="4013" dxfId="23">
      <formula>AV14="X"</formula>
    </cfRule>
    <cfRule type="expression" priority="4014" dxfId="22">
      <formula>AV14="후보"</formula>
    </cfRule>
  </conditionalFormatting>
  <conditionalFormatting sqref="AC1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">
    <cfRule type="expression" priority="4005" dxfId="3">
      <formula>AND(IF(OR($Q14=1,$Q14=2),1,0),IF($X14&lt;=20,1,0))</formula>
    </cfRule>
    <cfRule type="expression" priority="4006" dxfId="2">
      <formula>AND(IF($Q14=2,1,0),IF($X14&lt;30,1,0))</formula>
    </cfRule>
    <cfRule type="expression" priority="4007" dxfId="1">
      <formula>AND(IF($Q14=3,1,0),IF($X14&lt;30,1,0))</formula>
    </cfRule>
    <cfRule type="expression" priority="4008" dxfId="0">
      <formula>AND(IF($Q14=3,1,IF($Q14=4,1,0)),IF($F14&lt;=85,1,0))</formula>
    </cfRule>
  </conditionalFormatting>
  <conditionalFormatting sqref="X14">
    <cfRule type="expression" priority="4001" dxfId="3">
      <formula>AND(IF(OR($Q14=1,$Q14=2),1,0),IF($X14&lt;=20,1,0))</formula>
    </cfRule>
    <cfRule type="expression" priority="4002" dxfId="2">
      <formula>AND(IF($Q14=2,1,0),IF($X14&lt;30,1,0))</formula>
    </cfRule>
    <cfRule type="expression" priority="4003" dxfId="1">
      <formula>AND(IF($Q14=3,1,0),IF($X14&lt;30,1,0))</formula>
    </cfRule>
    <cfRule type="expression" priority="4004" dxfId="0">
      <formula>AND(IF($Q14=3,1,IF($Q14=4,1,0)),IF($F14&lt;=85,1,0))</formula>
    </cfRule>
  </conditionalFormatting>
  <conditionalFormatting sqref="AI14">
    <cfRule type="expression" priority="3997" dxfId="3">
      <formula>AND(IF(OR($Q14=1,$Q14=2),1,0),IF($X14&lt;=20,1,0))</formula>
    </cfRule>
    <cfRule type="expression" priority="3998" dxfId="2">
      <formula>AND(IF($Q14=2,1,0),IF($X14&lt;30,1,0))</formula>
    </cfRule>
    <cfRule type="expression" priority="3999" dxfId="1">
      <formula>AND(IF($Q14=3,1,0),IF($X14&lt;30,1,0))</formula>
    </cfRule>
    <cfRule type="expression" priority="4000" dxfId="0">
      <formula>AND(IF($Q14=3,1,IF($Q14=4,1,0)),IF($F14&lt;=85,1,0))</formula>
    </cfRule>
  </conditionalFormatting>
  <conditionalFormatting sqref="AV15">
    <cfRule type="expression" priority="3995" dxfId="23">
      <formula>AV15="X"</formula>
    </cfRule>
    <cfRule type="expression" priority="3996" dxfId="22">
      <formula>AV15="후보"</formula>
    </cfRule>
  </conditionalFormatting>
  <conditionalFormatting sqref="AC1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5">
    <cfRule type="expression" priority="3987" dxfId="3">
      <formula>AND(IF(OR($Q15=1,$Q15=2),1,0),IF($X15&lt;=20,1,0))</formula>
    </cfRule>
    <cfRule type="expression" priority="3988" dxfId="2">
      <formula>AND(IF($Q15=2,1,0),IF($X15&lt;30,1,0))</formula>
    </cfRule>
    <cfRule type="expression" priority="3989" dxfId="1">
      <formula>AND(IF($Q15=3,1,0),IF($X15&lt;30,1,0))</formula>
    </cfRule>
    <cfRule type="expression" priority="3990" dxfId="0">
      <formula>AND(IF($Q15=3,1,IF($Q15=4,1,0)),IF($F15&lt;=85,1,0))</formula>
    </cfRule>
  </conditionalFormatting>
  <conditionalFormatting sqref="X15">
    <cfRule type="expression" priority="3983" dxfId="3">
      <formula>AND(IF(OR($Q15=1,$Q15=2),1,0),IF($X15&lt;=20,1,0))</formula>
    </cfRule>
    <cfRule type="expression" priority="3984" dxfId="2">
      <formula>AND(IF($Q15=2,1,0),IF($X15&lt;30,1,0))</formula>
    </cfRule>
    <cfRule type="expression" priority="3985" dxfId="1">
      <formula>AND(IF($Q15=3,1,0),IF($X15&lt;30,1,0))</formula>
    </cfRule>
    <cfRule type="expression" priority="3986" dxfId="0">
      <formula>AND(IF($Q15=3,1,IF($Q15=4,1,0)),IF($F15&lt;=85,1,0))</formula>
    </cfRule>
  </conditionalFormatting>
  <conditionalFormatting sqref="AI15">
    <cfRule type="expression" priority="3979" dxfId="3">
      <formula>AND(IF(OR($Q15=1,$Q15=2),1,0),IF($X15&lt;=20,1,0))</formula>
    </cfRule>
    <cfRule type="expression" priority="3980" dxfId="2">
      <formula>AND(IF($Q15=2,1,0),IF($X15&lt;30,1,0))</formula>
    </cfRule>
    <cfRule type="expression" priority="3981" dxfId="1">
      <formula>AND(IF($Q15=3,1,0),IF($X15&lt;30,1,0))</formula>
    </cfRule>
    <cfRule type="expression" priority="3982" dxfId="0">
      <formula>AND(IF($Q15=3,1,IF($Q15=4,1,0)),IF($F15&lt;=85,1,0))</formula>
    </cfRule>
  </conditionalFormatting>
  <conditionalFormatting sqref="AV16">
    <cfRule type="expression" priority="3977" dxfId="23">
      <formula>AV16="X"</formula>
    </cfRule>
    <cfRule type="expression" priority="3978" dxfId="22">
      <formula>AV16="후보"</formula>
    </cfRule>
  </conditionalFormatting>
  <conditionalFormatting sqref="AC1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6">
    <cfRule type="expression" priority="3969" dxfId="3">
      <formula>AND(IF(OR($Q16=1,$Q16=2),1,0),IF($X16&lt;=20,1,0))</formula>
    </cfRule>
    <cfRule type="expression" priority="3970" dxfId="2">
      <formula>AND(IF($Q16=2,1,0),IF($X16&lt;30,1,0))</formula>
    </cfRule>
    <cfRule type="expression" priority="3971" dxfId="1">
      <formula>AND(IF($Q16=3,1,0),IF($X16&lt;30,1,0))</formula>
    </cfRule>
    <cfRule type="expression" priority="3972" dxfId="0">
      <formula>AND(IF($Q16=3,1,IF($Q16=4,1,0)),IF($F16&lt;=85,1,0))</formula>
    </cfRule>
  </conditionalFormatting>
  <conditionalFormatting sqref="X16">
    <cfRule type="expression" priority="3965" dxfId="3">
      <formula>AND(IF(OR($Q16=1,$Q16=2),1,0),IF($X16&lt;=20,1,0))</formula>
    </cfRule>
    <cfRule type="expression" priority="3966" dxfId="2">
      <formula>AND(IF($Q16=2,1,0),IF($X16&lt;30,1,0))</formula>
    </cfRule>
    <cfRule type="expression" priority="3967" dxfId="1">
      <formula>AND(IF($Q16=3,1,0),IF($X16&lt;30,1,0))</formula>
    </cfRule>
    <cfRule type="expression" priority="3968" dxfId="0">
      <formula>AND(IF($Q16=3,1,IF($Q16=4,1,0)),IF($F16&lt;=85,1,0))</formula>
    </cfRule>
  </conditionalFormatting>
  <conditionalFormatting sqref="AI16">
    <cfRule type="expression" priority="3961" dxfId="3">
      <formula>AND(IF(OR($Q16=1,$Q16=2),1,0),IF($X16&lt;=20,1,0))</formula>
    </cfRule>
    <cfRule type="expression" priority="3962" dxfId="2">
      <formula>AND(IF($Q16=2,1,0),IF($X16&lt;30,1,0))</formula>
    </cfRule>
    <cfRule type="expression" priority="3963" dxfId="1">
      <formula>AND(IF($Q16=3,1,0),IF($X16&lt;30,1,0))</formula>
    </cfRule>
    <cfRule type="expression" priority="3964" dxfId="0">
      <formula>AND(IF($Q16=3,1,IF($Q16=4,1,0)),IF($F16&lt;=85,1,0))</formula>
    </cfRule>
  </conditionalFormatting>
  <conditionalFormatting sqref="AV17">
    <cfRule type="expression" priority="3959" dxfId="23">
      <formula>AV17="X"</formula>
    </cfRule>
    <cfRule type="expression" priority="3960" dxfId="22">
      <formula>AV17="후보"</formula>
    </cfRule>
  </conditionalFormatting>
  <conditionalFormatting sqref="AC1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7">
    <cfRule type="expression" priority="3951" dxfId="3">
      <formula>AND(IF(OR($Q17=1,$Q17=2),1,0),IF($X17&lt;=20,1,0))</formula>
    </cfRule>
    <cfRule type="expression" priority="3952" dxfId="2">
      <formula>AND(IF($Q17=2,1,0),IF($X17&lt;30,1,0))</formula>
    </cfRule>
    <cfRule type="expression" priority="3953" dxfId="1">
      <formula>AND(IF($Q17=3,1,0),IF($X17&lt;30,1,0))</formula>
    </cfRule>
    <cfRule type="expression" priority="3954" dxfId="0">
      <formula>AND(IF($Q17=3,1,IF($Q17=4,1,0)),IF($F17&lt;=85,1,0))</formula>
    </cfRule>
  </conditionalFormatting>
  <conditionalFormatting sqref="X17">
    <cfRule type="expression" priority="3947" dxfId="3">
      <formula>AND(IF(OR($Q17=1,$Q17=2),1,0),IF($X17&lt;=20,1,0))</formula>
    </cfRule>
    <cfRule type="expression" priority="3948" dxfId="2">
      <formula>AND(IF($Q17=2,1,0),IF($X17&lt;30,1,0))</formula>
    </cfRule>
    <cfRule type="expression" priority="3949" dxfId="1">
      <formula>AND(IF($Q17=3,1,0),IF($X17&lt;30,1,0))</formula>
    </cfRule>
    <cfRule type="expression" priority="3950" dxfId="0">
      <formula>AND(IF($Q17=3,1,IF($Q17=4,1,0)),IF($F17&lt;=85,1,0))</formula>
    </cfRule>
  </conditionalFormatting>
  <conditionalFormatting sqref="AI17">
    <cfRule type="expression" priority="3943" dxfId="3">
      <formula>AND(IF(OR($Q17=1,$Q17=2),1,0),IF($X17&lt;=20,1,0))</formula>
    </cfRule>
    <cfRule type="expression" priority="3944" dxfId="2">
      <formula>AND(IF($Q17=2,1,0),IF($X17&lt;30,1,0))</formula>
    </cfRule>
    <cfRule type="expression" priority="3945" dxfId="1">
      <formula>AND(IF($Q17=3,1,0),IF($X17&lt;30,1,0))</formula>
    </cfRule>
    <cfRule type="expression" priority="3946" dxfId="0">
      <formula>AND(IF($Q17=3,1,IF($Q17=4,1,0)),IF($F17&lt;=85,1,0))</formula>
    </cfRule>
  </conditionalFormatting>
  <conditionalFormatting sqref="AV18">
    <cfRule type="expression" priority="3941" dxfId="23">
      <formula>AV18="X"</formula>
    </cfRule>
    <cfRule type="expression" priority="3942" dxfId="22">
      <formula>AV18="후보"</formula>
    </cfRule>
  </conditionalFormatting>
  <conditionalFormatting sqref="AC1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">
    <cfRule type="expression" priority="3933" dxfId="3">
      <formula>AND(IF(OR($Q18=1,$Q18=2),1,0),IF($X18&lt;=20,1,0))</formula>
    </cfRule>
    <cfRule type="expression" priority="3934" dxfId="2">
      <formula>AND(IF($Q18=2,1,0),IF($X18&lt;30,1,0))</formula>
    </cfRule>
    <cfRule type="expression" priority="3935" dxfId="1">
      <formula>AND(IF($Q18=3,1,0),IF($X18&lt;30,1,0))</formula>
    </cfRule>
    <cfRule type="expression" priority="3936" dxfId="0">
      <formula>AND(IF($Q18=3,1,IF($Q18=4,1,0)),IF($F18&lt;=85,1,0))</formula>
    </cfRule>
  </conditionalFormatting>
  <conditionalFormatting sqref="X18">
    <cfRule type="expression" priority="3929" dxfId="3">
      <formula>AND(IF(OR($Q18=1,$Q18=2),1,0),IF($X18&lt;=20,1,0))</formula>
    </cfRule>
    <cfRule type="expression" priority="3930" dxfId="2">
      <formula>AND(IF($Q18=2,1,0),IF($X18&lt;30,1,0))</formula>
    </cfRule>
    <cfRule type="expression" priority="3931" dxfId="1">
      <formula>AND(IF($Q18=3,1,0),IF($X18&lt;30,1,0))</formula>
    </cfRule>
    <cfRule type="expression" priority="3932" dxfId="0">
      <formula>AND(IF($Q18=3,1,IF($Q18=4,1,0)),IF($F18&lt;=85,1,0))</formula>
    </cfRule>
  </conditionalFormatting>
  <conditionalFormatting sqref="AI18">
    <cfRule type="expression" priority="3925" dxfId="3">
      <formula>AND(IF(OR($Q18=1,$Q18=2),1,0),IF($X18&lt;=20,1,0))</formula>
    </cfRule>
    <cfRule type="expression" priority="3926" dxfId="2">
      <formula>AND(IF($Q18=2,1,0),IF($X18&lt;30,1,0))</formula>
    </cfRule>
    <cfRule type="expression" priority="3927" dxfId="1">
      <formula>AND(IF($Q18=3,1,0),IF($X18&lt;30,1,0))</formula>
    </cfRule>
    <cfRule type="expression" priority="3928" dxfId="0">
      <formula>AND(IF($Q18=3,1,IF($Q18=4,1,0)),IF($F18&lt;=85,1,0))</formula>
    </cfRule>
  </conditionalFormatting>
  <conditionalFormatting sqref="AV19">
    <cfRule type="expression" priority="3923" dxfId="23">
      <formula>AV19="X"</formula>
    </cfRule>
    <cfRule type="expression" priority="3924" dxfId="22">
      <formula>AV19="후보"</formula>
    </cfRule>
  </conditionalFormatting>
  <conditionalFormatting sqref="AC1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">
    <cfRule type="expression" priority="3915" dxfId="3">
      <formula>AND(IF(OR($Q19=1,$Q19=2),1,0),IF($X19&lt;=20,1,0))</formula>
    </cfRule>
    <cfRule type="expression" priority="3916" dxfId="2">
      <formula>AND(IF($Q19=2,1,0),IF($X19&lt;30,1,0))</formula>
    </cfRule>
    <cfRule type="expression" priority="3917" dxfId="1">
      <formula>AND(IF($Q19=3,1,0),IF($X19&lt;30,1,0))</formula>
    </cfRule>
    <cfRule type="expression" priority="3918" dxfId="0">
      <formula>AND(IF($Q19=3,1,IF($Q19=4,1,0)),IF($F19&lt;=85,1,0))</formula>
    </cfRule>
  </conditionalFormatting>
  <conditionalFormatting sqref="X19">
    <cfRule type="expression" priority="3911" dxfId="3">
      <formula>AND(IF(OR($Q19=1,$Q19=2),1,0),IF($X19&lt;=20,1,0))</formula>
    </cfRule>
    <cfRule type="expression" priority="3912" dxfId="2">
      <formula>AND(IF($Q19=2,1,0),IF($X19&lt;30,1,0))</formula>
    </cfRule>
    <cfRule type="expression" priority="3913" dxfId="1">
      <formula>AND(IF($Q19=3,1,0),IF($X19&lt;30,1,0))</formula>
    </cfRule>
    <cfRule type="expression" priority="3914" dxfId="0">
      <formula>AND(IF($Q19=3,1,IF($Q19=4,1,0)),IF($F19&lt;=85,1,0))</formula>
    </cfRule>
  </conditionalFormatting>
  <conditionalFormatting sqref="AI19">
    <cfRule type="expression" priority="3907" dxfId="3">
      <formula>AND(IF(OR($Q19=1,$Q19=2),1,0),IF($X19&lt;=20,1,0))</formula>
    </cfRule>
    <cfRule type="expression" priority="3908" dxfId="2">
      <formula>AND(IF($Q19=2,1,0),IF($X19&lt;30,1,0))</formula>
    </cfRule>
    <cfRule type="expression" priority="3909" dxfId="1">
      <formula>AND(IF($Q19=3,1,0),IF($X19&lt;30,1,0))</formula>
    </cfRule>
    <cfRule type="expression" priority="3910" dxfId="0">
      <formula>AND(IF($Q19=3,1,IF($Q19=4,1,0)),IF($F19&lt;=85,1,0))</formula>
    </cfRule>
  </conditionalFormatting>
  <conditionalFormatting sqref="AV20">
    <cfRule type="expression" priority="3905" dxfId="23">
      <formula>AV20="X"</formula>
    </cfRule>
    <cfRule type="expression" priority="3906" dxfId="22">
      <formula>AV20="후보"</formula>
    </cfRule>
  </conditionalFormatting>
  <conditionalFormatting sqref="AC2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0">
    <cfRule type="expression" priority="3897" dxfId="3">
      <formula>AND(IF(OR($Q20=1,$Q20=2),1,0),IF($X20&lt;=20,1,0))</formula>
    </cfRule>
    <cfRule type="expression" priority="3898" dxfId="2">
      <formula>AND(IF($Q20=2,1,0),IF($X20&lt;30,1,0))</formula>
    </cfRule>
    <cfRule type="expression" priority="3899" dxfId="1">
      <formula>AND(IF($Q20=3,1,0),IF($X20&lt;30,1,0))</formula>
    </cfRule>
    <cfRule type="expression" priority="3900" dxfId="0">
      <formula>AND(IF($Q20=3,1,IF($Q20=4,1,0)),IF($F20&lt;=85,1,0))</formula>
    </cfRule>
  </conditionalFormatting>
  <conditionalFormatting sqref="X20">
    <cfRule type="expression" priority="3893" dxfId="3">
      <formula>AND(IF(OR($Q20=1,$Q20=2),1,0),IF($X20&lt;=20,1,0))</formula>
    </cfRule>
    <cfRule type="expression" priority="3894" dxfId="2">
      <formula>AND(IF($Q20=2,1,0),IF($X20&lt;30,1,0))</formula>
    </cfRule>
    <cfRule type="expression" priority="3895" dxfId="1">
      <formula>AND(IF($Q20=3,1,0),IF($X20&lt;30,1,0))</formula>
    </cfRule>
    <cfRule type="expression" priority="3896" dxfId="0">
      <formula>AND(IF($Q20=3,1,IF($Q20=4,1,0)),IF($F20&lt;=85,1,0))</formula>
    </cfRule>
  </conditionalFormatting>
  <conditionalFormatting sqref="AI20">
    <cfRule type="expression" priority="3889" dxfId="3">
      <formula>AND(IF(OR($Q20=1,$Q20=2),1,0),IF($X20&lt;=20,1,0))</formula>
    </cfRule>
    <cfRule type="expression" priority="3890" dxfId="2">
      <formula>AND(IF($Q20=2,1,0),IF($X20&lt;30,1,0))</formula>
    </cfRule>
    <cfRule type="expression" priority="3891" dxfId="1">
      <formula>AND(IF($Q20=3,1,0),IF($X20&lt;30,1,0))</formula>
    </cfRule>
    <cfRule type="expression" priority="3892" dxfId="0">
      <formula>AND(IF($Q20=3,1,IF($Q20=4,1,0)),IF($F20&lt;=85,1,0))</formula>
    </cfRule>
  </conditionalFormatting>
  <conditionalFormatting sqref="AV21">
    <cfRule type="expression" priority="3887" dxfId="23">
      <formula>AV21="X"</formula>
    </cfRule>
    <cfRule type="expression" priority="3888" dxfId="22">
      <formula>AV21="후보"</formula>
    </cfRule>
  </conditionalFormatting>
  <conditionalFormatting sqref="AC2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1">
    <cfRule type="expression" priority="3879" dxfId="3">
      <formula>AND(IF(OR($Q21=1,$Q21=2),1,0),IF($X21&lt;=20,1,0))</formula>
    </cfRule>
    <cfRule type="expression" priority="3880" dxfId="2">
      <formula>AND(IF($Q21=2,1,0),IF($X21&lt;30,1,0))</formula>
    </cfRule>
    <cfRule type="expression" priority="3881" dxfId="1">
      <formula>AND(IF($Q21=3,1,0),IF($X21&lt;30,1,0))</formula>
    </cfRule>
    <cfRule type="expression" priority="3882" dxfId="0">
      <formula>AND(IF($Q21=3,1,IF($Q21=4,1,0)),IF($F21&lt;=85,1,0))</formula>
    </cfRule>
  </conditionalFormatting>
  <conditionalFormatting sqref="X21">
    <cfRule type="expression" priority="3875" dxfId="3">
      <formula>AND(IF(OR($Q21=1,$Q21=2),1,0),IF($X21&lt;=20,1,0))</formula>
    </cfRule>
    <cfRule type="expression" priority="3876" dxfId="2">
      <formula>AND(IF($Q21=2,1,0),IF($X21&lt;30,1,0))</formula>
    </cfRule>
    <cfRule type="expression" priority="3877" dxfId="1">
      <formula>AND(IF($Q21=3,1,0),IF($X21&lt;30,1,0))</formula>
    </cfRule>
    <cfRule type="expression" priority="3878" dxfId="0">
      <formula>AND(IF($Q21=3,1,IF($Q21=4,1,0)),IF($F21&lt;=85,1,0))</formula>
    </cfRule>
  </conditionalFormatting>
  <conditionalFormatting sqref="AI21">
    <cfRule type="expression" priority="3871" dxfId="3">
      <formula>AND(IF(OR($Q21=1,$Q21=2),1,0),IF($X21&lt;=20,1,0))</formula>
    </cfRule>
    <cfRule type="expression" priority="3872" dxfId="2">
      <formula>AND(IF($Q21=2,1,0),IF($X21&lt;30,1,0))</formula>
    </cfRule>
    <cfRule type="expression" priority="3873" dxfId="1">
      <formula>AND(IF($Q21=3,1,0),IF($X21&lt;30,1,0))</formula>
    </cfRule>
    <cfRule type="expression" priority="3874" dxfId="0">
      <formula>AND(IF($Q21=3,1,IF($Q21=4,1,0)),IF($F21&lt;=85,1,0))</formula>
    </cfRule>
  </conditionalFormatting>
  <conditionalFormatting sqref="AV22">
    <cfRule type="expression" priority="3869" dxfId="23">
      <formula>AV22="X"</formula>
    </cfRule>
    <cfRule type="expression" priority="3870" dxfId="22">
      <formula>AV22="후보"</formula>
    </cfRule>
  </conditionalFormatting>
  <conditionalFormatting sqref="AC2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2">
    <cfRule type="expression" priority="3861" dxfId="3">
      <formula>AND(IF(OR($Q22=1,$Q22=2),1,0),IF($X22&lt;=20,1,0))</formula>
    </cfRule>
    <cfRule type="expression" priority="3862" dxfId="2">
      <formula>AND(IF($Q22=2,1,0),IF($X22&lt;30,1,0))</formula>
    </cfRule>
    <cfRule type="expression" priority="3863" dxfId="1">
      <formula>AND(IF($Q22=3,1,0),IF($X22&lt;30,1,0))</formula>
    </cfRule>
    <cfRule type="expression" priority="3864" dxfId="0">
      <formula>AND(IF($Q22=3,1,IF($Q22=4,1,0)),IF($F22&lt;=85,1,0))</formula>
    </cfRule>
  </conditionalFormatting>
  <conditionalFormatting sqref="X22">
    <cfRule type="expression" priority="3857" dxfId="3">
      <formula>AND(IF(OR($Q22=1,$Q22=2),1,0),IF($X22&lt;=20,1,0))</formula>
    </cfRule>
    <cfRule type="expression" priority="3858" dxfId="2">
      <formula>AND(IF($Q22=2,1,0),IF($X22&lt;30,1,0))</formula>
    </cfRule>
    <cfRule type="expression" priority="3859" dxfId="1">
      <formula>AND(IF($Q22=3,1,0),IF($X22&lt;30,1,0))</formula>
    </cfRule>
    <cfRule type="expression" priority="3860" dxfId="0">
      <formula>AND(IF($Q22=3,1,IF($Q22=4,1,0)),IF($F22&lt;=85,1,0))</formula>
    </cfRule>
  </conditionalFormatting>
  <conditionalFormatting sqref="AI22">
    <cfRule type="expression" priority="3853" dxfId="3">
      <formula>AND(IF(OR($Q22=1,$Q22=2),1,0),IF($X22&lt;=20,1,0))</formula>
    </cfRule>
    <cfRule type="expression" priority="3854" dxfId="2">
      <formula>AND(IF($Q22=2,1,0),IF($X22&lt;30,1,0))</formula>
    </cfRule>
    <cfRule type="expression" priority="3855" dxfId="1">
      <formula>AND(IF($Q22=3,1,0),IF($X22&lt;30,1,0))</formula>
    </cfRule>
    <cfRule type="expression" priority="3856" dxfId="0">
      <formula>AND(IF($Q22=3,1,IF($Q22=4,1,0)),IF($F22&lt;=85,1,0))</formula>
    </cfRule>
  </conditionalFormatting>
  <conditionalFormatting sqref="AV23">
    <cfRule type="expression" priority="3851" dxfId="23">
      <formula>AV23="X"</formula>
    </cfRule>
    <cfRule type="expression" priority="3852" dxfId="22">
      <formula>AV23="후보"</formula>
    </cfRule>
  </conditionalFormatting>
  <conditionalFormatting sqref="AC2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">
    <cfRule type="expression" priority="3843" dxfId="3">
      <formula>AND(IF(OR($Q23=1,$Q23=2),1,0),IF($X23&lt;=20,1,0))</formula>
    </cfRule>
    <cfRule type="expression" priority="3844" dxfId="2">
      <formula>AND(IF($Q23=2,1,0),IF($X23&lt;30,1,0))</formula>
    </cfRule>
    <cfRule type="expression" priority="3845" dxfId="1">
      <formula>AND(IF($Q23=3,1,0),IF($X23&lt;30,1,0))</formula>
    </cfRule>
    <cfRule type="expression" priority="3846" dxfId="0">
      <formula>AND(IF($Q23=3,1,IF($Q23=4,1,0)),IF($F23&lt;=85,1,0))</formula>
    </cfRule>
  </conditionalFormatting>
  <conditionalFormatting sqref="X23">
    <cfRule type="expression" priority="3839" dxfId="3">
      <formula>AND(IF(OR($Q23=1,$Q23=2),1,0),IF($X23&lt;=20,1,0))</formula>
    </cfRule>
    <cfRule type="expression" priority="3840" dxfId="2">
      <formula>AND(IF($Q23=2,1,0),IF($X23&lt;30,1,0))</formula>
    </cfRule>
    <cfRule type="expression" priority="3841" dxfId="1">
      <formula>AND(IF($Q23=3,1,0),IF($X23&lt;30,1,0))</formula>
    </cfRule>
    <cfRule type="expression" priority="3842" dxfId="0">
      <formula>AND(IF($Q23=3,1,IF($Q23=4,1,0)),IF($F23&lt;=85,1,0))</formula>
    </cfRule>
  </conditionalFormatting>
  <conditionalFormatting sqref="AI23">
    <cfRule type="expression" priority="3835" dxfId="3">
      <formula>AND(IF(OR($Q23=1,$Q23=2),1,0),IF($X23&lt;=20,1,0))</formula>
    </cfRule>
    <cfRule type="expression" priority="3836" dxfId="2">
      <formula>AND(IF($Q23=2,1,0),IF($X23&lt;30,1,0))</formula>
    </cfRule>
    <cfRule type="expression" priority="3837" dxfId="1">
      <formula>AND(IF($Q23=3,1,0),IF($X23&lt;30,1,0))</formula>
    </cfRule>
    <cfRule type="expression" priority="3838" dxfId="0">
      <formula>AND(IF($Q23=3,1,IF($Q23=4,1,0)),IF($F23&lt;=85,1,0))</formula>
    </cfRule>
  </conditionalFormatting>
  <conditionalFormatting sqref="AV24">
    <cfRule type="expression" priority="3833" dxfId="23">
      <formula>AV24="X"</formula>
    </cfRule>
    <cfRule type="expression" priority="3834" dxfId="22">
      <formula>AV24="후보"</formula>
    </cfRule>
  </conditionalFormatting>
  <conditionalFormatting sqref="AC2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">
    <cfRule type="expression" priority="3825" dxfId="3">
      <formula>AND(IF(OR($Q24=1,$Q24=2),1,0),IF($X24&lt;=20,1,0))</formula>
    </cfRule>
    <cfRule type="expression" priority="3826" dxfId="2">
      <formula>AND(IF($Q24=2,1,0),IF($X24&lt;30,1,0))</formula>
    </cfRule>
    <cfRule type="expression" priority="3827" dxfId="1">
      <formula>AND(IF($Q24=3,1,0),IF($X24&lt;30,1,0))</formula>
    </cfRule>
    <cfRule type="expression" priority="3828" dxfId="0">
      <formula>AND(IF($Q24=3,1,IF($Q24=4,1,0)),IF($F24&lt;=85,1,0))</formula>
    </cfRule>
  </conditionalFormatting>
  <conditionalFormatting sqref="X24">
    <cfRule type="expression" priority="3821" dxfId="3">
      <formula>AND(IF(OR($Q24=1,$Q24=2),1,0),IF($X24&lt;=20,1,0))</formula>
    </cfRule>
    <cfRule type="expression" priority="3822" dxfId="2">
      <formula>AND(IF($Q24=2,1,0),IF($X24&lt;30,1,0))</formula>
    </cfRule>
    <cfRule type="expression" priority="3823" dxfId="1">
      <formula>AND(IF($Q24=3,1,0),IF($X24&lt;30,1,0))</formula>
    </cfRule>
    <cfRule type="expression" priority="3824" dxfId="0">
      <formula>AND(IF($Q24=3,1,IF($Q24=4,1,0)),IF($F24&lt;=85,1,0))</formula>
    </cfRule>
  </conditionalFormatting>
  <conditionalFormatting sqref="AI24">
    <cfRule type="expression" priority="3817" dxfId="3">
      <formula>AND(IF(OR($Q24=1,$Q24=2),1,0),IF($X24&lt;=20,1,0))</formula>
    </cfRule>
    <cfRule type="expression" priority="3818" dxfId="2">
      <formula>AND(IF($Q24=2,1,0),IF($X24&lt;30,1,0))</formula>
    </cfRule>
    <cfRule type="expression" priority="3819" dxfId="1">
      <formula>AND(IF($Q24=3,1,0),IF($X24&lt;30,1,0))</formula>
    </cfRule>
    <cfRule type="expression" priority="3820" dxfId="0">
      <formula>AND(IF($Q24=3,1,IF($Q24=4,1,0)),IF($F24&lt;=85,1,0))</formula>
    </cfRule>
  </conditionalFormatting>
  <conditionalFormatting sqref="AV25">
    <cfRule type="expression" priority="3815" dxfId="23">
      <formula>AV25="X"</formula>
    </cfRule>
    <cfRule type="expression" priority="3816" dxfId="22">
      <formula>AV25="후보"</formula>
    </cfRule>
  </conditionalFormatting>
  <conditionalFormatting sqref="AC2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5">
    <cfRule type="expression" priority="3807" dxfId="3">
      <formula>AND(IF(OR($Q25=1,$Q25=2),1,0),IF($X25&lt;=20,1,0))</formula>
    </cfRule>
    <cfRule type="expression" priority="3808" dxfId="2">
      <formula>AND(IF($Q25=2,1,0),IF($X25&lt;30,1,0))</formula>
    </cfRule>
    <cfRule type="expression" priority="3809" dxfId="1">
      <formula>AND(IF($Q25=3,1,0),IF($X25&lt;30,1,0))</formula>
    </cfRule>
    <cfRule type="expression" priority="3810" dxfId="0">
      <formula>AND(IF($Q25=3,1,IF($Q25=4,1,0)),IF($F25&lt;=85,1,0))</formula>
    </cfRule>
  </conditionalFormatting>
  <conditionalFormatting sqref="X25">
    <cfRule type="expression" priority="3803" dxfId="3">
      <formula>AND(IF(OR($Q25=1,$Q25=2),1,0),IF($X25&lt;=20,1,0))</formula>
    </cfRule>
    <cfRule type="expression" priority="3804" dxfId="2">
      <formula>AND(IF($Q25=2,1,0),IF($X25&lt;30,1,0))</formula>
    </cfRule>
    <cfRule type="expression" priority="3805" dxfId="1">
      <formula>AND(IF($Q25=3,1,0),IF($X25&lt;30,1,0))</formula>
    </cfRule>
    <cfRule type="expression" priority="3806" dxfId="0">
      <formula>AND(IF($Q25=3,1,IF($Q25=4,1,0)),IF($F25&lt;=85,1,0))</formula>
    </cfRule>
  </conditionalFormatting>
  <conditionalFormatting sqref="AI25">
    <cfRule type="expression" priority="3799" dxfId="3">
      <formula>AND(IF(OR($Q25=1,$Q25=2),1,0),IF($X25&lt;=20,1,0))</formula>
    </cfRule>
    <cfRule type="expression" priority="3800" dxfId="2">
      <formula>AND(IF($Q25=2,1,0),IF($X25&lt;30,1,0))</formula>
    </cfRule>
    <cfRule type="expression" priority="3801" dxfId="1">
      <formula>AND(IF($Q25=3,1,0),IF($X25&lt;30,1,0))</formula>
    </cfRule>
    <cfRule type="expression" priority="3802" dxfId="0">
      <formula>AND(IF($Q25=3,1,IF($Q25=4,1,0)),IF($F25&lt;=85,1,0))</formula>
    </cfRule>
  </conditionalFormatting>
  <conditionalFormatting sqref="AV26">
    <cfRule type="expression" priority="3797" dxfId="23">
      <formula>AV26="X"</formula>
    </cfRule>
    <cfRule type="expression" priority="3798" dxfId="22">
      <formula>AV26="후보"</formula>
    </cfRule>
  </conditionalFormatting>
  <conditionalFormatting sqref="AC2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6">
    <cfRule type="expression" priority="3789" dxfId="3">
      <formula>AND(IF(OR($Q26=1,$Q26=2),1,0),IF($X26&lt;=20,1,0))</formula>
    </cfRule>
    <cfRule type="expression" priority="3790" dxfId="2">
      <formula>AND(IF($Q26=2,1,0),IF($X26&lt;30,1,0))</formula>
    </cfRule>
    <cfRule type="expression" priority="3791" dxfId="1">
      <formula>AND(IF($Q26=3,1,0),IF($X26&lt;30,1,0))</formula>
    </cfRule>
    <cfRule type="expression" priority="3792" dxfId="0">
      <formula>AND(IF($Q26=3,1,IF($Q26=4,1,0)),IF($F26&lt;=85,1,0))</formula>
    </cfRule>
  </conditionalFormatting>
  <conditionalFormatting sqref="X26">
    <cfRule type="expression" priority="3785" dxfId="3">
      <formula>AND(IF(OR($Q26=1,$Q26=2),1,0),IF($X26&lt;=20,1,0))</formula>
    </cfRule>
    <cfRule type="expression" priority="3786" dxfId="2">
      <formula>AND(IF($Q26=2,1,0),IF($X26&lt;30,1,0))</formula>
    </cfRule>
    <cfRule type="expression" priority="3787" dxfId="1">
      <formula>AND(IF($Q26=3,1,0),IF($X26&lt;30,1,0))</formula>
    </cfRule>
    <cfRule type="expression" priority="3788" dxfId="0">
      <formula>AND(IF($Q26=3,1,IF($Q26=4,1,0)),IF($F26&lt;=85,1,0))</formula>
    </cfRule>
  </conditionalFormatting>
  <conditionalFormatting sqref="AI26">
    <cfRule type="expression" priority="3781" dxfId="3">
      <formula>AND(IF(OR($Q26=1,$Q26=2),1,0),IF($X26&lt;=20,1,0))</formula>
    </cfRule>
    <cfRule type="expression" priority="3782" dxfId="2">
      <formula>AND(IF($Q26=2,1,0),IF($X26&lt;30,1,0))</formula>
    </cfRule>
    <cfRule type="expression" priority="3783" dxfId="1">
      <formula>AND(IF($Q26=3,1,0),IF($X26&lt;30,1,0))</formula>
    </cfRule>
    <cfRule type="expression" priority="3784" dxfId="0">
      <formula>AND(IF($Q26=3,1,IF($Q26=4,1,0)),IF($F26&lt;=85,1,0))</formula>
    </cfRule>
  </conditionalFormatting>
  <conditionalFormatting sqref="AV27">
    <cfRule type="expression" priority="3779" dxfId="23">
      <formula>AV27="X"</formula>
    </cfRule>
    <cfRule type="expression" priority="3780" dxfId="22">
      <formula>AV27="후보"</formula>
    </cfRule>
  </conditionalFormatting>
  <conditionalFormatting sqref="AC2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">
    <cfRule type="expression" priority="3771" dxfId="3">
      <formula>AND(IF(OR($Q27=1,$Q27=2),1,0),IF($X27&lt;=20,1,0))</formula>
    </cfRule>
    <cfRule type="expression" priority="3772" dxfId="2">
      <formula>AND(IF($Q27=2,1,0),IF($X27&lt;30,1,0))</formula>
    </cfRule>
    <cfRule type="expression" priority="3773" dxfId="1">
      <formula>AND(IF($Q27=3,1,0),IF($X27&lt;30,1,0))</formula>
    </cfRule>
    <cfRule type="expression" priority="3774" dxfId="0">
      <formula>AND(IF($Q27=3,1,IF($Q27=4,1,0)),IF($F27&lt;=85,1,0))</formula>
    </cfRule>
  </conditionalFormatting>
  <conditionalFormatting sqref="X27">
    <cfRule type="expression" priority="3767" dxfId="3">
      <formula>AND(IF(OR($Q27=1,$Q27=2),1,0),IF($X27&lt;=20,1,0))</formula>
    </cfRule>
    <cfRule type="expression" priority="3768" dxfId="2">
      <formula>AND(IF($Q27=2,1,0),IF($X27&lt;30,1,0))</formula>
    </cfRule>
    <cfRule type="expression" priority="3769" dxfId="1">
      <formula>AND(IF($Q27=3,1,0),IF($X27&lt;30,1,0))</formula>
    </cfRule>
    <cfRule type="expression" priority="3770" dxfId="0">
      <formula>AND(IF($Q27=3,1,IF($Q27=4,1,0)),IF($F27&lt;=85,1,0))</formula>
    </cfRule>
  </conditionalFormatting>
  <conditionalFormatting sqref="AI27">
    <cfRule type="expression" priority="3763" dxfId="3">
      <formula>AND(IF(OR($Q27=1,$Q27=2),1,0),IF($X27&lt;=20,1,0))</formula>
    </cfRule>
    <cfRule type="expression" priority="3764" dxfId="2">
      <formula>AND(IF($Q27=2,1,0),IF($X27&lt;30,1,0))</formula>
    </cfRule>
    <cfRule type="expression" priority="3765" dxfId="1">
      <formula>AND(IF($Q27=3,1,0),IF($X27&lt;30,1,0))</formula>
    </cfRule>
    <cfRule type="expression" priority="3766" dxfId="0">
      <formula>AND(IF($Q27=3,1,IF($Q27=4,1,0)),IF($F27&lt;=85,1,0))</formula>
    </cfRule>
  </conditionalFormatting>
  <conditionalFormatting sqref="AV28">
    <cfRule type="expression" priority="3761" dxfId="23">
      <formula>AV28="X"</formula>
    </cfRule>
    <cfRule type="expression" priority="3762" dxfId="22">
      <formula>AV28="후보"</formula>
    </cfRule>
  </conditionalFormatting>
  <conditionalFormatting sqref="AC2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8">
    <cfRule type="expression" priority="3753" dxfId="3">
      <formula>AND(IF(OR($Q28=1,$Q28=2),1,0),IF($X28&lt;=20,1,0))</formula>
    </cfRule>
    <cfRule type="expression" priority="3754" dxfId="2">
      <formula>AND(IF($Q28=2,1,0),IF($X28&lt;30,1,0))</formula>
    </cfRule>
    <cfRule type="expression" priority="3755" dxfId="1">
      <formula>AND(IF($Q28=3,1,0),IF($X28&lt;30,1,0))</formula>
    </cfRule>
    <cfRule type="expression" priority="3756" dxfId="0">
      <formula>AND(IF($Q28=3,1,IF($Q28=4,1,0)),IF($F28&lt;=85,1,0))</formula>
    </cfRule>
  </conditionalFormatting>
  <conditionalFormatting sqref="X28">
    <cfRule type="expression" priority="3749" dxfId="3">
      <formula>AND(IF(OR($Q28=1,$Q28=2),1,0),IF($X28&lt;=20,1,0))</formula>
    </cfRule>
    <cfRule type="expression" priority="3750" dxfId="2">
      <formula>AND(IF($Q28=2,1,0),IF($X28&lt;30,1,0))</formula>
    </cfRule>
    <cfRule type="expression" priority="3751" dxfId="1">
      <formula>AND(IF($Q28=3,1,0),IF($X28&lt;30,1,0))</formula>
    </cfRule>
    <cfRule type="expression" priority="3752" dxfId="0">
      <formula>AND(IF($Q28=3,1,IF($Q28=4,1,0)),IF($F28&lt;=85,1,0))</formula>
    </cfRule>
  </conditionalFormatting>
  <conditionalFormatting sqref="AI28">
    <cfRule type="expression" priority="3745" dxfId="3">
      <formula>AND(IF(OR($Q28=1,$Q28=2),1,0),IF($X28&lt;=20,1,0))</formula>
    </cfRule>
    <cfRule type="expression" priority="3746" dxfId="2">
      <formula>AND(IF($Q28=2,1,0),IF($X28&lt;30,1,0))</formula>
    </cfRule>
    <cfRule type="expression" priority="3747" dxfId="1">
      <formula>AND(IF($Q28=3,1,0),IF($X28&lt;30,1,0))</formula>
    </cfRule>
    <cfRule type="expression" priority="3748" dxfId="0">
      <formula>AND(IF($Q28=3,1,IF($Q28=4,1,0)),IF($F28&lt;=85,1,0))</formula>
    </cfRule>
  </conditionalFormatting>
  <conditionalFormatting sqref="AV29">
    <cfRule type="expression" priority="3743" dxfId="23">
      <formula>AV29="X"</formula>
    </cfRule>
    <cfRule type="expression" priority="3744" dxfId="22">
      <formula>AV29="후보"</formula>
    </cfRule>
  </conditionalFormatting>
  <conditionalFormatting sqref="AC2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9">
    <cfRule type="expression" priority="3735" dxfId="3">
      <formula>AND(IF(OR($Q29=1,$Q29=2),1,0),IF($X29&lt;=20,1,0))</formula>
    </cfRule>
    <cfRule type="expression" priority="3736" dxfId="2">
      <formula>AND(IF($Q29=2,1,0),IF($X29&lt;30,1,0))</formula>
    </cfRule>
    <cfRule type="expression" priority="3737" dxfId="1">
      <formula>AND(IF($Q29=3,1,0),IF($X29&lt;30,1,0))</formula>
    </cfRule>
    <cfRule type="expression" priority="3738" dxfId="0">
      <formula>AND(IF($Q29=3,1,IF($Q29=4,1,0)),IF($F29&lt;=85,1,0))</formula>
    </cfRule>
  </conditionalFormatting>
  <conditionalFormatting sqref="X29">
    <cfRule type="expression" priority="3731" dxfId="3">
      <formula>AND(IF(OR($Q29=1,$Q29=2),1,0),IF($X29&lt;=20,1,0))</formula>
    </cfRule>
    <cfRule type="expression" priority="3732" dxfId="2">
      <formula>AND(IF($Q29=2,1,0),IF($X29&lt;30,1,0))</formula>
    </cfRule>
    <cfRule type="expression" priority="3733" dxfId="1">
      <formula>AND(IF($Q29=3,1,0),IF($X29&lt;30,1,0))</formula>
    </cfRule>
    <cfRule type="expression" priority="3734" dxfId="0">
      <formula>AND(IF($Q29=3,1,IF($Q29=4,1,0)),IF($F29&lt;=85,1,0))</formula>
    </cfRule>
  </conditionalFormatting>
  <conditionalFormatting sqref="AI29">
    <cfRule type="expression" priority="3727" dxfId="3">
      <formula>AND(IF(OR($Q29=1,$Q29=2),1,0),IF($X29&lt;=20,1,0))</formula>
    </cfRule>
    <cfRule type="expression" priority="3728" dxfId="2">
      <formula>AND(IF($Q29=2,1,0),IF($X29&lt;30,1,0))</formula>
    </cfRule>
    <cfRule type="expression" priority="3729" dxfId="1">
      <formula>AND(IF($Q29=3,1,0),IF($X29&lt;30,1,0))</formula>
    </cfRule>
    <cfRule type="expression" priority="3730" dxfId="0">
      <formula>AND(IF($Q29=3,1,IF($Q29=4,1,0)),IF($F29&lt;=85,1,0))</formula>
    </cfRule>
  </conditionalFormatting>
  <conditionalFormatting sqref="AV30">
    <cfRule type="expression" priority="3725" dxfId="23">
      <formula>AV30="X"</formula>
    </cfRule>
    <cfRule type="expression" priority="3726" dxfId="22">
      <formula>AV30="후보"</formula>
    </cfRule>
  </conditionalFormatting>
  <conditionalFormatting sqref="AC3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">
    <cfRule type="expression" priority="3717" dxfId="3">
      <formula>AND(IF(OR($Q30=1,$Q30=2),1,0),IF($X30&lt;=20,1,0))</formula>
    </cfRule>
    <cfRule type="expression" priority="3718" dxfId="2">
      <formula>AND(IF($Q30=2,1,0),IF($X30&lt;30,1,0))</formula>
    </cfRule>
    <cfRule type="expression" priority="3719" dxfId="1">
      <formula>AND(IF($Q30=3,1,0),IF($X30&lt;30,1,0))</formula>
    </cfRule>
    <cfRule type="expression" priority="3720" dxfId="0">
      <formula>AND(IF($Q30=3,1,IF($Q30=4,1,0)),IF($F30&lt;=85,1,0))</formula>
    </cfRule>
  </conditionalFormatting>
  <conditionalFormatting sqref="X30">
    <cfRule type="expression" priority="3713" dxfId="3">
      <formula>AND(IF(OR($Q30=1,$Q30=2),1,0),IF($X30&lt;=20,1,0))</formula>
    </cfRule>
    <cfRule type="expression" priority="3714" dxfId="2">
      <formula>AND(IF($Q30=2,1,0),IF($X30&lt;30,1,0))</formula>
    </cfRule>
    <cfRule type="expression" priority="3715" dxfId="1">
      <formula>AND(IF($Q30=3,1,0),IF($X30&lt;30,1,0))</formula>
    </cfRule>
    <cfRule type="expression" priority="3716" dxfId="0">
      <formula>AND(IF($Q30=3,1,IF($Q30=4,1,0)),IF($F30&lt;=85,1,0))</formula>
    </cfRule>
  </conditionalFormatting>
  <conditionalFormatting sqref="AI30">
    <cfRule type="expression" priority="3709" dxfId="3">
      <formula>AND(IF(OR($Q30=1,$Q30=2),1,0),IF($X30&lt;=20,1,0))</formula>
    </cfRule>
    <cfRule type="expression" priority="3710" dxfId="2">
      <formula>AND(IF($Q30=2,1,0),IF($X30&lt;30,1,0))</formula>
    </cfRule>
    <cfRule type="expression" priority="3711" dxfId="1">
      <formula>AND(IF($Q30=3,1,0),IF($X30&lt;30,1,0))</formula>
    </cfRule>
    <cfRule type="expression" priority="3712" dxfId="0">
      <formula>AND(IF($Q30=3,1,IF($Q30=4,1,0)),IF($F30&lt;=85,1,0))</formula>
    </cfRule>
  </conditionalFormatting>
  <conditionalFormatting sqref="AV31">
    <cfRule type="expression" priority="3707" dxfId="23">
      <formula>AV31="X"</formula>
    </cfRule>
    <cfRule type="expression" priority="3708" dxfId="22">
      <formula>AV31="후보"</formula>
    </cfRule>
  </conditionalFormatting>
  <conditionalFormatting sqref="AC3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1">
    <cfRule type="expression" priority="3699" dxfId="3">
      <formula>AND(IF(OR($Q31=1,$Q31=2),1,0),IF($X31&lt;=20,1,0))</formula>
    </cfRule>
    <cfRule type="expression" priority="3700" dxfId="2">
      <formula>AND(IF($Q31=2,1,0),IF($X31&lt;30,1,0))</formula>
    </cfRule>
    <cfRule type="expression" priority="3701" dxfId="1">
      <formula>AND(IF($Q31=3,1,0),IF($X31&lt;30,1,0))</formula>
    </cfRule>
    <cfRule type="expression" priority="3702" dxfId="0">
      <formula>AND(IF($Q31=3,1,IF($Q31=4,1,0)),IF($F31&lt;=85,1,0))</formula>
    </cfRule>
  </conditionalFormatting>
  <conditionalFormatting sqref="X31">
    <cfRule type="expression" priority="3695" dxfId="3">
      <formula>AND(IF(OR($Q31=1,$Q31=2),1,0),IF($X31&lt;=20,1,0))</formula>
    </cfRule>
    <cfRule type="expression" priority="3696" dxfId="2">
      <formula>AND(IF($Q31=2,1,0),IF($X31&lt;30,1,0))</formula>
    </cfRule>
    <cfRule type="expression" priority="3697" dxfId="1">
      <formula>AND(IF($Q31=3,1,0),IF($X31&lt;30,1,0))</formula>
    </cfRule>
    <cfRule type="expression" priority="3698" dxfId="0">
      <formula>AND(IF($Q31=3,1,IF($Q31=4,1,0)),IF($F31&lt;=85,1,0))</formula>
    </cfRule>
  </conditionalFormatting>
  <conditionalFormatting sqref="AI31">
    <cfRule type="expression" priority="3691" dxfId="3">
      <formula>AND(IF(OR($Q31=1,$Q31=2),1,0),IF($X31&lt;=20,1,0))</formula>
    </cfRule>
    <cfRule type="expression" priority="3692" dxfId="2">
      <formula>AND(IF($Q31=2,1,0),IF($X31&lt;30,1,0))</formula>
    </cfRule>
    <cfRule type="expression" priority="3693" dxfId="1">
      <formula>AND(IF($Q31=3,1,0),IF($X31&lt;30,1,0))</formula>
    </cfRule>
    <cfRule type="expression" priority="3694" dxfId="0">
      <formula>AND(IF($Q31=3,1,IF($Q31=4,1,0)),IF($F31&lt;=85,1,0))</formula>
    </cfRule>
  </conditionalFormatting>
  <conditionalFormatting sqref="AV32">
    <cfRule type="expression" priority="3689" dxfId="23">
      <formula>AV32="X"</formula>
    </cfRule>
    <cfRule type="expression" priority="3690" dxfId="22">
      <formula>AV32="후보"</formula>
    </cfRule>
  </conditionalFormatting>
  <conditionalFormatting sqref="AC3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2">
    <cfRule type="expression" priority="3681" dxfId="3">
      <formula>AND(IF(OR($Q32=1,$Q32=2),1,0),IF($X32&lt;=20,1,0))</formula>
    </cfRule>
    <cfRule type="expression" priority="3682" dxfId="2">
      <formula>AND(IF($Q32=2,1,0),IF($X32&lt;30,1,0))</formula>
    </cfRule>
    <cfRule type="expression" priority="3683" dxfId="1">
      <formula>AND(IF($Q32=3,1,0),IF($X32&lt;30,1,0))</formula>
    </cfRule>
    <cfRule type="expression" priority="3684" dxfId="0">
      <formula>AND(IF($Q32=3,1,IF($Q32=4,1,0)),IF($F32&lt;=85,1,0))</formula>
    </cfRule>
  </conditionalFormatting>
  <conditionalFormatting sqref="X32">
    <cfRule type="expression" priority="3677" dxfId="3">
      <formula>AND(IF(OR($Q32=1,$Q32=2),1,0),IF($X32&lt;=20,1,0))</formula>
    </cfRule>
    <cfRule type="expression" priority="3678" dxfId="2">
      <formula>AND(IF($Q32=2,1,0),IF($X32&lt;30,1,0))</formula>
    </cfRule>
    <cfRule type="expression" priority="3679" dxfId="1">
      <formula>AND(IF($Q32=3,1,0),IF($X32&lt;30,1,0))</formula>
    </cfRule>
    <cfRule type="expression" priority="3680" dxfId="0">
      <formula>AND(IF($Q32=3,1,IF($Q32=4,1,0)),IF($F32&lt;=85,1,0))</formula>
    </cfRule>
  </conditionalFormatting>
  <conditionalFormatting sqref="AI32">
    <cfRule type="expression" priority="3673" dxfId="3">
      <formula>AND(IF(OR($Q32=1,$Q32=2),1,0),IF($X32&lt;=20,1,0))</formula>
    </cfRule>
    <cfRule type="expression" priority="3674" dxfId="2">
      <formula>AND(IF($Q32=2,1,0),IF($X32&lt;30,1,0))</formula>
    </cfRule>
    <cfRule type="expression" priority="3675" dxfId="1">
      <formula>AND(IF($Q32=3,1,0),IF($X32&lt;30,1,0))</formula>
    </cfRule>
    <cfRule type="expression" priority="3676" dxfId="0">
      <formula>AND(IF($Q32=3,1,IF($Q32=4,1,0)),IF($F32&lt;=85,1,0))</formula>
    </cfRule>
  </conditionalFormatting>
  <conditionalFormatting sqref="AV33">
    <cfRule type="expression" priority="3671" dxfId="23">
      <formula>AV33="X"</formula>
    </cfRule>
    <cfRule type="expression" priority="3672" dxfId="22">
      <formula>AV33="후보"</formula>
    </cfRule>
  </conditionalFormatting>
  <conditionalFormatting sqref="AC3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">
    <cfRule type="expression" priority="3663" dxfId="3">
      <formula>AND(IF(OR($Q33=1,$Q33=2),1,0),IF($X33&lt;=20,1,0))</formula>
    </cfRule>
    <cfRule type="expression" priority="3664" dxfId="2">
      <formula>AND(IF($Q33=2,1,0),IF($X33&lt;30,1,0))</formula>
    </cfRule>
    <cfRule type="expression" priority="3665" dxfId="1">
      <formula>AND(IF($Q33=3,1,0),IF($X33&lt;30,1,0))</formula>
    </cfRule>
    <cfRule type="expression" priority="3666" dxfId="0">
      <formula>AND(IF($Q33=3,1,IF($Q33=4,1,0)),IF($F33&lt;=85,1,0))</formula>
    </cfRule>
  </conditionalFormatting>
  <conditionalFormatting sqref="X33">
    <cfRule type="expression" priority="3659" dxfId="3">
      <formula>AND(IF(OR($Q33=1,$Q33=2),1,0),IF($X33&lt;=20,1,0))</formula>
    </cfRule>
    <cfRule type="expression" priority="3660" dxfId="2">
      <formula>AND(IF($Q33=2,1,0),IF($X33&lt;30,1,0))</formula>
    </cfRule>
    <cfRule type="expression" priority="3661" dxfId="1">
      <formula>AND(IF($Q33=3,1,0),IF($X33&lt;30,1,0))</formula>
    </cfRule>
    <cfRule type="expression" priority="3662" dxfId="0">
      <formula>AND(IF($Q33=3,1,IF($Q33=4,1,0)),IF($F33&lt;=85,1,0))</formula>
    </cfRule>
  </conditionalFormatting>
  <conditionalFormatting sqref="AI33">
    <cfRule type="expression" priority="3655" dxfId="3">
      <formula>AND(IF(OR($Q33=1,$Q33=2),1,0),IF($X33&lt;=20,1,0))</formula>
    </cfRule>
    <cfRule type="expression" priority="3656" dxfId="2">
      <formula>AND(IF($Q33=2,1,0),IF($X33&lt;30,1,0))</formula>
    </cfRule>
    <cfRule type="expression" priority="3657" dxfId="1">
      <formula>AND(IF($Q33=3,1,0),IF($X33&lt;30,1,0))</formula>
    </cfRule>
    <cfRule type="expression" priority="3658" dxfId="0">
      <formula>AND(IF($Q33=3,1,IF($Q33=4,1,0)),IF($F33&lt;=85,1,0))</formula>
    </cfRule>
  </conditionalFormatting>
  <conditionalFormatting sqref="AV34">
    <cfRule type="expression" priority="3653" dxfId="23">
      <formula>AV34="X"</formula>
    </cfRule>
    <cfRule type="expression" priority="3654" dxfId="22">
      <formula>AV34="후보"</formula>
    </cfRule>
  </conditionalFormatting>
  <conditionalFormatting sqref="AC3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4">
    <cfRule type="expression" priority="3645" dxfId="3">
      <formula>AND(IF(OR($Q34=1,$Q34=2),1,0),IF($X34&lt;=20,1,0))</formula>
    </cfRule>
    <cfRule type="expression" priority="3646" dxfId="2">
      <formula>AND(IF($Q34=2,1,0),IF($X34&lt;30,1,0))</formula>
    </cfRule>
    <cfRule type="expression" priority="3647" dxfId="1">
      <formula>AND(IF($Q34=3,1,0),IF($X34&lt;30,1,0))</formula>
    </cfRule>
    <cfRule type="expression" priority="3648" dxfId="0">
      <formula>AND(IF($Q34=3,1,IF($Q34=4,1,0)),IF($F34&lt;=85,1,0))</formula>
    </cfRule>
  </conditionalFormatting>
  <conditionalFormatting sqref="X34">
    <cfRule type="expression" priority="3641" dxfId="3">
      <formula>AND(IF(OR($Q34=1,$Q34=2),1,0),IF($X34&lt;=20,1,0))</formula>
    </cfRule>
    <cfRule type="expression" priority="3642" dxfId="2">
      <formula>AND(IF($Q34=2,1,0),IF($X34&lt;30,1,0))</formula>
    </cfRule>
    <cfRule type="expression" priority="3643" dxfId="1">
      <formula>AND(IF($Q34=3,1,0),IF($X34&lt;30,1,0))</formula>
    </cfRule>
    <cfRule type="expression" priority="3644" dxfId="0">
      <formula>AND(IF($Q34=3,1,IF($Q34=4,1,0)),IF($F34&lt;=85,1,0))</formula>
    </cfRule>
  </conditionalFormatting>
  <conditionalFormatting sqref="AI34">
    <cfRule type="expression" priority="3637" dxfId="3">
      <formula>AND(IF(OR($Q34=1,$Q34=2),1,0),IF($X34&lt;=20,1,0))</formula>
    </cfRule>
    <cfRule type="expression" priority="3638" dxfId="2">
      <formula>AND(IF($Q34=2,1,0),IF($X34&lt;30,1,0))</formula>
    </cfRule>
    <cfRule type="expression" priority="3639" dxfId="1">
      <formula>AND(IF($Q34=3,1,0),IF($X34&lt;30,1,0))</formula>
    </cfRule>
    <cfRule type="expression" priority="3640" dxfId="0">
      <formula>AND(IF($Q34=3,1,IF($Q34=4,1,0)),IF($F34&lt;=85,1,0))</formula>
    </cfRule>
  </conditionalFormatting>
  <conditionalFormatting sqref="AV35">
    <cfRule type="expression" priority="3635" dxfId="23">
      <formula>AV35="X"</formula>
    </cfRule>
    <cfRule type="expression" priority="3636" dxfId="22">
      <formula>AV35="후보"</formula>
    </cfRule>
  </conditionalFormatting>
  <conditionalFormatting sqref="AC3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5">
    <cfRule type="expression" priority="3627" dxfId="3">
      <formula>AND(IF(OR($Q35=1,$Q35=2),1,0),IF($X35&lt;=20,1,0))</formula>
    </cfRule>
    <cfRule type="expression" priority="3628" dxfId="2">
      <formula>AND(IF($Q35=2,1,0),IF($X35&lt;30,1,0))</formula>
    </cfRule>
    <cfRule type="expression" priority="3629" dxfId="1">
      <formula>AND(IF($Q35=3,1,0),IF($X35&lt;30,1,0))</formula>
    </cfRule>
    <cfRule type="expression" priority="3630" dxfId="0">
      <formula>AND(IF($Q35=3,1,IF($Q35=4,1,0)),IF($F35&lt;=85,1,0))</formula>
    </cfRule>
  </conditionalFormatting>
  <conditionalFormatting sqref="X35">
    <cfRule type="expression" priority="3623" dxfId="3">
      <formula>AND(IF(OR($Q35=1,$Q35=2),1,0),IF($X35&lt;=20,1,0))</formula>
    </cfRule>
    <cfRule type="expression" priority="3624" dxfId="2">
      <formula>AND(IF($Q35=2,1,0),IF($X35&lt;30,1,0))</formula>
    </cfRule>
    <cfRule type="expression" priority="3625" dxfId="1">
      <formula>AND(IF($Q35=3,1,0),IF($X35&lt;30,1,0))</formula>
    </cfRule>
    <cfRule type="expression" priority="3626" dxfId="0">
      <formula>AND(IF($Q35=3,1,IF($Q35=4,1,0)),IF($F35&lt;=85,1,0))</formula>
    </cfRule>
  </conditionalFormatting>
  <conditionalFormatting sqref="AI35">
    <cfRule type="expression" priority="3619" dxfId="3">
      <formula>AND(IF(OR($Q35=1,$Q35=2),1,0),IF($X35&lt;=20,1,0))</formula>
    </cfRule>
    <cfRule type="expression" priority="3620" dxfId="2">
      <formula>AND(IF($Q35=2,1,0),IF($X35&lt;30,1,0))</formula>
    </cfRule>
    <cfRule type="expression" priority="3621" dxfId="1">
      <formula>AND(IF($Q35=3,1,0),IF($X35&lt;30,1,0))</formula>
    </cfRule>
    <cfRule type="expression" priority="3622" dxfId="0">
      <formula>AND(IF($Q35=3,1,IF($Q35=4,1,0)),IF($F35&lt;=85,1,0))</formula>
    </cfRule>
  </conditionalFormatting>
  <conditionalFormatting sqref="AV36">
    <cfRule type="expression" priority="3617" dxfId="23">
      <formula>AV36="X"</formula>
    </cfRule>
    <cfRule type="expression" priority="3618" dxfId="22">
      <formula>AV36="후보"</formula>
    </cfRule>
  </conditionalFormatting>
  <conditionalFormatting sqref="AC3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">
    <cfRule type="expression" priority="3609" dxfId="3">
      <formula>AND(IF(OR($Q36=1,$Q36=2),1,0),IF($X36&lt;=20,1,0))</formula>
    </cfRule>
    <cfRule type="expression" priority="3610" dxfId="2">
      <formula>AND(IF($Q36=2,1,0),IF($X36&lt;30,1,0))</formula>
    </cfRule>
    <cfRule type="expression" priority="3611" dxfId="1">
      <formula>AND(IF($Q36=3,1,0),IF($X36&lt;30,1,0))</formula>
    </cfRule>
    <cfRule type="expression" priority="3612" dxfId="0">
      <formula>AND(IF($Q36=3,1,IF($Q36=4,1,0)),IF($F36&lt;=85,1,0))</formula>
    </cfRule>
  </conditionalFormatting>
  <conditionalFormatting sqref="X36">
    <cfRule type="expression" priority="3605" dxfId="3">
      <formula>AND(IF(OR($Q36=1,$Q36=2),1,0),IF($X36&lt;=20,1,0))</formula>
    </cfRule>
    <cfRule type="expression" priority="3606" dxfId="2">
      <formula>AND(IF($Q36=2,1,0),IF($X36&lt;30,1,0))</formula>
    </cfRule>
    <cfRule type="expression" priority="3607" dxfId="1">
      <formula>AND(IF($Q36=3,1,0),IF($X36&lt;30,1,0))</formula>
    </cfRule>
    <cfRule type="expression" priority="3608" dxfId="0">
      <formula>AND(IF($Q36=3,1,IF($Q36=4,1,0)),IF($F36&lt;=85,1,0))</formula>
    </cfRule>
  </conditionalFormatting>
  <conditionalFormatting sqref="AI36">
    <cfRule type="expression" priority="3601" dxfId="3">
      <formula>AND(IF(OR($Q36=1,$Q36=2),1,0),IF($X36&lt;=20,1,0))</formula>
    </cfRule>
    <cfRule type="expression" priority="3602" dxfId="2">
      <formula>AND(IF($Q36=2,1,0),IF($X36&lt;30,1,0))</formula>
    </cfRule>
    <cfRule type="expression" priority="3603" dxfId="1">
      <formula>AND(IF($Q36=3,1,0),IF($X36&lt;30,1,0))</formula>
    </cfRule>
    <cfRule type="expression" priority="3604" dxfId="0">
      <formula>AND(IF($Q36=3,1,IF($Q36=4,1,0)),IF($F36&lt;=85,1,0))</formula>
    </cfRule>
  </conditionalFormatting>
  <conditionalFormatting sqref="AV37">
    <cfRule type="expression" priority="3599" dxfId="23">
      <formula>AV37="X"</formula>
    </cfRule>
    <cfRule type="expression" priority="3600" dxfId="22">
      <formula>AV37="후보"</formula>
    </cfRule>
  </conditionalFormatting>
  <conditionalFormatting sqref="AC3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7">
    <cfRule type="expression" priority="3591" dxfId="3">
      <formula>AND(IF(OR($Q37=1,$Q37=2),1,0),IF($X37&lt;=20,1,0))</formula>
    </cfRule>
    <cfRule type="expression" priority="3592" dxfId="2">
      <formula>AND(IF($Q37=2,1,0),IF($X37&lt;30,1,0))</formula>
    </cfRule>
    <cfRule type="expression" priority="3593" dxfId="1">
      <formula>AND(IF($Q37=3,1,0),IF($X37&lt;30,1,0))</formula>
    </cfRule>
    <cfRule type="expression" priority="3594" dxfId="0">
      <formula>AND(IF($Q37=3,1,IF($Q37=4,1,0)),IF($F37&lt;=85,1,0))</formula>
    </cfRule>
  </conditionalFormatting>
  <conditionalFormatting sqref="X37">
    <cfRule type="expression" priority="3587" dxfId="3">
      <formula>AND(IF(OR($Q37=1,$Q37=2),1,0),IF($X37&lt;=20,1,0))</formula>
    </cfRule>
    <cfRule type="expression" priority="3588" dxfId="2">
      <formula>AND(IF($Q37=2,1,0),IF($X37&lt;30,1,0))</formula>
    </cfRule>
    <cfRule type="expression" priority="3589" dxfId="1">
      <formula>AND(IF($Q37=3,1,0),IF($X37&lt;30,1,0))</formula>
    </cfRule>
    <cfRule type="expression" priority="3590" dxfId="0">
      <formula>AND(IF($Q37=3,1,IF($Q37=4,1,0)),IF($F37&lt;=85,1,0))</formula>
    </cfRule>
  </conditionalFormatting>
  <conditionalFormatting sqref="AI37">
    <cfRule type="expression" priority="3583" dxfId="3">
      <formula>AND(IF(OR($Q37=1,$Q37=2),1,0),IF($X37&lt;=20,1,0))</formula>
    </cfRule>
    <cfRule type="expression" priority="3584" dxfId="2">
      <formula>AND(IF($Q37=2,1,0),IF($X37&lt;30,1,0))</formula>
    </cfRule>
    <cfRule type="expression" priority="3585" dxfId="1">
      <formula>AND(IF($Q37=3,1,0),IF($X37&lt;30,1,0))</formula>
    </cfRule>
    <cfRule type="expression" priority="3586" dxfId="0">
      <formula>AND(IF($Q37=3,1,IF($Q37=4,1,0)),IF($F37&lt;=85,1,0))</formula>
    </cfRule>
  </conditionalFormatting>
  <conditionalFormatting sqref="AV38">
    <cfRule type="expression" priority="3581" dxfId="23">
      <formula>AV38="X"</formula>
    </cfRule>
    <cfRule type="expression" priority="3582" dxfId="22">
      <formula>AV38="후보"</formula>
    </cfRule>
  </conditionalFormatting>
  <conditionalFormatting sqref="AC3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8">
    <cfRule type="expression" priority="3573" dxfId="3">
      <formula>AND(IF(OR($Q38=1,$Q38=2),1,0),IF($X38&lt;=20,1,0))</formula>
    </cfRule>
    <cfRule type="expression" priority="3574" dxfId="2">
      <formula>AND(IF($Q38=2,1,0),IF($X38&lt;30,1,0))</formula>
    </cfRule>
    <cfRule type="expression" priority="3575" dxfId="1">
      <formula>AND(IF($Q38=3,1,0),IF($X38&lt;30,1,0))</formula>
    </cfRule>
    <cfRule type="expression" priority="3576" dxfId="0">
      <formula>AND(IF($Q38=3,1,IF($Q38=4,1,0)),IF($F38&lt;=85,1,0))</formula>
    </cfRule>
  </conditionalFormatting>
  <conditionalFormatting sqref="X38">
    <cfRule type="expression" priority="3569" dxfId="3">
      <formula>AND(IF(OR($Q38=1,$Q38=2),1,0),IF($X38&lt;=20,1,0))</formula>
    </cfRule>
    <cfRule type="expression" priority="3570" dxfId="2">
      <formula>AND(IF($Q38=2,1,0),IF($X38&lt;30,1,0))</formula>
    </cfRule>
    <cfRule type="expression" priority="3571" dxfId="1">
      <formula>AND(IF($Q38=3,1,0),IF($X38&lt;30,1,0))</formula>
    </cfRule>
    <cfRule type="expression" priority="3572" dxfId="0">
      <formula>AND(IF($Q38=3,1,IF($Q38=4,1,0)),IF($F38&lt;=85,1,0))</formula>
    </cfRule>
  </conditionalFormatting>
  <conditionalFormatting sqref="AI38">
    <cfRule type="expression" priority="3565" dxfId="3">
      <formula>AND(IF(OR($Q38=1,$Q38=2),1,0),IF($X38&lt;=20,1,0))</formula>
    </cfRule>
    <cfRule type="expression" priority="3566" dxfId="2">
      <formula>AND(IF($Q38=2,1,0),IF($X38&lt;30,1,0))</formula>
    </cfRule>
    <cfRule type="expression" priority="3567" dxfId="1">
      <formula>AND(IF($Q38=3,1,0),IF($X38&lt;30,1,0))</formula>
    </cfRule>
    <cfRule type="expression" priority="3568" dxfId="0">
      <formula>AND(IF($Q38=3,1,IF($Q38=4,1,0)),IF($F38&lt;=85,1,0))</formula>
    </cfRule>
  </conditionalFormatting>
  <conditionalFormatting sqref="AV39">
    <cfRule type="expression" priority="3563" dxfId="23">
      <formula>AV39="X"</formula>
    </cfRule>
    <cfRule type="expression" priority="3564" dxfId="22">
      <formula>AV39="후보"</formula>
    </cfRule>
  </conditionalFormatting>
  <conditionalFormatting sqref="AC3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9">
    <cfRule type="expression" priority="3555" dxfId="3">
      <formula>AND(IF(OR($Q39=1,$Q39=2),1,0),IF($X39&lt;=20,1,0))</formula>
    </cfRule>
    <cfRule type="expression" priority="3556" dxfId="2">
      <formula>AND(IF($Q39=2,1,0),IF($X39&lt;30,1,0))</formula>
    </cfRule>
    <cfRule type="expression" priority="3557" dxfId="1">
      <formula>AND(IF($Q39=3,1,0),IF($X39&lt;30,1,0))</formula>
    </cfRule>
    <cfRule type="expression" priority="3558" dxfId="0">
      <formula>AND(IF($Q39=3,1,IF($Q39=4,1,0)),IF($F39&lt;=85,1,0))</formula>
    </cfRule>
  </conditionalFormatting>
  <conditionalFormatting sqref="X39">
    <cfRule type="expression" priority="3551" dxfId="3">
      <formula>AND(IF(OR($Q39=1,$Q39=2),1,0),IF($X39&lt;=20,1,0))</formula>
    </cfRule>
    <cfRule type="expression" priority="3552" dxfId="2">
      <formula>AND(IF($Q39=2,1,0),IF($X39&lt;30,1,0))</formula>
    </cfRule>
    <cfRule type="expression" priority="3553" dxfId="1">
      <formula>AND(IF($Q39=3,1,0),IF($X39&lt;30,1,0))</formula>
    </cfRule>
    <cfRule type="expression" priority="3554" dxfId="0">
      <formula>AND(IF($Q39=3,1,IF($Q39=4,1,0)),IF($F39&lt;=85,1,0))</formula>
    </cfRule>
  </conditionalFormatting>
  <conditionalFormatting sqref="AI39">
    <cfRule type="expression" priority="3547" dxfId="3">
      <formula>AND(IF(OR($Q39=1,$Q39=2),1,0),IF($X39&lt;=20,1,0))</formula>
    </cfRule>
    <cfRule type="expression" priority="3548" dxfId="2">
      <formula>AND(IF($Q39=2,1,0),IF($X39&lt;30,1,0))</formula>
    </cfRule>
    <cfRule type="expression" priority="3549" dxfId="1">
      <formula>AND(IF($Q39=3,1,0),IF($X39&lt;30,1,0))</formula>
    </cfRule>
    <cfRule type="expression" priority="3550" dxfId="0">
      <formula>AND(IF($Q39=3,1,IF($Q39=4,1,0)),IF($F39&lt;=85,1,0))</formula>
    </cfRule>
  </conditionalFormatting>
  <conditionalFormatting sqref="AV40">
    <cfRule type="expression" priority="3545" dxfId="23">
      <formula>AV40="X"</formula>
    </cfRule>
    <cfRule type="expression" priority="3546" dxfId="22">
      <formula>AV40="후보"</formula>
    </cfRule>
  </conditionalFormatting>
  <conditionalFormatting sqref="AC4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">
    <cfRule type="expression" priority="3537" dxfId="3">
      <formula>AND(IF(OR($Q40=1,$Q40=2),1,0),IF($X40&lt;=20,1,0))</formula>
    </cfRule>
    <cfRule type="expression" priority="3538" dxfId="2">
      <formula>AND(IF($Q40=2,1,0),IF($X40&lt;30,1,0))</formula>
    </cfRule>
    <cfRule type="expression" priority="3539" dxfId="1">
      <formula>AND(IF($Q40=3,1,0),IF($X40&lt;30,1,0))</formula>
    </cfRule>
    <cfRule type="expression" priority="3540" dxfId="0">
      <formula>AND(IF($Q40=3,1,IF($Q40=4,1,0)),IF($F40&lt;=85,1,0))</formula>
    </cfRule>
  </conditionalFormatting>
  <conditionalFormatting sqref="X40">
    <cfRule type="expression" priority="3533" dxfId="3">
      <formula>AND(IF(OR($Q40=1,$Q40=2),1,0),IF($X40&lt;=20,1,0))</formula>
    </cfRule>
    <cfRule type="expression" priority="3534" dxfId="2">
      <formula>AND(IF($Q40=2,1,0),IF($X40&lt;30,1,0))</formula>
    </cfRule>
    <cfRule type="expression" priority="3535" dxfId="1">
      <formula>AND(IF($Q40=3,1,0),IF($X40&lt;30,1,0))</formula>
    </cfRule>
    <cfRule type="expression" priority="3536" dxfId="0">
      <formula>AND(IF($Q40=3,1,IF($Q40=4,1,0)),IF($F40&lt;=85,1,0))</formula>
    </cfRule>
  </conditionalFormatting>
  <conditionalFormatting sqref="AI40">
    <cfRule type="expression" priority="3529" dxfId="3">
      <formula>AND(IF(OR($Q40=1,$Q40=2),1,0),IF($X40&lt;=20,1,0))</formula>
    </cfRule>
    <cfRule type="expression" priority="3530" dxfId="2">
      <formula>AND(IF($Q40=2,1,0),IF($X40&lt;30,1,0))</formula>
    </cfRule>
    <cfRule type="expression" priority="3531" dxfId="1">
      <formula>AND(IF($Q40=3,1,0),IF($X40&lt;30,1,0))</formula>
    </cfRule>
    <cfRule type="expression" priority="3532" dxfId="0">
      <formula>AND(IF($Q40=3,1,IF($Q40=4,1,0)),IF($F40&lt;=85,1,0))</formula>
    </cfRule>
  </conditionalFormatting>
  <conditionalFormatting sqref="AV41">
    <cfRule type="expression" priority="3527" dxfId="23">
      <formula>AV41="X"</formula>
    </cfRule>
    <cfRule type="expression" priority="3528" dxfId="22">
      <formula>AV41="후보"</formula>
    </cfRule>
  </conditionalFormatting>
  <conditionalFormatting sqref="AC4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1">
    <cfRule type="expression" priority="3519" dxfId="3">
      <formula>AND(IF(OR($Q41=1,$Q41=2),1,0),IF($X41&lt;=20,1,0))</formula>
    </cfRule>
    <cfRule type="expression" priority="3520" dxfId="2">
      <formula>AND(IF($Q41=2,1,0),IF($X41&lt;30,1,0))</formula>
    </cfRule>
    <cfRule type="expression" priority="3521" dxfId="1">
      <formula>AND(IF($Q41=3,1,0),IF($X41&lt;30,1,0))</formula>
    </cfRule>
    <cfRule type="expression" priority="3522" dxfId="0">
      <formula>AND(IF($Q41=3,1,IF($Q41=4,1,0)),IF($F41&lt;=85,1,0))</formula>
    </cfRule>
  </conditionalFormatting>
  <conditionalFormatting sqref="X41">
    <cfRule type="expression" priority="3515" dxfId="3">
      <formula>AND(IF(OR($Q41=1,$Q41=2),1,0),IF($X41&lt;=20,1,0))</formula>
    </cfRule>
    <cfRule type="expression" priority="3516" dxfId="2">
      <formula>AND(IF($Q41=2,1,0),IF($X41&lt;30,1,0))</formula>
    </cfRule>
    <cfRule type="expression" priority="3517" dxfId="1">
      <formula>AND(IF($Q41=3,1,0),IF($X41&lt;30,1,0))</formula>
    </cfRule>
    <cfRule type="expression" priority="3518" dxfId="0">
      <formula>AND(IF($Q41=3,1,IF($Q41=4,1,0)),IF($F41&lt;=85,1,0))</formula>
    </cfRule>
  </conditionalFormatting>
  <conditionalFormatting sqref="AI41">
    <cfRule type="expression" priority="3511" dxfId="3">
      <formula>AND(IF(OR($Q41=1,$Q41=2),1,0),IF($X41&lt;=20,1,0))</formula>
    </cfRule>
    <cfRule type="expression" priority="3512" dxfId="2">
      <formula>AND(IF($Q41=2,1,0),IF($X41&lt;30,1,0))</formula>
    </cfRule>
    <cfRule type="expression" priority="3513" dxfId="1">
      <formula>AND(IF($Q41=3,1,0),IF($X41&lt;30,1,0))</formula>
    </cfRule>
    <cfRule type="expression" priority="3514" dxfId="0">
      <formula>AND(IF($Q41=3,1,IF($Q41=4,1,0)),IF($F41&lt;=85,1,0))</formula>
    </cfRule>
  </conditionalFormatting>
  <conditionalFormatting sqref="AV42">
    <cfRule type="expression" priority="3509" dxfId="23">
      <formula>AV42="X"</formula>
    </cfRule>
    <cfRule type="expression" priority="3510" dxfId="22">
      <formula>AV42="후보"</formula>
    </cfRule>
  </conditionalFormatting>
  <conditionalFormatting sqref="AC4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">
    <cfRule type="expression" priority="3501" dxfId="3">
      <formula>AND(IF(OR($Q42=1,$Q42=2),1,0),IF($X42&lt;=20,1,0))</formula>
    </cfRule>
    <cfRule type="expression" priority="3502" dxfId="2">
      <formula>AND(IF($Q42=2,1,0),IF($X42&lt;30,1,0))</formula>
    </cfRule>
    <cfRule type="expression" priority="3503" dxfId="1">
      <formula>AND(IF($Q42=3,1,0),IF($X42&lt;30,1,0))</formula>
    </cfRule>
    <cfRule type="expression" priority="3504" dxfId="0">
      <formula>AND(IF($Q42=3,1,IF($Q42=4,1,0)),IF($F42&lt;=85,1,0))</formula>
    </cfRule>
  </conditionalFormatting>
  <conditionalFormatting sqref="X42">
    <cfRule type="expression" priority="3497" dxfId="3">
      <formula>AND(IF(OR($Q42=1,$Q42=2),1,0),IF($X42&lt;=20,1,0))</formula>
    </cfRule>
    <cfRule type="expression" priority="3498" dxfId="2">
      <formula>AND(IF($Q42=2,1,0),IF($X42&lt;30,1,0))</formula>
    </cfRule>
    <cfRule type="expression" priority="3499" dxfId="1">
      <formula>AND(IF($Q42=3,1,0),IF($X42&lt;30,1,0))</formula>
    </cfRule>
    <cfRule type="expression" priority="3500" dxfId="0">
      <formula>AND(IF($Q42=3,1,IF($Q42=4,1,0)),IF($F42&lt;=85,1,0))</formula>
    </cfRule>
  </conditionalFormatting>
  <conditionalFormatting sqref="AI42">
    <cfRule type="expression" priority="3493" dxfId="3">
      <formula>AND(IF(OR($Q42=1,$Q42=2),1,0),IF($X42&lt;=20,1,0))</formula>
    </cfRule>
    <cfRule type="expression" priority="3494" dxfId="2">
      <formula>AND(IF($Q42=2,1,0),IF($X42&lt;30,1,0))</formula>
    </cfRule>
    <cfRule type="expression" priority="3495" dxfId="1">
      <formula>AND(IF($Q42=3,1,0),IF($X42&lt;30,1,0))</formula>
    </cfRule>
    <cfRule type="expression" priority="3496" dxfId="0">
      <formula>AND(IF($Q42=3,1,IF($Q42=4,1,0)),IF($F42&lt;=85,1,0))</formula>
    </cfRule>
  </conditionalFormatting>
  <conditionalFormatting sqref="AV43">
    <cfRule type="expression" priority="3491" dxfId="23">
      <formula>AV43="X"</formula>
    </cfRule>
    <cfRule type="expression" priority="3492" dxfId="22">
      <formula>AV43="후보"</formula>
    </cfRule>
  </conditionalFormatting>
  <conditionalFormatting sqref="AC4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3">
    <cfRule type="expression" priority="3483" dxfId="3">
      <formula>AND(IF(OR($Q43=1,$Q43=2),1,0),IF($X43&lt;=20,1,0))</formula>
    </cfRule>
    <cfRule type="expression" priority="3484" dxfId="2">
      <formula>AND(IF($Q43=2,1,0),IF($X43&lt;30,1,0))</formula>
    </cfRule>
    <cfRule type="expression" priority="3485" dxfId="1">
      <formula>AND(IF($Q43=3,1,0),IF($X43&lt;30,1,0))</formula>
    </cfRule>
    <cfRule type="expression" priority="3486" dxfId="0">
      <formula>AND(IF($Q43=3,1,IF($Q43=4,1,0)),IF($F43&lt;=85,1,0))</formula>
    </cfRule>
  </conditionalFormatting>
  <conditionalFormatting sqref="X43">
    <cfRule type="expression" priority="3479" dxfId="3">
      <formula>AND(IF(OR($Q43=1,$Q43=2),1,0),IF($X43&lt;=20,1,0))</formula>
    </cfRule>
    <cfRule type="expression" priority="3480" dxfId="2">
      <formula>AND(IF($Q43=2,1,0),IF($X43&lt;30,1,0))</formula>
    </cfRule>
    <cfRule type="expression" priority="3481" dxfId="1">
      <formula>AND(IF($Q43=3,1,0),IF($X43&lt;30,1,0))</formula>
    </cfRule>
    <cfRule type="expression" priority="3482" dxfId="0">
      <formula>AND(IF($Q43=3,1,IF($Q43=4,1,0)),IF($F43&lt;=85,1,0))</formula>
    </cfRule>
  </conditionalFormatting>
  <conditionalFormatting sqref="AI43">
    <cfRule type="expression" priority="3475" dxfId="3">
      <formula>AND(IF(OR($Q43=1,$Q43=2),1,0),IF($X43&lt;=20,1,0))</formula>
    </cfRule>
    <cfRule type="expression" priority="3476" dxfId="2">
      <formula>AND(IF($Q43=2,1,0),IF($X43&lt;30,1,0))</formula>
    </cfRule>
    <cfRule type="expression" priority="3477" dxfId="1">
      <formula>AND(IF($Q43=3,1,0),IF($X43&lt;30,1,0))</formula>
    </cfRule>
    <cfRule type="expression" priority="3478" dxfId="0">
      <formula>AND(IF($Q43=3,1,IF($Q43=4,1,0)),IF($F43&lt;=85,1,0))</formula>
    </cfRule>
  </conditionalFormatting>
  <conditionalFormatting sqref="AV44">
    <cfRule type="expression" priority="3473" dxfId="23">
      <formula>AV44="X"</formula>
    </cfRule>
    <cfRule type="expression" priority="3474" dxfId="22">
      <formula>AV44="후보"</formula>
    </cfRule>
  </conditionalFormatting>
  <conditionalFormatting sqref="AC4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4">
    <cfRule type="expression" priority="3465" dxfId="3">
      <formula>AND(IF(OR($Q44=1,$Q44=2),1,0),IF($X44&lt;=20,1,0))</formula>
    </cfRule>
    <cfRule type="expression" priority="3466" dxfId="2">
      <formula>AND(IF($Q44=2,1,0),IF($X44&lt;30,1,0))</formula>
    </cfRule>
    <cfRule type="expression" priority="3467" dxfId="1">
      <formula>AND(IF($Q44=3,1,0),IF($X44&lt;30,1,0))</formula>
    </cfRule>
    <cfRule type="expression" priority="3468" dxfId="0">
      <formula>AND(IF($Q44=3,1,IF($Q44=4,1,0)),IF($F44&lt;=85,1,0))</formula>
    </cfRule>
  </conditionalFormatting>
  <conditionalFormatting sqref="X44">
    <cfRule type="expression" priority="3461" dxfId="3">
      <formula>AND(IF(OR($Q44=1,$Q44=2),1,0),IF($X44&lt;=20,1,0))</formula>
    </cfRule>
    <cfRule type="expression" priority="3462" dxfId="2">
      <formula>AND(IF($Q44=2,1,0),IF($X44&lt;30,1,0))</formula>
    </cfRule>
    <cfRule type="expression" priority="3463" dxfId="1">
      <formula>AND(IF($Q44=3,1,0),IF($X44&lt;30,1,0))</formula>
    </cfRule>
    <cfRule type="expression" priority="3464" dxfId="0">
      <formula>AND(IF($Q44=3,1,IF($Q44=4,1,0)),IF($F44&lt;=85,1,0))</formula>
    </cfRule>
  </conditionalFormatting>
  <conditionalFormatting sqref="AI44">
    <cfRule type="expression" priority="3457" dxfId="3">
      <formula>AND(IF(OR($Q44=1,$Q44=2),1,0),IF($X44&lt;=20,1,0))</formula>
    </cfRule>
    <cfRule type="expression" priority="3458" dxfId="2">
      <formula>AND(IF($Q44=2,1,0),IF($X44&lt;30,1,0))</formula>
    </cfRule>
    <cfRule type="expression" priority="3459" dxfId="1">
      <formula>AND(IF($Q44=3,1,0),IF($X44&lt;30,1,0))</formula>
    </cfRule>
    <cfRule type="expression" priority="3460" dxfId="0">
      <formula>AND(IF($Q44=3,1,IF($Q44=4,1,0)),IF($F44&lt;=85,1,0))</formula>
    </cfRule>
  </conditionalFormatting>
  <conditionalFormatting sqref="AV45">
    <cfRule type="expression" priority="3455" dxfId="23">
      <formula>AV45="X"</formula>
    </cfRule>
    <cfRule type="expression" priority="3456" dxfId="22">
      <formula>AV45="후보"</formula>
    </cfRule>
  </conditionalFormatting>
  <conditionalFormatting sqref="AC4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">
    <cfRule type="expression" priority="3447" dxfId="3">
      <formula>AND(IF(OR($Q45=1,$Q45=2),1,0),IF($X45&lt;=20,1,0))</formula>
    </cfRule>
    <cfRule type="expression" priority="3448" dxfId="2">
      <formula>AND(IF($Q45=2,1,0),IF($X45&lt;30,1,0))</formula>
    </cfRule>
    <cfRule type="expression" priority="3449" dxfId="1">
      <formula>AND(IF($Q45=3,1,0),IF($X45&lt;30,1,0))</formula>
    </cfRule>
    <cfRule type="expression" priority="3450" dxfId="0">
      <formula>AND(IF($Q45=3,1,IF($Q45=4,1,0)),IF($F45&lt;=85,1,0))</formula>
    </cfRule>
  </conditionalFormatting>
  <conditionalFormatting sqref="X45">
    <cfRule type="expression" priority="3443" dxfId="3">
      <formula>AND(IF(OR($Q45=1,$Q45=2),1,0),IF($X45&lt;=20,1,0))</formula>
    </cfRule>
    <cfRule type="expression" priority="3444" dxfId="2">
      <formula>AND(IF($Q45=2,1,0),IF($X45&lt;30,1,0))</formula>
    </cfRule>
    <cfRule type="expression" priority="3445" dxfId="1">
      <formula>AND(IF($Q45=3,1,0),IF($X45&lt;30,1,0))</formula>
    </cfRule>
    <cfRule type="expression" priority="3446" dxfId="0">
      <formula>AND(IF($Q45=3,1,IF($Q45=4,1,0)),IF($F45&lt;=85,1,0))</formula>
    </cfRule>
  </conditionalFormatting>
  <conditionalFormatting sqref="AI45">
    <cfRule type="expression" priority="3439" dxfId="3">
      <formula>AND(IF(OR($Q45=1,$Q45=2),1,0),IF($X45&lt;=20,1,0))</formula>
    </cfRule>
    <cfRule type="expression" priority="3440" dxfId="2">
      <formula>AND(IF($Q45=2,1,0),IF($X45&lt;30,1,0))</formula>
    </cfRule>
    <cfRule type="expression" priority="3441" dxfId="1">
      <formula>AND(IF($Q45=3,1,0),IF($X45&lt;30,1,0))</formula>
    </cfRule>
    <cfRule type="expression" priority="3442" dxfId="0">
      <formula>AND(IF($Q45=3,1,IF($Q45=4,1,0)),IF($F45&lt;=85,1,0))</formula>
    </cfRule>
  </conditionalFormatting>
  <conditionalFormatting sqref="AV46">
    <cfRule type="expression" priority="3437" dxfId="23">
      <formula>AV46="X"</formula>
    </cfRule>
    <cfRule type="expression" priority="3438" dxfId="22">
      <formula>AV46="후보"</formula>
    </cfRule>
  </conditionalFormatting>
  <conditionalFormatting sqref="AC4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">
    <cfRule type="expression" priority="3429" dxfId="3">
      <formula>AND(IF(OR($Q46=1,$Q46=2),1,0),IF($X46&lt;=20,1,0))</formula>
    </cfRule>
    <cfRule type="expression" priority="3430" dxfId="2">
      <formula>AND(IF($Q46=2,1,0),IF($X46&lt;30,1,0))</formula>
    </cfRule>
    <cfRule type="expression" priority="3431" dxfId="1">
      <formula>AND(IF($Q46=3,1,0),IF($X46&lt;30,1,0))</formula>
    </cfRule>
    <cfRule type="expression" priority="3432" dxfId="0">
      <formula>AND(IF($Q46=3,1,IF($Q46=4,1,0)),IF($F46&lt;=85,1,0))</formula>
    </cfRule>
  </conditionalFormatting>
  <conditionalFormatting sqref="X46">
    <cfRule type="expression" priority="3425" dxfId="3">
      <formula>AND(IF(OR($Q46=1,$Q46=2),1,0),IF($X46&lt;=20,1,0))</formula>
    </cfRule>
    <cfRule type="expression" priority="3426" dxfId="2">
      <formula>AND(IF($Q46=2,1,0),IF($X46&lt;30,1,0))</formula>
    </cfRule>
    <cfRule type="expression" priority="3427" dxfId="1">
      <formula>AND(IF($Q46=3,1,0),IF($X46&lt;30,1,0))</formula>
    </cfRule>
    <cfRule type="expression" priority="3428" dxfId="0">
      <formula>AND(IF($Q46=3,1,IF($Q46=4,1,0)),IF($F46&lt;=85,1,0))</formula>
    </cfRule>
  </conditionalFormatting>
  <conditionalFormatting sqref="AI46">
    <cfRule type="expression" priority="3421" dxfId="3">
      <formula>AND(IF(OR($Q46=1,$Q46=2),1,0),IF($X46&lt;=20,1,0))</formula>
    </cfRule>
    <cfRule type="expression" priority="3422" dxfId="2">
      <formula>AND(IF($Q46=2,1,0),IF($X46&lt;30,1,0))</formula>
    </cfRule>
    <cfRule type="expression" priority="3423" dxfId="1">
      <formula>AND(IF($Q46=3,1,0),IF($X46&lt;30,1,0))</formula>
    </cfRule>
    <cfRule type="expression" priority="3424" dxfId="0">
      <formula>AND(IF($Q46=3,1,IF($Q46=4,1,0)),IF($F46&lt;=85,1,0))</formula>
    </cfRule>
  </conditionalFormatting>
  <conditionalFormatting sqref="AV47">
    <cfRule type="expression" priority="3419" dxfId="23">
      <formula>AV47="X"</formula>
    </cfRule>
    <cfRule type="expression" priority="3420" dxfId="22">
      <formula>AV47="후보"</formula>
    </cfRule>
  </conditionalFormatting>
  <conditionalFormatting sqref="AC4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7">
    <cfRule type="expression" priority="3411" dxfId="3">
      <formula>AND(IF(OR($Q47=1,$Q47=2),1,0),IF($X47&lt;=20,1,0))</formula>
    </cfRule>
    <cfRule type="expression" priority="3412" dxfId="2">
      <formula>AND(IF($Q47=2,1,0),IF($X47&lt;30,1,0))</formula>
    </cfRule>
    <cfRule type="expression" priority="3413" dxfId="1">
      <formula>AND(IF($Q47=3,1,0),IF($X47&lt;30,1,0))</formula>
    </cfRule>
    <cfRule type="expression" priority="3414" dxfId="0">
      <formula>AND(IF($Q47=3,1,IF($Q47=4,1,0)),IF($F47&lt;=85,1,0))</formula>
    </cfRule>
  </conditionalFormatting>
  <conditionalFormatting sqref="X47">
    <cfRule type="expression" priority="3407" dxfId="3">
      <formula>AND(IF(OR($Q47=1,$Q47=2),1,0),IF($X47&lt;=20,1,0))</formula>
    </cfRule>
    <cfRule type="expression" priority="3408" dxfId="2">
      <formula>AND(IF($Q47=2,1,0),IF($X47&lt;30,1,0))</formula>
    </cfRule>
    <cfRule type="expression" priority="3409" dxfId="1">
      <formula>AND(IF($Q47=3,1,0),IF($X47&lt;30,1,0))</formula>
    </cfRule>
    <cfRule type="expression" priority="3410" dxfId="0">
      <formula>AND(IF($Q47=3,1,IF($Q47=4,1,0)),IF($F47&lt;=85,1,0))</formula>
    </cfRule>
  </conditionalFormatting>
  <conditionalFormatting sqref="AI47">
    <cfRule type="expression" priority="3403" dxfId="3">
      <formula>AND(IF(OR($Q47=1,$Q47=2),1,0),IF($X47&lt;=20,1,0))</formula>
    </cfRule>
    <cfRule type="expression" priority="3404" dxfId="2">
      <formula>AND(IF($Q47=2,1,0),IF($X47&lt;30,1,0))</formula>
    </cfRule>
    <cfRule type="expression" priority="3405" dxfId="1">
      <formula>AND(IF($Q47=3,1,0),IF($X47&lt;30,1,0))</formula>
    </cfRule>
    <cfRule type="expression" priority="3406" dxfId="0">
      <formula>AND(IF($Q47=3,1,IF($Q47=4,1,0)),IF($F47&lt;=85,1,0))</formula>
    </cfRule>
  </conditionalFormatting>
  <conditionalFormatting sqref="AV48">
    <cfRule type="expression" priority="3401" dxfId="23">
      <formula>AV48="X"</formula>
    </cfRule>
    <cfRule type="expression" priority="3402" dxfId="22">
      <formula>AV48="후보"</formula>
    </cfRule>
  </conditionalFormatting>
  <conditionalFormatting sqref="AC4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8">
    <cfRule type="expression" priority="3393" dxfId="3">
      <formula>AND(IF(OR($Q48=1,$Q48=2),1,0),IF($X48&lt;=20,1,0))</formula>
    </cfRule>
    <cfRule type="expression" priority="3394" dxfId="2">
      <formula>AND(IF($Q48=2,1,0),IF($X48&lt;30,1,0))</formula>
    </cfRule>
    <cfRule type="expression" priority="3395" dxfId="1">
      <formula>AND(IF($Q48=3,1,0),IF($X48&lt;30,1,0))</formula>
    </cfRule>
    <cfRule type="expression" priority="3396" dxfId="0">
      <formula>AND(IF($Q48=3,1,IF($Q48=4,1,0)),IF($F48&lt;=85,1,0))</formula>
    </cfRule>
  </conditionalFormatting>
  <conditionalFormatting sqref="X48">
    <cfRule type="expression" priority="3389" dxfId="3">
      <formula>AND(IF(OR($Q48=1,$Q48=2),1,0),IF($X48&lt;=20,1,0))</formula>
    </cfRule>
    <cfRule type="expression" priority="3390" dxfId="2">
      <formula>AND(IF($Q48=2,1,0),IF($X48&lt;30,1,0))</formula>
    </cfRule>
    <cfRule type="expression" priority="3391" dxfId="1">
      <formula>AND(IF($Q48=3,1,0),IF($X48&lt;30,1,0))</formula>
    </cfRule>
    <cfRule type="expression" priority="3392" dxfId="0">
      <formula>AND(IF($Q48=3,1,IF($Q48=4,1,0)),IF($F48&lt;=85,1,0))</formula>
    </cfRule>
  </conditionalFormatting>
  <conditionalFormatting sqref="AI48">
    <cfRule type="expression" priority="3385" dxfId="3">
      <formula>AND(IF(OR($Q48=1,$Q48=2),1,0),IF($X48&lt;=20,1,0))</formula>
    </cfRule>
    <cfRule type="expression" priority="3386" dxfId="2">
      <formula>AND(IF($Q48=2,1,0),IF($X48&lt;30,1,0))</formula>
    </cfRule>
    <cfRule type="expression" priority="3387" dxfId="1">
      <formula>AND(IF($Q48=3,1,0),IF($X48&lt;30,1,0))</formula>
    </cfRule>
    <cfRule type="expression" priority="3388" dxfId="0">
      <formula>AND(IF($Q48=3,1,IF($Q48=4,1,0)),IF($F48&lt;=85,1,0))</formula>
    </cfRule>
  </conditionalFormatting>
  <conditionalFormatting sqref="AV49">
    <cfRule type="expression" priority="3383" dxfId="23">
      <formula>AV49="X"</formula>
    </cfRule>
    <cfRule type="expression" priority="3384" dxfId="22">
      <formula>AV49="후보"</formula>
    </cfRule>
  </conditionalFormatting>
  <conditionalFormatting sqref="AC4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9">
    <cfRule type="expression" priority="3375" dxfId="3">
      <formula>AND(IF(OR($Q49=1,$Q49=2),1,0),IF($X49&lt;=20,1,0))</formula>
    </cfRule>
    <cfRule type="expression" priority="3376" dxfId="2">
      <formula>AND(IF($Q49=2,1,0),IF($X49&lt;30,1,0))</formula>
    </cfRule>
    <cfRule type="expression" priority="3377" dxfId="1">
      <formula>AND(IF($Q49=3,1,0),IF($X49&lt;30,1,0))</formula>
    </cfRule>
    <cfRule type="expression" priority="3378" dxfId="0">
      <formula>AND(IF($Q49=3,1,IF($Q49=4,1,0)),IF($F49&lt;=85,1,0))</formula>
    </cfRule>
  </conditionalFormatting>
  <conditionalFormatting sqref="X49">
    <cfRule type="expression" priority="3371" dxfId="3">
      <formula>AND(IF(OR($Q49=1,$Q49=2),1,0),IF($X49&lt;=20,1,0))</formula>
    </cfRule>
    <cfRule type="expression" priority="3372" dxfId="2">
      <formula>AND(IF($Q49=2,1,0),IF($X49&lt;30,1,0))</formula>
    </cfRule>
    <cfRule type="expression" priority="3373" dxfId="1">
      <formula>AND(IF($Q49=3,1,0),IF($X49&lt;30,1,0))</formula>
    </cfRule>
    <cfRule type="expression" priority="3374" dxfId="0">
      <formula>AND(IF($Q49=3,1,IF($Q49=4,1,0)),IF($F49&lt;=85,1,0))</formula>
    </cfRule>
  </conditionalFormatting>
  <conditionalFormatting sqref="AI49">
    <cfRule type="expression" priority="3367" dxfId="3">
      <formula>AND(IF(OR($Q49=1,$Q49=2),1,0),IF($X49&lt;=20,1,0))</formula>
    </cfRule>
    <cfRule type="expression" priority="3368" dxfId="2">
      <formula>AND(IF($Q49=2,1,0),IF($X49&lt;30,1,0))</formula>
    </cfRule>
    <cfRule type="expression" priority="3369" dxfId="1">
      <formula>AND(IF($Q49=3,1,0),IF($X49&lt;30,1,0))</formula>
    </cfRule>
    <cfRule type="expression" priority="3370" dxfId="0">
      <formula>AND(IF($Q49=3,1,IF($Q49=4,1,0)),IF($F49&lt;=85,1,0))</formula>
    </cfRule>
  </conditionalFormatting>
  <conditionalFormatting sqref="AV50">
    <cfRule type="expression" priority="3365" dxfId="23">
      <formula>AV50="X"</formula>
    </cfRule>
    <cfRule type="expression" priority="3366" dxfId="22">
      <formula>AV50="후보"</formula>
    </cfRule>
  </conditionalFormatting>
  <conditionalFormatting sqref="AC5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0">
    <cfRule type="expression" priority="3357" dxfId="3">
      <formula>AND(IF(OR($Q50=1,$Q50=2),1,0),IF($X50&lt;=20,1,0))</formula>
    </cfRule>
    <cfRule type="expression" priority="3358" dxfId="2">
      <formula>AND(IF($Q50=2,1,0),IF($X50&lt;30,1,0))</formula>
    </cfRule>
    <cfRule type="expression" priority="3359" dxfId="1">
      <formula>AND(IF($Q50=3,1,0),IF($X50&lt;30,1,0))</formula>
    </cfRule>
    <cfRule type="expression" priority="3360" dxfId="0">
      <formula>AND(IF($Q50=3,1,IF($Q50=4,1,0)),IF($F50&lt;=85,1,0))</formula>
    </cfRule>
  </conditionalFormatting>
  <conditionalFormatting sqref="X50">
    <cfRule type="expression" priority="3353" dxfId="3">
      <formula>AND(IF(OR($Q50=1,$Q50=2),1,0),IF($X50&lt;=20,1,0))</formula>
    </cfRule>
    <cfRule type="expression" priority="3354" dxfId="2">
      <formula>AND(IF($Q50=2,1,0),IF($X50&lt;30,1,0))</formula>
    </cfRule>
    <cfRule type="expression" priority="3355" dxfId="1">
      <formula>AND(IF($Q50=3,1,0),IF($X50&lt;30,1,0))</formula>
    </cfRule>
    <cfRule type="expression" priority="3356" dxfId="0">
      <formula>AND(IF($Q50=3,1,IF($Q50=4,1,0)),IF($F50&lt;=85,1,0))</formula>
    </cfRule>
  </conditionalFormatting>
  <conditionalFormatting sqref="AI50">
    <cfRule type="expression" priority="3349" dxfId="3">
      <formula>AND(IF(OR($Q50=1,$Q50=2),1,0),IF($X50&lt;=20,1,0))</formula>
    </cfRule>
    <cfRule type="expression" priority="3350" dxfId="2">
      <formula>AND(IF($Q50=2,1,0),IF($X50&lt;30,1,0))</formula>
    </cfRule>
    <cfRule type="expression" priority="3351" dxfId="1">
      <formula>AND(IF($Q50=3,1,0),IF($X50&lt;30,1,0))</formula>
    </cfRule>
    <cfRule type="expression" priority="3352" dxfId="0">
      <formula>AND(IF($Q50=3,1,IF($Q50=4,1,0)),IF($F50&lt;=85,1,0))</formula>
    </cfRule>
  </conditionalFormatting>
  <conditionalFormatting sqref="AV51">
    <cfRule type="expression" priority="3347" dxfId="23">
      <formula>AV51="X"</formula>
    </cfRule>
    <cfRule type="expression" priority="3348" dxfId="22">
      <formula>AV51="후보"</formula>
    </cfRule>
  </conditionalFormatting>
  <conditionalFormatting sqref="AC5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1">
    <cfRule type="expression" priority="3339" dxfId="3">
      <formula>AND(IF(OR($Q51=1,$Q51=2),1,0),IF($X51&lt;=20,1,0))</formula>
    </cfRule>
    <cfRule type="expression" priority="3340" dxfId="2">
      <formula>AND(IF($Q51=2,1,0),IF($X51&lt;30,1,0))</formula>
    </cfRule>
    <cfRule type="expression" priority="3341" dxfId="1">
      <formula>AND(IF($Q51=3,1,0),IF($X51&lt;30,1,0))</formula>
    </cfRule>
    <cfRule type="expression" priority="3342" dxfId="0">
      <formula>AND(IF($Q51=3,1,IF($Q51=4,1,0)),IF($F51&lt;=85,1,0))</formula>
    </cfRule>
  </conditionalFormatting>
  <conditionalFormatting sqref="X51">
    <cfRule type="expression" priority="3335" dxfId="3">
      <formula>AND(IF(OR($Q51=1,$Q51=2),1,0),IF($X51&lt;=20,1,0))</formula>
    </cfRule>
    <cfRule type="expression" priority="3336" dxfId="2">
      <formula>AND(IF($Q51=2,1,0),IF($X51&lt;30,1,0))</formula>
    </cfRule>
    <cfRule type="expression" priority="3337" dxfId="1">
      <formula>AND(IF($Q51=3,1,0),IF($X51&lt;30,1,0))</formula>
    </cfRule>
    <cfRule type="expression" priority="3338" dxfId="0">
      <formula>AND(IF($Q51=3,1,IF($Q51=4,1,0)),IF($F51&lt;=85,1,0))</formula>
    </cfRule>
  </conditionalFormatting>
  <conditionalFormatting sqref="AI51">
    <cfRule type="expression" priority="3331" dxfId="3">
      <formula>AND(IF(OR($Q51=1,$Q51=2),1,0),IF($X51&lt;=20,1,0))</formula>
    </cfRule>
    <cfRule type="expression" priority="3332" dxfId="2">
      <formula>AND(IF($Q51=2,1,0),IF($X51&lt;30,1,0))</formula>
    </cfRule>
    <cfRule type="expression" priority="3333" dxfId="1">
      <formula>AND(IF($Q51=3,1,0),IF($X51&lt;30,1,0))</formula>
    </cfRule>
    <cfRule type="expression" priority="3334" dxfId="0">
      <formula>AND(IF($Q51=3,1,IF($Q51=4,1,0)),IF($F51&lt;=85,1,0))</formula>
    </cfRule>
  </conditionalFormatting>
  <conditionalFormatting sqref="AV52">
    <cfRule type="expression" priority="3329" dxfId="23">
      <formula>AV52="X"</formula>
    </cfRule>
    <cfRule type="expression" priority="3330" dxfId="22">
      <formula>AV52="후보"</formula>
    </cfRule>
  </conditionalFormatting>
  <conditionalFormatting sqref="AC5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2">
    <cfRule type="expression" priority="3321" dxfId="3">
      <formula>AND(IF(OR($Q52=1,$Q52=2),1,0),IF($X52&lt;=20,1,0))</formula>
    </cfRule>
    <cfRule type="expression" priority="3322" dxfId="2">
      <formula>AND(IF($Q52=2,1,0),IF($X52&lt;30,1,0))</formula>
    </cfRule>
    <cfRule type="expression" priority="3323" dxfId="1">
      <formula>AND(IF($Q52=3,1,0),IF($X52&lt;30,1,0))</formula>
    </cfRule>
    <cfRule type="expression" priority="3324" dxfId="0">
      <formula>AND(IF($Q52=3,1,IF($Q52=4,1,0)),IF($F52&lt;=85,1,0))</formula>
    </cfRule>
  </conditionalFormatting>
  <conditionalFormatting sqref="X52">
    <cfRule type="expression" priority="3317" dxfId="3">
      <formula>AND(IF(OR($Q52=1,$Q52=2),1,0),IF($X52&lt;=20,1,0))</formula>
    </cfRule>
    <cfRule type="expression" priority="3318" dxfId="2">
      <formula>AND(IF($Q52=2,1,0),IF($X52&lt;30,1,0))</formula>
    </cfRule>
    <cfRule type="expression" priority="3319" dxfId="1">
      <formula>AND(IF($Q52=3,1,0),IF($X52&lt;30,1,0))</formula>
    </cfRule>
    <cfRule type="expression" priority="3320" dxfId="0">
      <formula>AND(IF($Q52=3,1,IF($Q52=4,1,0)),IF($F52&lt;=85,1,0))</formula>
    </cfRule>
  </conditionalFormatting>
  <conditionalFormatting sqref="AI52">
    <cfRule type="expression" priority="3313" dxfId="3">
      <formula>AND(IF(OR($Q52=1,$Q52=2),1,0),IF($X52&lt;=20,1,0))</formula>
    </cfRule>
    <cfRule type="expression" priority="3314" dxfId="2">
      <formula>AND(IF($Q52=2,1,0),IF($X52&lt;30,1,0))</formula>
    </cfRule>
    <cfRule type="expression" priority="3315" dxfId="1">
      <formula>AND(IF($Q52=3,1,0),IF($X52&lt;30,1,0))</formula>
    </cfRule>
    <cfRule type="expression" priority="3316" dxfId="0">
      <formula>AND(IF($Q52=3,1,IF($Q52=4,1,0)),IF($F52&lt;=85,1,0))</formula>
    </cfRule>
  </conditionalFormatting>
  <conditionalFormatting sqref="AV53">
    <cfRule type="expression" priority="3311" dxfId="23">
      <formula>AV53="X"</formula>
    </cfRule>
    <cfRule type="expression" priority="3312" dxfId="22">
      <formula>AV53="후보"</formula>
    </cfRule>
  </conditionalFormatting>
  <conditionalFormatting sqref="AC5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">
    <cfRule type="expression" priority="3303" dxfId="3">
      <formula>AND(IF(OR($Q53=1,$Q53=2),1,0),IF($X53&lt;=20,1,0))</formula>
    </cfRule>
    <cfRule type="expression" priority="3304" dxfId="2">
      <formula>AND(IF($Q53=2,1,0),IF($X53&lt;30,1,0))</formula>
    </cfRule>
    <cfRule type="expression" priority="3305" dxfId="1">
      <formula>AND(IF($Q53=3,1,0),IF($X53&lt;30,1,0))</formula>
    </cfRule>
    <cfRule type="expression" priority="3306" dxfId="0">
      <formula>AND(IF($Q53=3,1,IF($Q53=4,1,0)),IF($F53&lt;=85,1,0))</formula>
    </cfRule>
  </conditionalFormatting>
  <conditionalFormatting sqref="X53">
    <cfRule type="expression" priority="3299" dxfId="3">
      <formula>AND(IF(OR($Q53=1,$Q53=2),1,0),IF($X53&lt;=20,1,0))</formula>
    </cfRule>
    <cfRule type="expression" priority="3300" dxfId="2">
      <formula>AND(IF($Q53=2,1,0),IF($X53&lt;30,1,0))</formula>
    </cfRule>
    <cfRule type="expression" priority="3301" dxfId="1">
      <formula>AND(IF($Q53=3,1,0),IF($X53&lt;30,1,0))</formula>
    </cfRule>
    <cfRule type="expression" priority="3302" dxfId="0">
      <formula>AND(IF($Q53=3,1,IF($Q53=4,1,0)),IF($F53&lt;=85,1,0))</formula>
    </cfRule>
  </conditionalFormatting>
  <conditionalFormatting sqref="AI53">
    <cfRule type="expression" priority="3295" dxfId="3">
      <formula>AND(IF(OR($Q53=1,$Q53=2),1,0),IF($X53&lt;=20,1,0))</formula>
    </cfRule>
    <cfRule type="expression" priority="3296" dxfId="2">
      <formula>AND(IF($Q53=2,1,0),IF($X53&lt;30,1,0))</formula>
    </cfRule>
    <cfRule type="expression" priority="3297" dxfId="1">
      <formula>AND(IF($Q53=3,1,0),IF($X53&lt;30,1,0))</formula>
    </cfRule>
    <cfRule type="expression" priority="3298" dxfId="0">
      <formula>AND(IF($Q53=3,1,IF($Q53=4,1,0)),IF($F53&lt;=85,1,0))</formula>
    </cfRule>
  </conditionalFormatting>
  <conditionalFormatting sqref="AV54">
    <cfRule type="expression" priority="3293" dxfId="23">
      <formula>AV54="X"</formula>
    </cfRule>
    <cfRule type="expression" priority="3294" dxfId="22">
      <formula>AV54="후보"</formula>
    </cfRule>
  </conditionalFormatting>
  <conditionalFormatting sqref="AC5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">
    <cfRule type="expression" priority="3285" dxfId="3">
      <formula>AND(IF(OR($Q54=1,$Q54=2),1,0),IF($X54&lt;=20,1,0))</formula>
    </cfRule>
    <cfRule type="expression" priority="3286" dxfId="2">
      <formula>AND(IF($Q54=2,1,0),IF($X54&lt;30,1,0))</formula>
    </cfRule>
    <cfRule type="expression" priority="3287" dxfId="1">
      <formula>AND(IF($Q54=3,1,0),IF($X54&lt;30,1,0))</formula>
    </cfRule>
    <cfRule type="expression" priority="3288" dxfId="0">
      <formula>AND(IF($Q54=3,1,IF($Q54=4,1,0)),IF($F54&lt;=85,1,0))</formula>
    </cfRule>
  </conditionalFormatting>
  <conditionalFormatting sqref="X54">
    <cfRule type="expression" priority="3281" dxfId="3">
      <formula>AND(IF(OR($Q54=1,$Q54=2),1,0),IF($X54&lt;=20,1,0))</formula>
    </cfRule>
    <cfRule type="expression" priority="3282" dxfId="2">
      <formula>AND(IF($Q54=2,1,0),IF($X54&lt;30,1,0))</formula>
    </cfRule>
    <cfRule type="expression" priority="3283" dxfId="1">
      <formula>AND(IF($Q54=3,1,0),IF($X54&lt;30,1,0))</formula>
    </cfRule>
    <cfRule type="expression" priority="3284" dxfId="0">
      <formula>AND(IF($Q54=3,1,IF($Q54=4,1,0)),IF($F54&lt;=85,1,0))</formula>
    </cfRule>
  </conditionalFormatting>
  <conditionalFormatting sqref="AI54">
    <cfRule type="expression" priority="3277" dxfId="3">
      <formula>AND(IF(OR($Q54=1,$Q54=2),1,0),IF($X54&lt;=20,1,0))</formula>
    </cfRule>
    <cfRule type="expression" priority="3278" dxfId="2">
      <formula>AND(IF($Q54=2,1,0),IF($X54&lt;30,1,0))</formula>
    </cfRule>
    <cfRule type="expression" priority="3279" dxfId="1">
      <formula>AND(IF($Q54=3,1,0),IF($X54&lt;30,1,0))</formula>
    </cfRule>
    <cfRule type="expression" priority="3280" dxfId="0">
      <formula>AND(IF($Q54=3,1,IF($Q54=4,1,0)),IF($F54&lt;=85,1,0))</formula>
    </cfRule>
  </conditionalFormatting>
  <conditionalFormatting sqref="AV55">
    <cfRule type="expression" priority="3275" dxfId="23">
      <formula>AV55="X"</formula>
    </cfRule>
    <cfRule type="expression" priority="3276" dxfId="22">
      <formula>AV55="후보"</formula>
    </cfRule>
  </conditionalFormatting>
  <conditionalFormatting sqref="AC5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5">
    <cfRule type="expression" priority="3267" dxfId="3">
      <formula>AND(IF(OR($Q55=1,$Q55=2),1,0),IF($X55&lt;=20,1,0))</formula>
    </cfRule>
    <cfRule type="expression" priority="3268" dxfId="2">
      <formula>AND(IF($Q55=2,1,0),IF($X55&lt;30,1,0))</formula>
    </cfRule>
    <cfRule type="expression" priority="3269" dxfId="1">
      <formula>AND(IF($Q55=3,1,0),IF($X55&lt;30,1,0))</formula>
    </cfRule>
    <cfRule type="expression" priority="3270" dxfId="0">
      <formula>AND(IF($Q55=3,1,IF($Q55=4,1,0)),IF($F55&lt;=85,1,0))</formula>
    </cfRule>
  </conditionalFormatting>
  <conditionalFormatting sqref="X55">
    <cfRule type="expression" priority="3263" dxfId="3">
      <formula>AND(IF(OR($Q55=1,$Q55=2),1,0),IF($X55&lt;=20,1,0))</formula>
    </cfRule>
    <cfRule type="expression" priority="3264" dxfId="2">
      <formula>AND(IF($Q55=2,1,0),IF($X55&lt;30,1,0))</formula>
    </cfRule>
    <cfRule type="expression" priority="3265" dxfId="1">
      <formula>AND(IF($Q55=3,1,0),IF($X55&lt;30,1,0))</formula>
    </cfRule>
    <cfRule type="expression" priority="3266" dxfId="0">
      <formula>AND(IF($Q55=3,1,IF($Q55=4,1,0)),IF($F55&lt;=85,1,0))</formula>
    </cfRule>
  </conditionalFormatting>
  <conditionalFormatting sqref="AI55">
    <cfRule type="expression" priority="3259" dxfId="3">
      <formula>AND(IF(OR($Q55=1,$Q55=2),1,0),IF($X55&lt;=20,1,0))</formula>
    </cfRule>
    <cfRule type="expression" priority="3260" dxfId="2">
      <formula>AND(IF($Q55=2,1,0),IF($X55&lt;30,1,0))</formula>
    </cfRule>
    <cfRule type="expression" priority="3261" dxfId="1">
      <formula>AND(IF($Q55=3,1,0),IF($X55&lt;30,1,0))</formula>
    </cfRule>
    <cfRule type="expression" priority="3262" dxfId="0">
      <formula>AND(IF($Q55=3,1,IF($Q55=4,1,0)),IF($F55&lt;=85,1,0))</formula>
    </cfRule>
  </conditionalFormatting>
  <conditionalFormatting sqref="AV56">
    <cfRule type="expression" priority="3257" dxfId="23">
      <formula>AV56="X"</formula>
    </cfRule>
    <cfRule type="expression" priority="3258" dxfId="22">
      <formula>AV56="후보"</formula>
    </cfRule>
  </conditionalFormatting>
  <conditionalFormatting sqref="AC5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">
    <cfRule type="expression" priority="3249" dxfId="3">
      <formula>AND(IF(OR($Q56=1,$Q56=2),1,0),IF($X56&lt;=20,1,0))</formula>
    </cfRule>
    <cfRule type="expression" priority="3250" dxfId="2">
      <formula>AND(IF($Q56=2,1,0),IF($X56&lt;30,1,0))</formula>
    </cfRule>
    <cfRule type="expression" priority="3251" dxfId="1">
      <formula>AND(IF($Q56=3,1,0),IF($X56&lt;30,1,0))</formula>
    </cfRule>
    <cfRule type="expression" priority="3252" dxfId="0">
      <formula>AND(IF($Q56=3,1,IF($Q56=4,1,0)),IF($F56&lt;=85,1,0))</formula>
    </cfRule>
  </conditionalFormatting>
  <conditionalFormatting sqref="X56">
    <cfRule type="expression" priority="3245" dxfId="3">
      <formula>AND(IF(OR($Q56=1,$Q56=2),1,0),IF($X56&lt;=20,1,0))</formula>
    </cfRule>
    <cfRule type="expression" priority="3246" dxfId="2">
      <formula>AND(IF($Q56=2,1,0),IF($X56&lt;30,1,0))</formula>
    </cfRule>
    <cfRule type="expression" priority="3247" dxfId="1">
      <formula>AND(IF($Q56=3,1,0),IF($X56&lt;30,1,0))</formula>
    </cfRule>
    <cfRule type="expression" priority="3248" dxfId="0">
      <formula>AND(IF($Q56=3,1,IF($Q56=4,1,0)),IF($F56&lt;=85,1,0))</formula>
    </cfRule>
  </conditionalFormatting>
  <conditionalFormatting sqref="AI56">
    <cfRule type="expression" priority="3241" dxfId="3">
      <formula>AND(IF(OR($Q56=1,$Q56=2),1,0),IF($X56&lt;=20,1,0))</formula>
    </cfRule>
    <cfRule type="expression" priority="3242" dxfId="2">
      <formula>AND(IF($Q56=2,1,0),IF($X56&lt;30,1,0))</formula>
    </cfRule>
    <cfRule type="expression" priority="3243" dxfId="1">
      <formula>AND(IF($Q56=3,1,0),IF($X56&lt;30,1,0))</formula>
    </cfRule>
    <cfRule type="expression" priority="3244" dxfId="0">
      <formula>AND(IF($Q56=3,1,IF($Q56=4,1,0)),IF($F56&lt;=85,1,0))</formula>
    </cfRule>
  </conditionalFormatting>
  <conditionalFormatting sqref="AV57">
    <cfRule type="expression" priority="3239" dxfId="23">
      <formula>AV57="X"</formula>
    </cfRule>
    <cfRule type="expression" priority="3240" dxfId="22">
      <formula>AV57="후보"</formula>
    </cfRule>
  </conditionalFormatting>
  <conditionalFormatting sqref="AC5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7">
    <cfRule type="expression" priority="3231" dxfId="3">
      <formula>AND(IF(OR($Q57=1,$Q57=2),1,0),IF($X57&lt;=20,1,0))</formula>
    </cfRule>
    <cfRule type="expression" priority="3232" dxfId="2">
      <formula>AND(IF($Q57=2,1,0),IF($X57&lt;30,1,0))</formula>
    </cfRule>
    <cfRule type="expression" priority="3233" dxfId="1">
      <formula>AND(IF($Q57=3,1,0),IF($X57&lt;30,1,0))</formula>
    </cfRule>
    <cfRule type="expression" priority="3234" dxfId="0">
      <formula>AND(IF($Q57=3,1,IF($Q57=4,1,0)),IF($F57&lt;=85,1,0))</formula>
    </cfRule>
  </conditionalFormatting>
  <conditionalFormatting sqref="X57">
    <cfRule type="expression" priority="3227" dxfId="3">
      <formula>AND(IF(OR($Q57=1,$Q57=2),1,0),IF($X57&lt;=20,1,0))</formula>
    </cfRule>
    <cfRule type="expression" priority="3228" dxfId="2">
      <formula>AND(IF($Q57=2,1,0),IF($X57&lt;30,1,0))</formula>
    </cfRule>
    <cfRule type="expression" priority="3229" dxfId="1">
      <formula>AND(IF($Q57=3,1,0),IF($X57&lt;30,1,0))</formula>
    </cfRule>
    <cfRule type="expression" priority="3230" dxfId="0">
      <formula>AND(IF($Q57=3,1,IF($Q57=4,1,0)),IF($F57&lt;=85,1,0))</formula>
    </cfRule>
  </conditionalFormatting>
  <conditionalFormatting sqref="AI57">
    <cfRule type="expression" priority="3223" dxfId="3">
      <formula>AND(IF(OR($Q57=1,$Q57=2),1,0),IF($X57&lt;=20,1,0))</formula>
    </cfRule>
    <cfRule type="expression" priority="3224" dxfId="2">
      <formula>AND(IF($Q57=2,1,0),IF($X57&lt;30,1,0))</formula>
    </cfRule>
    <cfRule type="expression" priority="3225" dxfId="1">
      <formula>AND(IF($Q57=3,1,0),IF($X57&lt;30,1,0))</formula>
    </cfRule>
    <cfRule type="expression" priority="3226" dxfId="0">
      <formula>AND(IF($Q57=3,1,IF($Q57=4,1,0)),IF($F57&lt;=85,1,0))</formula>
    </cfRule>
  </conditionalFormatting>
  <conditionalFormatting sqref="AV58">
    <cfRule type="expression" priority="3221" dxfId="23">
      <formula>AV58="X"</formula>
    </cfRule>
    <cfRule type="expression" priority="3222" dxfId="22">
      <formula>AV58="후보"</formula>
    </cfRule>
  </conditionalFormatting>
  <conditionalFormatting sqref="AC5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8">
    <cfRule type="expression" priority="3213" dxfId="3">
      <formula>AND(IF(OR($Q58=1,$Q58=2),1,0),IF($X58&lt;=20,1,0))</formula>
    </cfRule>
    <cfRule type="expression" priority="3214" dxfId="2">
      <formula>AND(IF($Q58=2,1,0),IF($X58&lt;30,1,0))</formula>
    </cfRule>
    <cfRule type="expression" priority="3215" dxfId="1">
      <formula>AND(IF($Q58=3,1,0),IF($X58&lt;30,1,0))</formula>
    </cfRule>
    <cfRule type="expression" priority="3216" dxfId="0">
      <formula>AND(IF($Q58=3,1,IF($Q58=4,1,0)),IF($F58&lt;=85,1,0))</formula>
    </cfRule>
  </conditionalFormatting>
  <conditionalFormatting sqref="X58">
    <cfRule type="expression" priority="3209" dxfId="3">
      <formula>AND(IF(OR($Q58=1,$Q58=2),1,0),IF($X58&lt;=20,1,0))</formula>
    </cfRule>
    <cfRule type="expression" priority="3210" dxfId="2">
      <formula>AND(IF($Q58=2,1,0),IF($X58&lt;30,1,0))</formula>
    </cfRule>
    <cfRule type="expression" priority="3211" dxfId="1">
      <formula>AND(IF($Q58=3,1,0),IF($X58&lt;30,1,0))</formula>
    </cfRule>
    <cfRule type="expression" priority="3212" dxfId="0">
      <formula>AND(IF($Q58=3,1,IF($Q58=4,1,0)),IF($F58&lt;=85,1,0))</formula>
    </cfRule>
  </conditionalFormatting>
  <conditionalFormatting sqref="AI58">
    <cfRule type="expression" priority="3205" dxfId="3">
      <formula>AND(IF(OR($Q58=1,$Q58=2),1,0),IF($X58&lt;=20,1,0))</formula>
    </cfRule>
    <cfRule type="expression" priority="3206" dxfId="2">
      <formula>AND(IF($Q58=2,1,0),IF($X58&lt;30,1,0))</formula>
    </cfRule>
    <cfRule type="expression" priority="3207" dxfId="1">
      <formula>AND(IF($Q58=3,1,0),IF($X58&lt;30,1,0))</formula>
    </cfRule>
    <cfRule type="expression" priority="3208" dxfId="0">
      <formula>AND(IF($Q58=3,1,IF($Q58=4,1,0)),IF($F58&lt;=85,1,0))</formula>
    </cfRule>
  </conditionalFormatting>
  <conditionalFormatting sqref="AV59">
    <cfRule type="expression" priority="3203" dxfId="23">
      <formula>AV59="X"</formula>
    </cfRule>
    <cfRule type="expression" priority="3204" dxfId="22">
      <formula>AV59="후보"</formula>
    </cfRule>
  </conditionalFormatting>
  <conditionalFormatting sqref="AC5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9">
    <cfRule type="expression" priority="3195" dxfId="3">
      <formula>AND(IF(OR($Q59=1,$Q59=2),1,0),IF($X59&lt;=20,1,0))</formula>
    </cfRule>
    <cfRule type="expression" priority="3196" dxfId="2">
      <formula>AND(IF($Q59=2,1,0),IF($X59&lt;30,1,0))</formula>
    </cfRule>
    <cfRule type="expression" priority="3197" dxfId="1">
      <formula>AND(IF($Q59=3,1,0),IF($X59&lt;30,1,0))</formula>
    </cfRule>
    <cfRule type="expression" priority="3198" dxfId="0">
      <formula>AND(IF($Q59=3,1,IF($Q59=4,1,0)),IF($F59&lt;=85,1,0))</formula>
    </cfRule>
  </conditionalFormatting>
  <conditionalFormatting sqref="X59">
    <cfRule type="expression" priority="3191" dxfId="3">
      <formula>AND(IF(OR($Q59=1,$Q59=2),1,0),IF($X59&lt;=20,1,0))</formula>
    </cfRule>
    <cfRule type="expression" priority="3192" dxfId="2">
      <formula>AND(IF($Q59=2,1,0),IF($X59&lt;30,1,0))</formula>
    </cfRule>
    <cfRule type="expression" priority="3193" dxfId="1">
      <formula>AND(IF($Q59=3,1,0),IF($X59&lt;30,1,0))</formula>
    </cfRule>
    <cfRule type="expression" priority="3194" dxfId="0">
      <formula>AND(IF($Q59=3,1,IF($Q59=4,1,0)),IF($F59&lt;=85,1,0))</formula>
    </cfRule>
  </conditionalFormatting>
  <conditionalFormatting sqref="AI59">
    <cfRule type="expression" priority="3187" dxfId="3">
      <formula>AND(IF(OR($Q59=1,$Q59=2),1,0),IF($X59&lt;=20,1,0))</formula>
    </cfRule>
    <cfRule type="expression" priority="3188" dxfId="2">
      <formula>AND(IF($Q59=2,1,0),IF($X59&lt;30,1,0))</formula>
    </cfRule>
    <cfRule type="expression" priority="3189" dxfId="1">
      <formula>AND(IF($Q59=3,1,0),IF($X59&lt;30,1,0))</formula>
    </cfRule>
    <cfRule type="expression" priority="3190" dxfId="0">
      <formula>AND(IF($Q59=3,1,IF($Q59=4,1,0)),IF($F59&lt;=85,1,0))</formula>
    </cfRule>
  </conditionalFormatting>
  <conditionalFormatting sqref="AV60">
    <cfRule type="expression" priority="3185" dxfId="23">
      <formula>AV60="X"</formula>
    </cfRule>
    <cfRule type="expression" priority="3186" dxfId="22">
      <formula>AV60="후보"</formula>
    </cfRule>
  </conditionalFormatting>
  <conditionalFormatting sqref="AC6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0">
    <cfRule type="expression" priority="3177" dxfId="3">
      <formula>AND(IF(OR($Q60=1,$Q60=2),1,0),IF($X60&lt;=20,1,0))</formula>
    </cfRule>
    <cfRule type="expression" priority="3178" dxfId="2">
      <formula>AND(IF($Q60=2,1,0),IF($X60&lt;30,1,0))</formula>
    </cfRule>
    <cfRule type="expression" priority="3179" dxfId="1">
      <formula>AND(IF($Q60=3,1,0),IF($X60&lt;30,1,0))</formula>
    </cfRule>
    <cfRule type="expression" priority="3180" dxfId="0">
      <formula>AND(IF($Q60=3,1,IF($Q60=4,1,0)),IF($F60&lt;=85,1,0))</formula>
    </cfRule>
  </conditionalFormatting>
  <conditionalFormatting sqref="X60">
    <cfRule type="expression" priority="3173" dxfId="3">
      <formula>AND(IF(OR($Q60=1,$Q60=2),1,0),IF($X60&lt;=20,1,0))</formula>
    </cfRule>
    <cfRule type="expression" priority="3174" dxfId="2">
      <formula>AND(IF($Q60=2,1,0),IF($X60&lt;30,1,0))</formula>
    </cfRule>
    <cfRule type="expression" priority="3175" dxfId="1">
      <formula>AND(IF($Q60=3,1,0),IF($X60&lt;30,1,0))</formula>
    </cfRule>
    <cfRule type="expression" priority="3176" dxfId="0">
      <formula>AND(IF($Q60=3,1,IF($Q60=4,1,0)),IF($F60&lt;=85,1,0))</formula>
    </cfRule>
  </conditionalFormatting>
  <conditionalFormatting sqref="AI60">
    <cfRule type="expression" priority="3169" dxfId="3">
      <formula>AND(IF(OR($Q60=1,$Q60=2),1,0),IF($X60&lt;=20,1,0))</formula>
    </cfRule>
    <cfRule type="expression" priority="3170" dxfId="2">
      <formula>AND(IF($Q60=2,1,0),IF($X60&lt;30,1,0))</formula>
    </cfRule>
    <cfRule type="expression" priority="3171" dxfId="1">
      <formula>AND(IF($Q60=3,1,0),IF($X60&lt;30,1,0))</formula>
    </cfRule>
    <cfRule type="expression" priority="3172" dxfId="0">
      <formula>AND(IF($Q60=3,1,IF($Q60=4,1,0)),IF($F60&lt;=85,1,0))</formula>
    </cfRule>
  </conditionalFormatting>
  <conditionalFormatting sqref="AV61">
    <cfRule type="expression" priority="3167" dxfId="23">
      <formula>AV61="X"</formula>
    </cfRule>
    <cfRule type="expression" priority="3168" dxfId="22">
      <formula>AV61="후보"</formula>
    </cfRule>
  </conditionalFormatting>
  <conditionalFormatting sqref="AC6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1">
    <cfRule type="expression" priority="3159" dxfId="3">
      <formula>AND(IF(OR($Q61=1,$Q61=2),1,0),IF($X61&lt;=20,1,0))</formula>
    </cfRule>
    <cfRule type="expression" priority="3160" dxfId="2">
      <formula>AND(IF($Q61=2,1,0),IF($X61&lt;30,1,0))</formula>
    </cfRule>
    <cfRule type="expression" priority="3161" dxfId="1">
      <formula>AND(IF($Q61=3,1,0),IF($X61&lt;30,1,0))</formula>
    </cfRule>
    <cfRule type="expression" priority="3162" dxfId="0">
      <formula>AND(IF($Q61=3,1,IF($Q61=4,1,0)),IF($F61&lt;=85,1,0))</formula>
    </cfRule>
  </conditionalFormatting>
  <conditionalFormatting sqref="X61">
    <cfRule type="expression" priority="3155" dxfId="3">
      <formula>AND(IF(OR($Q61=1,$Q61=2),1,0),IF($X61&lt;=20,1,0))</formula>
    </cfRule>
    <cfRule type="expression" priority="3156" dxfId="2">
      <formula>AND(IF($Q61=2,1,0),IF($X61&lt;30,1,0))</formula>
    </cfRule>
    <cfRule type="expression" priority="3157" dxfId="1">
      <formula>AND(IF($Q61=3,1,0),IF($X61&lt;30,1,0))</formula>
    </cfRule>
    <cfRule type="expression" priority="3158" dxfId="0">
      <formula>AND(IF($Q61=3,1,IF($Q61=4,1,0)),IF($F61&lt;=85,1,0))</formula>
    </cfRule>
  </conditionalFormatting>
  <conditionalFormatting sqref="AI61">
    <cfRule type="expression" priority="3151" dxfId="3">
      <formula>AND(IF(OR($Q61=1,$Q61=2),1,0),IF($X61&lt;=20,1,0))</formula>
    </cfRule>
    <cfRule type="expression" priority="3152" dxfId="2">
      <formula>AND(IF($Q61=2,1,0),IF($X61&lt;30,1,0))</formula>
    </cfRule>
    <cfRule type="expression" priority="3153" dxfId="1">
      <formula>AND(IF($Q61=3,1,0),IF($X61&lt;30,1,0))</formula>
    </cfRule>
    <cfRule type="expression" priority="3154" dxfId="0">
      <formula>AND(IF($Q61=3,1,IF($Q61=4,1,0)),IF($F61&lt;=85,1,0))</formula>
    </cfRule>
  </conditionalFormatting>
  <conditionalFormatting sqref="AV62">
    <cfRule type="expression" priority="3149" dxfId="23">
      <formula>AV62="X"</formula>
    </cfRule>
    <cfRule type="expression" priority="3150" dxfId="22">
      <formula>AV62="후보"</formula>
    </cfRule>
  </conditionalFormatting>
  <conditionalFormatting sqref="AC6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2">
    <cfRule type="expression" priority="3141" dxfId="3">
      <formula>AND(IF(OR($Q62=1,$Q62=2),1,0),IF($X62&lt;=20,1,0))</formula>
    </cfRule>
    <cfRule type="expression" priority="3142" dxfId="2">
      <formula>AND(IF($Q62=2,1,0),IF($X62&lt;30,1,0))</formula>
    </cfRule>
    <cfRule type="expression" priority="3143" dxfId="1">
      <formula>AND(IF($Q62=3,1,0),IF($X62&lt;30,1,0))</formula>
    </cfRule>
    <cfRule type="expression" priority="3144" dxfId="0">
      <formula>AND(IF($Q62=3,1,IF($Q62=4,1,0)),IF($F62&lt;=85,1,0))</formula>
    </cfRule>
  </conditionalFormatting>
  <conditionalFormatting sqref="X62">
    <cfRule type="expression" priority="3137" dxfId="3">
      <formula>AND(IF(OR($Q62=1,$Q62=2),1,0),IF($X62&lt;=20,1,0))</formula>
    </cfRule>
    <cfRule type="expression" priority="3138" dxfId="2">
      <formula>AND(IF($Q62=2,1,0),IF($X62&lt;30,1,0))</formula>
    </cfRule>
    <cfRule type="expression" priority="3139" dxfId="1">
      <formula>AND(IF($Q62=3,1,0),IF($X62&lt;30,1,0))</formula>
    </cfRule>
    <cfRule type="expression" priority="3140" dxfId="0">
      <formula>AND(IF($Q62=3,1,IF($Q62=4,1,0)),IF($F62&lt;=85,1,0))</formula>
    </cfRule>
  </conditionalFormatting>
  <conditionalFormatting sqref="AI62">
    <cfRule type="expression" priority="3133" dxfId="3">
      <formula>AND(IF(OR($Q62=1,$Q62=2),1,0),IF($X62&lt;=20,1,0))</formula>
    </cfRule>
    <cfRule type="expression" priority="3134" dxfId="2">
      <formula>AND(IF($Q62=2,1,0),IF($X62&lt;30,1,0))</formula>
    </cfRule>
    <cfRule type="expression" priority="3135" dxfId="1">
      <formula>AND(IF($Q62=3,1,0),IF($X62&lt;30,1,0))</formula>
    </cfRule>
    <cfRule type="expression" priority="3136" dxfId="0">
      <formula>AND(IF($Q62=3,1,IF($Q62=4,1,0)),IF($F62&lt;=85,1,0))</formula>
    </cfRule>
  </conditionalFormatting>
  <conditionalFormatting sqref="AV63">
    <cfRule type="expression" priority="3131" dxfId="23">
      <formula>AV63="X"</formula>
    </cfRule>
    <cfRule type="expression" priority="3132" dxfId="22">
      <formula>AV63="후보"</formula>
    </cfRule>
  </conditionalFormatting>
  <conditionalFormatting sqref="AC6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6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63">
    <cfRule type="expression" priority="3123" dxfId="3">
      <formula>AND(IF(OR($Q63=1,$Q63=2),1,0),IF($X63&lt;=20,1,0))</formula>
    </cfRule>
    <cfRule type="expression" priority="3124" dxfId="2">
      <formula>AND(IF($Q63=2,1,0),IF($X63&lt;30,1,0))</formula>
    </cfRule>
    <cfRule type="expression" priority="3125" dxfId="1">
      <formula>AND(IF($Q63=3,1,0),IF($X63&lt;30,1,0))</formula>
    </cfRule>
    <cfRule type="expression" priority="3126" dxfId="0">
      <formula>AND(IF($Q63=3,1,IF($Q63=4,1,0)),IF($F63&lt;=85,1,0))</formula>
    </cfRule>
  </conditionalFormatting>
  <conditionalFormatting sqref="X63">
    <cfRule type="expression" priority="3119" dxfId="3">
      <formula>AND(IF(OR($Q63=1,$Q63=2),1,0),IF($X63&lt;=20,1,0))</formula>
    </cfRule>
    <cfRule type="expression" priority="3120" dxfId="2">
      <formula>AND(IF($Q63=2,1,0),IF($X63&lt;30,1,0))</formula>
    </cfRule>
    <cfRule type="expression" priority="3121" dxfId="1">
      <formula>AND(IF($Q63=3,1,0),IF($X63&lt;30,1,0))</formula>
    </cfRule>
    <cfRule type="expression" priority="3122" dxfId="0">
      <formula>AND(IF($Q63=3,1,IF($Q63=4,1,0)),IF($F63&lt;=85,1,0))</formula>
    </cfRule>
  </conditionalFormatting>
  <conditionalFormatting sqref="AI63">
    <cfRule type="expression" priority="3115" dxfId="3">
      <formula>AND(IF(OR($Q63=1,$Q63=2),1,0),IF($X63&lt;=20,1,0))</formula>
    </cfRule>
    <cfRule type="expression" priority="3116" dxfId="2">
      <formula>AND(IF($Q63=2,1,0),IF($X63&lt;30,1,0))</formula>
    </cfRule>
    <cfRule type="expression" priority="3117" dxfId="1">
      <formula>AND(IF($Q63=3,1,0),IF($X63&lt;30,1,0))</formula>
    </cfRule>
    <cfRule type="expression" priority="3118" dxfId="0">
      <formula>AND(IF($Q63=3,1,IF($Q63=4,1,0)),IF($F63&lt;=85,1,0))</formula>
    </cfRule>
  </conditionalFormatting>
  <conditionalFormatting sqref="AV64">
    <cfRule type="expression" priority="3113" dxfId="23">
      <formula>AV64="X"</formula>
    </cfRule>
    <cfRule type="expression" priority="3114" dxfId="22">
      <formula>AV64="후보"</formula>
    </cfRule>
  </conditionalFormatting>
  <conditionalFormatting sqref="AC6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6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64">
    <cfRule type="expression" priority="3105" dxfId="3">
      <formula>AND(IF(OR($Q64=1,$Q64=2),1,0),IF($X64&lt;=20,1,0))</formula>
    </cfRule>
    <cfRule type="expression" priority="3106" dxfId="2">
      <formula>AND(IF($Q64=2,1,0),IF($X64&lt;30,1,0))</formula>
    </cfRule>
    <cfRule type="expression" priority="3107" dxfId="1">
      <formula>AND(IF($Q64=3,1,0),IF($X64&lt;30,1,0))</formula>
    </cfRule>
    <cfRule type="expression" priority="3108" dxfId="0">
      <formula>AND(IF($Q64=3,1,IF($Q64=4,1,0)),IF($F64&lt;=85,1,0))</formula>
    </cfRule>
  </conditionalFormatting>
  <conditionalFormatting sqref="X64">
    <cfRule type="expression" priority="3101" dxfId="3">
      <formula>AND(IF(OR($Q64=1,$Q64=2),1,0),IF($X64&lt;=20,1,0))</formula>
    </cfRule>
    <cfRule type="expression" priority="3102" dxfId="2">
      <formula>AND(IF($Q64=2,1,0),IF($X64&lt;30,1,0))</formula>
    </cfRule>
    <cfRule type="expression" priority="3103" dxfId="1">
      <formula>AND(IF($Q64=3,1,0),IF($X64&lt;30,1,0))</formula>
    </cfRule>
    <cfRule type="expression" priority="3104" dxfId="0">
      <formula>AND(IF($Q64=3,1,IF($Q64=4,1,0)),IF($F64&lt;=85,1,0))</formula>
    </cfRule>
  </conditionalFormatting>
  <conditionalFormatting sqref="AI64">
    <cfRule type="expression" priority="3097" dxfId="3">
      <formula>AND(IF(OR($Q64=1,$Q64=2),1,0),IF($X64&lt;=20,1,0))</formula>
    </cfRule>
    <cfRule type="expression" priority="3098" dxfId="2">
      <formula>AND(IF($Q64=2,1,0),IF($X64&lt;30,1,0))</formula>
    </cfRule>
    <cfRule type="expression" priority="3099" dxfId="1">
      <formula>AND(IF($Q64=3,1,0),IF($X64&lt;30,1,0))</formula>
    </cfRule>
    <cfRule type="expression" priority="3100" dxfId="0">
      <formula>AND(IF($Q64=3,1,IF($Q64=4,1,0)),IF($F64&lt;=85,1,0))</formula>
    </cfRule>
  </conditionalFormatting>
  <conditionalFormatting sqref="AV65">
    <cfRule type="expression" priority="3095" dxfId="23">
      <formula>AV65="X"</formula>
    </cfRule>
    <cfRule type="expression" priority="3096" dxfId="22">
      <formula>AV65="후보"</formula>
    </cfRule>
  </conditionalFormatting>
  <conditionalFormatting sqref="AC6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5">
    <cfRule type="expression" priority="3087" dxfId="3">
      <formula>AND(IF(OR($Q65=1,$Q65=2),1,0),IF($X65&lt;=20,1,0))</formula>
    </cfRule>
    <cfRule type="expression" priority="3088" dxfId="2">
      <formula>AND(IF($Q65=2,1,0),IF($X65&lt;30,1,0))</formula>
    </cfRule>
    <cfRule type="expression" priority="3089" dxfId="1">
      <formula>AND(IF($Q65=3,1,0),IF($X65&lt;30,1,0))</formula>
    </cfRule>
    <cfRule type="expression" priority="3090" dxfId="0">
      <formula>AND(IF($Q65=3,1,IF($Q65=4,1,0)),IF($F65&lt;=85,1,0))</formula>
    </cfRule>
  </conditionalFormatting>
  <conditionalFormatting sqref="X65">
    <cfRule type="expression" priority="3083" dxfId="3">
      <formula>AND(IF(OR($Q65=1,$Q65=2),1,0),IF($X65&lt;=20,1,0))</formula>
    </cfRule>
    <cfRule type="expression" priority="3084" dxfId="2">
      <formula>AND(IF($Q65=2,1,0),IF($X65&lt;30,1,0))</formula>
    </cfRule>
    <cfRule type="expression" priority="3085" dxfId="1">
      <formula>AND(IF($Q65=3,1,0),IF($X65&lt;30,1,0))</formula>
    </cfRule>
    <cfRule type="expression" priority="3086" dxfId="0">
      <formula>AND(IF($Q65=3,1,IF($Q65=4,1,0)),IF($F65&lt;=85,1,0))</formula>
    </cfRule>
  </conditionalFormatting>
  <conditionalFormatting sqref="AI65">
    <cfRule type="expression" priority="3079" dxfId="3">
      <formula>AND(IF(OR($Q65=1,$Q65=2),1,0),IF($X65&lt;=20,1,0))</formula>
    </cfRule>
    <cfRule type="expression" priority="3080" dxfId="2">
      <formula>AND(IF($Q65=2,1,0),IF($X65&lt;30,1,0))</formula>
    </cfRule>
    <cfRule type="expression" priority="3081" dxfId="1">
      <formula>AND(IF($Q65=3,1,0),IF($X65&lt;30,1,0))</formula>
    </cfRule>
    <cfRule type="expression" priority="3082" dxfId="0">
      <formula>AND(IF($Q65=3,1,IF($Q65=4,1,0)),IF($F65&lt;=85,1,0))</formula>
    </cfRule>
  </conditionalFormatting>
  <conditionalFormatting sqref="AV66">
    <cfRule type="expression" priority="3077" dxfId="23">
      <formula>AV66="X"</formula>
    </cfRule>
    <cfRule type="expression" priority="3078" dxfId="22">
      <formula>AV66="후보"</formula>
    </cfRule>
  </conditionalFormatting>
  <conditionalFormatting sqref="AC6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6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66">
    <cfRule type="expression" priority="3069" dxfId="3">
      <formula>AND(IF(OR($Q66=1,$Q66=2),1,0),IF($X66&lt;=20,1,0))</formula>
    </cfRule>
    <cfRule type="expression" priority="3070" dxfId="2">
      <formula>AND(IF($Q66=2,1,0),IF($X66&lt;30,1,0))</formula>
    </cfRule>
    <cfRule type="expression" priority="3071" dxfId="1">
      <formula>AND(IF($Q66=3,1,0),IF($X66&lt;30,1,0))</formula>
    </cfRule>
    <cfRule type="expression" priority="3072" dxfId="0">
      <formula>AND(IF($Q66=3,1,IF($Q66=4,1,0)),IF($F66&lt;=85,1,0))</formula>
    </cfRule>
  </conditionalFormatting>
  <conditionalFormatting sqref="X66">
    <cfRule type="expression" priority="3065" dxfId="3">
      <formula>AND(IF(OR($Q66=1,$Q66=2),1,0),IF($X66&lt;=20,1,0))</formula>
    </cfRule>
    <cfRule type="expression" priority="3066" dxfId="2">
      <formula>AND(IF($Q66=2,1,0),IF($X66&lt;30,1,0))</formula>
    </cfRule>
    <cfRule type="expression" priority="3067" dxfId="1">
      <formula>AND(IF($Q66=3,1,0),IF($X66&lt;30,1,0))</formula>
    </cfRule>
    <cfRule type="expression" priority="3068" dxfId="0">
      <formula>AND(IF($Q66=3,1,IF($Q66=4,1,0)),IF($F66&lt;=85,1,0))</formula>
    </cfRule>
  </conditionalFormatting>
  <conditionalFormatting sqref="AI66">
    <cfRule type="expression" priority="3061" dxfId="3">
      <formula>AND(IF(OR($Q66=1,$Q66=2),1,0),IF($X66&lt;=20,1,0))</formula>
    </cfRule>
    <cfRule type="expression" priority="3062" dxfId="2">
      <formula>AND(IF($Q66=2,1,0),IF($X66&lt;30,1,0))</formula>
    </cfRule>
    <cfRule type="expression" priority="3063" dxfId="1">
      <formula>AND(IF($Q66=3,1,0),IF($X66&lt;30,1,0))</formula>
    </cfRule>
    <cfRule type="expression" priority="3064" dxfId="0">
      <formula>AND(IF($Q66=3,1,IF($Q66=4,1,0)),IF($F66&lt;=85,1,0))</formula>
    </cfRule>
  </conditionalFormatting>
  <conditionalFormatting sqref="AV67">
    <cfRule type="expression" priority="3059" dxfId="23">
      <formula>AV67="X"</formula>
    </cfRule>
    <cfRule type="expression" priority="3060" dxfId="22">
      <formula>AV67="후보"</formula>
    </cfRule>
  </conditionalFormatting>
  <conditionalFormatting sqref="AC6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6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67">
    <cfRule type="expression" priority="3051" dxfId="3">
      <formula>AND(IF(OR($Q67=1,$Q67=2),1,0),IF($X67&lt;=20,1,0))</formula>
    </cfRule>
    <cfRule type="expression" priority="3052" dxfId="2">
      <formula>AND(IF($Q67=2,1,0),IF($X67&lt;30,1,0))</formula>
    </cfRule>
    <cfRule type="expression" priority="3053" dxfId="1">
      <formula>AND(IF($Q67=3,1,0),IF($X67&lt;30,1,0))</formula>
    </cfRule>
    <cfRule type="expression" priority="3054" dxfId="0">
      <formula>AND(IF($Q67=3,1,IF($Q67=4,1,0)),IF($F67&lt;=85,1,0))</formula>
    </cfRule>
  </conditionalFormatting>
  <conditionalFormatting sqref="X67">
    <cfRule type="expression" priority="3047" dxfId="3">
      <formula>AND(IF(OR($Q67=1,$Q67=2),1,0),IF($X67&lt;=20,1,0))</formula>
    </cfRule>
    <cfRule type="expression" priority="3048" dxfId="2">
      <formula>AND(IF($Q67=2,1,0),IF($X67&lt;30,1,0))</formula>
    </cfRule>
    <cfRule type="expression" priority="3049" dxfId="1">
      <formula>AND(IF($Q67=3,1,0),IF($X67&lt;30,1,0))</formula>
    </cfRule>
    <cfRule type="expression" priority="3050" dxfId="0">
      <formula>AND(IF($Q67=3,1,IF($Q67=4,1,0)),IF($F67&lt;=85,1,0))</formula>
    </cfRule>
  </conditionalFormatting>
  <conditionalFormatting sqref="AI67">
    <cfRule type="expression" priority="3043" dxfId="3">
      <formula>AND(IF(OR($Q67=1,$Q67=2),1,0),IF($X67&lt;=20,1,0))</formula>
    </cfRule>
    <cfRule type="expression" priority="3044" dxfId="2">
      <formula>AND(IF($Q67=2,1,0),IF($X67&lt;30,1,0))</formula>
    </cfRule>
    <cfRule type="expression" priority="3045" dxfId="1">
      <formula>AND(IF($Q67=3,1,0),IF($X67&lt;30,1,0))</formula>
    </cfRule>
    <cfRule type="expression" priority="3046" dxfId="0">
      <formula>AND(IF($Q67=3,1,IF($Q67=4,1,0)),IF($F67&lt;=85,1,0))</formula>
    </cfRule>
  </conditionalFormatting>
  <conditionalFormatting sqref="AV68">
    <cfRule type="expression" priority="3041" dxfId="23">
      <formula>AV68="X"</formula>
    </cfRule>
    <cfRule type="expression" priority="3042" dxfId="22">
      <formula>AV68="후보"</formula>
    </cfRule>
  </conditionalFormatting>
  <conditionalFormatting sqref="AC6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6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23">
      <formula>AV69="X"</formula>
    </cfRule>
    <cfRule type="expression" priority="3024" dxfId="22">
      <formula>AV69="후보"</formula>
    </cfRule>
  </conditionalFormatting>
  <conditionalFormatting sqref="AC6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6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69">
    <cfRule type="expression" priority="3015" dxfId="3">
      <formula>AND(IF(OR($Q69=1,$Q69=2),1,0),IF($X69&lt;=20,1,0))</formula>
    </cfRule>
    <cfRule type="expression" priority="3016" dxfId="2">
      <formula>AND(IF($Q69=2,1,0),IF($X69&lt;30,1,0))</formula>
    </cfRule>
    <cfRule type="expression" priority="3017" dxfId="1">
      <formula>AND(IF($Q69=3,1,0),IF($X69&lt;30,1,0))</formula>
    </cfRule>
    <cfRule type="expression" priority="3018" dxfId="0">
      <formula>AND(IF($Q69=3,1,IF($Q69=4,1,0)),IF($F69&lt;=85,1,0))</formula>
    </cfRule>
  </conditionalFormatting>
  <conditionalFormatting sqref="X69">
    <cfRule type="expression" priority="3011" dxfId="3">
      <formula>AND(IF(OR($Q69=1,$Q69=2),1,0),IF($X69&lt;=20,1,0))</formula>
    </cfRule>
    <cfRule type="expression" priority="3012" dxfId="2">
      <formula>AND(IF($Q69=2,1,0),IF($X69&lt;30,1,0))</formula>
    </cfRule>
    <cfRule type="expression" priority="3013" dxfId="1">
      <formula>AND(IF($Q69=3,1,0),IF($X69&lt;30,1,0))</formula>
    </cfRule>
    <cfRule type="expression" priority="3014" dxfId="0">
      <formula>AND(IF($Q69=3,1,IF($Q69=4,1,0)),IF($F69&lt;=85,1,0))</formula>
    </cfRule>
  </conditionalFormatting>
  <conditionalFormatting sqref="AI69">
    <cfRule type="expression" priority="3007" dxfId="3">
      <formula>AND(IF(OR($Q69=1,$Q69=2),1,0),IF($X69&lt;=20,1,0))</formula>
    </cfRule>
    <cfRule type="expression" priority="3008" dxfId="2">
      <formula>AND(IF($Q69=2,1,0),IF($X69&lt;30,1,0))</formula>
    </cfRule>
    <cfRule type="expression" priority="3009" dxfId="1">
      <formula>AND(IF($Q69=3,1,0),IF($X69&lt;30,1,0))</formula>
    </cfRule>
    <cfRule type="expression" priority="3010" dxfId="0">
      <formula>AND(IF($Q69=3,1,IF($Q69=4,1,0)),IF($F69&lt;=85,1,0))</formula>
    </cfRule>
  </conditionalFormatting>
  <conditionalFormatting sqref="AV70">
    <cfRule type="expression" priority="3005" dxfId="23">
      <formula>AV70="X"</formula>
    </cfRule>
    <cfRule type="expression" priority="3006" dxfId="22">
      <formula>AV70="후보"</formula>
    </cfRule>
  </conditionalFormatting>
  <conditionalFormatting sqref="AC7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">
    <cfRule type="expression" priority="2997" dxfId="3">
      <formula>AND(IF(OR($Q70=1,$Q70=2),1,0),IF($X70&lt;=20,1,0))</formula>
    </cfRule>
    <cfRule type="expression" priority="2998" dxfId="2">
      <formula>AND(IF($Q70=2,1,0),IF($X70&lt;30,1,0))</formula>
    </cfRule>
    <cfRule type="expression" priority="2999" dxfId="1">
      <formula>AND(IF($Q70=3,1,0),IF($X70&lt;30,1,0))</formula>
    </cfRule>
    <cfRule type="expression" priority="3000" dxfId="0">
      <formula>AND(IF($Q70=3,1,IF($Q70=4,1,0)),IF($F70&lt;=85,1,0))</formula>
    </cfRule>
  </conditionalFormatting>
  <conditionalFormatting sqref="X70">
    <cfRule type="expression" priority="2993" dxfId="3">
      <formula>AND(IF(OR($Q70=1,$Q70=2),1,0),IF($X70&lt;=20,1,0))</formula>
    </cfRule>
    <cfRule type="expression" priority="2994" dxfId="2">
      <formula>AND(IF($Q70=2,1,0),IF($X70&lt;30,1,0))</formula>
    </cfRule>
    <cfRule type="expression" priority="2995" dxfId="1">
      <formula>AND(IF($Q70=3,1,0),IF($X70&lt;30,1,0))</formula>
    </cfRule>
    <cfRule type="expression" priority="2996" dxfId="0">
      <formula>AND(IF($Q70=3,1,IF($Q70=4,1,0)),IF($F70&lt;=85,1,0))</formula>
    </cfRule>
  </conditionalFormatting>
  <conditionalFormatting sqref="AI70">
    <cfRule type="expression" priority="2989" dxfId="3">
      <formula>AND(IF(OR($Q70=1,$Q70=2),1,0),IF($X70&lt;=20,1,0))</formula>
    </cfRule>
    <cfRule type="expression" priority="2990" dxfId="2">
      <formula>AND(IF($Q70=2,1,0),IF($X70&lt;30,1,0))</formula>
    </cfRule>
    <cfRule type="expression" priority="2991" dxfId="1">
      <formula>AND(IF($Q70=3,1,0),IF($X70&lt;30,1,0))</formula>
    </cfRule>
    <cfRule type="expression" priority="2992" dxfId="0">
      <formula>AND(IF($Q70=3,1,IF($Q70=4,1,0)),IF($F70&lt;=85,1,0))</formula>
    </cfRule>
  </conditionalFormatting>
  <conditionalFormatting sqref="AV71">
    <cfRule type="expression" priority="2987" dxfId="23">
      <formula>AV71="X"</formula>
    </cfRule>
    <cfRule type="expression" priority="2988" dxfId="22">
      <formula>AV71="후보"</formula>
    </cfRule>
  </conditionalFormatting>
  <conditionalFormatting sqref="AC7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1">
    <cfRule type="expression" priority="2979" dxfId="3">
      <formula>AND(IF(OR($Q71=1,$Q71=2),1,0),IF($X71&lt;=20,1,0))</formula>
    </cfRule>
    <cfRule type="expression" priority="2980" dxfId="2">
      <formula>AND(IF($Q71=2,1,0),IF($X71&lt;30,1,0))</formula>
    </cfRule>
    <cfRule type="expression" priority="2981" dxfId="1">
      <formula>AND(IF($Q71=3,1,0),IF($X71&lt;30,1,0))</formula>
    </cfRule>
    <cfRule type="expression" priority="2982" dxfId="0">
      <formula>AND(IF($Q71=3,1,IF($Q71=4,1,0)),IF($F71&lt;=85,1,0))</formula>
    </cfRule>
  </conditionalFormatting>
  <conditionalFormatting sqref="X71">
    <cfRule type="expression" priority="2975" dxfId="3">
      <formula>AND(IF(OR($Q71=1,$Q71=2),1,0),IF($X71&lt;=20,1,0))</formula>
    </cfRule>
    <cfRule type="expression" priority="2976" dxfId="2">
      <formula>AND(IF($Q71=2,1,0),IF($X71&lt;30,1,0))</formula>
    </cfRule>
    <cfRule type="expression" priority="2977" dxfId="1">
      <formula>AND(IF($Q71=3,1,0),IF($X71&lt;30,1,0))</formula>
    </cfRule>
    <cfRule type="expression" priority="2978" dxfId="0">
      <formula>AND(IF($Q71=3,1,IF($Q71=4,1,0)),IF($F71&lt;=85,1,0))</formula>
    </cfRule>
  </conditionalFormatting>
  <conditionalFormatting sqref="AI71">
    <cfRule type="expression" priority="2971" dxfId="3">
      <formula>AND(IF(OR($Q71=1,$Q71=2),1,0),IF($X71&lt;=20,1,0))</formula>
    </cfRule>
    <cfRule type="expression" priority="2972" dxfId="2">
      <formula>AND(IF($Q71=2,1,0),IF($X71&lt;30,1,0))</formula>
    </cfRule>
    <cfRule type="expression" priority="2973" dxfId="1">
      <formula>AND(IF($Q71=3,1,0),IF($X71&lt;30,1,0))</formula>
    </cfRule>
    <cfRule type="expression" priority="2974" dxfId="0">
      <formula>AND(IF($Q71=3,1,IF($Q71=4,1,0)),IF($F71&lt;=85,1,0))</formula>
    </cfRule>
  </conditionalFormatting>
  <conditionalFormatting sqref="AV72">
    <cfRule type="expression" priority="2969" dxfId="23">
      <formula>AV72="X"</formula>
    </cfRule>
    <cfRule type="expression" priority="2970" dxfId="22">
      <formula>AV72="후보"</formula>
    </cfRule>
  </conditionalFormatting>
  <conditionalFormatting sqref="AC7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2">
    <cfRule type="expression" priority="2961" dxfId="3">
      <formula>AND(IF(OR($Q72=1,$Q72=2),1,0),IF($X72&lt;=20,1,0))</formula>
    </cfRule>
    <cfRule type="expression" priority="2962" dxfId="2">
      <formula>AND(IF($Q72=2,1,0),IF($X72&lt;30,1,0))</formula>
    </cfRule>
    <cfRule type="expression" priority="2963" dxfId="1">
      <formula>AND(IF($Q72=3,1,0),IF($X72&lt;30,1,0))</formula>
    </cfRule>
    <cfRule type="expression" priority="2964" dxfId="0">
      <formula>AND(IF($Q72=3,1,IF($Q72=4,1,0)),IF($F72&lt;=85,1,0))</formula>
    </cfRule>
  </conditionalFormatting>
  <conditionalFormatting sqref="X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AI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V73">
    <cfRule type="expression" priority="2951" dxfId="23">
      <formula>AV73="X"</formula>
    </cfRule>
    <cfRule type="expression" priority="2952" dxfId="22">
      <formula>AV73="후보"</formula>
    </cfRule>
  </conditionalFormatting>
  <conditionalFormatting sqref="AC7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3">
    <cfRule type="expression" priority="2943" dxfId="3">
      <formula>AND(IF(OR($Q73=1,$Q73=2),1,0),IF($X73&lt;=20,1,0))</formula>
    </cfRule>
    <cfRule type="expression" priority="2944" dxfId="2">
      <formula>AND(IF($Q73=2,1,0),IF($X73&lt;30,1,0))</formula>
    </cfRule>
    <cfRule type="expression" priority="2945" dxfId="1">
      <formula>AND(IF($Q73=3,1,0),IF($X73&lt;30,1,0))</formula>
    </cfRule>
    <cfRule type="expression" priority="2946" dxfId="0">
      <formula>AND(IF($Q73=3,1,IF($Q73=4,1,0)),IF($F73&lt;=85,1,0))</formula>
    </cfRule>
  </conditionalFormatting>
  <conditionalFormatting sqref="X73">
    <cfRule type="expression" priority="2939" dxfId="3">
      <formula>AND(IF(OR($Q73=1,$Q73=2),1,0),IF($X73&lt;=20,1,0))</formula>
    </cfRule>
    <cfRule type="expression" priority="2940" dxfId="2">
      <formula>AND(IF($Q73=2,1,0),IF($X73&lt;30,1,0))</formula>
    </cfRule>
    <cfRule type="expression" priority="2941" dxfId="1">
      <formula>AND(IF($Q73=3,1,0),IF($X73&lt;30,1,0))</formula>
    </cfRule>
    <cfRule type="expression" priority="2942" dxfId="0">
      <formula>AND(IF($Q73=3,1,IF($Q73=4,1,0)),IF($F73&lt;=85,1,0))</formula>
    </cfRule>
  </conditionalFormatting>
  <conditionalFormatting sqref="AI73">
    <cfRule type="expression" priority="2935" dxfId="3">
      <formula>AND(IF(OR($Q73=1,$Q73=2),1,0),IF($X73&lt;=20,1,0))</formula>
    </cfRule>
    <cfRule type="expression" priority="2936" dxfId="2">
      <formula>AND(IF($Q73=2,1,0),IF($X73&lt;30,1,0))</formula>
    </cfRule>
    <cfRule type="expression" priority="2937" dxfId="1">
      <formula>AND(IF($Q73=3,1,0),IF($X73&lt;30,1,0))</formula>
    </cfRule>
    <cfRule type="expression" priority="2938" dxfId="0">
      <formula>AND(IF($Q73=3,1,IF($Q73=4,1,0)),IF($F73&lt;=85,1,0))</formula>
    </cfRule>
  </conditionalFormatting>
  <conditionalFormatting sqref="AV74">
    <cfRule type="expression" priority="2933" dxfId="23">
      <formula>AV74="X"</formula>
    </cfRule>
    <cfRule type="expression" priority="2934" dxfId="22">
      <formula>AV74="후보"</formula>
    </cfRule>
  </conditionalFormatting>
  <conditionalFormatting sqref="AC7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4">
    <cfRule type="expression" priority="2925" dxfId="3">
      <formula>AND(IF(OR($Q74=1,$Q74=2),1,0),IF($X74&lt;=20,1,0))</formula>
    </cfRule>
    <cfRule type="expression" priority="2926" dxfId="2">
      <formula>AND(IF($Q74=2,1,0),IF($X74&lt;30,1,0))</formula>
    </cfRule>
    <cfRule type="expression" priority="2927" dxfId="1">
      <formula>AND(IF($Q74=3,1,0),IF($X74&lt;30,1,0))</formula>
    </cfRule>
    <cfRule type="expression" priority="2928" dxfId="0">
      <formula>AND(IF($Q74=3,1,IF($Q74=4,1,0)),IF($F74&lt;=85,1,0))</formula>
    </cfRule>
  </conditionalFormatting>
  <conditionalFormatting sqref="X74">
    <cfRule type="expression" priority="2921" dxfId="3">
      <formula>AND(IF(OR($Q74=1,$Q74=2),1,0),IF($X74&lt;=20,1,0))</formula>
    </cfRule>
    <cfRule type="expression" priority="2922" dxfId="2">
      <formula>AND(IF($Q74=2,1,0),IF($X74&lt;30,1,0))</formula>
    </cfRule>
    <cfRule type="expression" priority="2923" dxfId="1">
      <formula>AND(IF($Q74=3,1,0),IF($X74&lt;30,1,0))</formula>
    </cfRule>
    <cfRule type="expression" priority="2924" dxfId="0">
      <formula>AND(IF($Q74=3,1,IF($Q74=4,1,0)),IF($F74&lt;=85,1,0))</formula>
    </cfRule>
  </conditionalFormatting>
  <conditionalFormatting sqref="AI74">
    <cfRule type="expression" priority="2917" dxfId="3">
      <formula>AND(IF(OR($Q74=1,$Q74=2),1,0),IF($X74&lt;=20,1,0))</formula>
    </cfRule>
    <cfRule type="expression" priority="2918" dxfId="2">
      <formula>AND(IF($Q74=2,1,0),IF($X74&lt;30,1,0))</formula>
    </cfRule>
    <cfRule type="expression" priority="2919" dxfId="1">
      <formula>AND(IF($Q74=3,1,0),IF($X74&lt;30,1,0))</formula>
    </cfRule>
    <cfRule type="expression" priority="2920" dxfId="0">
      <formula>AND(IF($Q74=3,1,IF($Q74=4,1,0)),IF($F74&lt;=85,1,0))</formula>
    </cfRule>
  </conditionalFormatting>
  <conditionalFormatting sqref="AV75">
    <cfRule type="expression" priority="2915" dxfId="23">
      <formula>AV75="X"</formula>
    </cfRule>
    <cfRule type="expression" priority="2916" dxfId="22">
      <formula>AV75="후보"</formula>
    </cfRule>
  </conditionalFormatting>
  <conditionalFormatting sqref="AC7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5">
    <cfRule type="expression" priority="2907" dxfId="3">
      <formula>AND(IF(OR($Q75=1,$Q75=2),1,0),IF($X75&lt;=20,1,0))</formula>
    </cfRule>
    <cfRule type="expression" priority="2908" dxfId="2">
      <formula>AND(IF($Q75=2,1,0),IF($X75&lt;30,1,0))</formula>
    </cfRule>
    <cfRule type="expression" priority="2909" dxfId="1">
      <formula>AND(IF($Q75=3,1,0),IF($X75&lt;30,1,0))</formula>
    </cfRule>
    <cfRule type="expression" priority="2910" dxfId="0">
      <formula>AND(IF($Q75=3,1,IF($Q75=4,1,0)),IF($F75&lt;=85,1,0))</formula>
    </cfRule>
  </conditionalFormatting>
  <conditionalFormatting sqref="X75">
    <cfRule type="expression" priority="2903" dxfId="3">
      <formula>AND(IF(OR($Q75=1,$Q75=2),1,0),IF($X75&lt;=20,1,0))</formula>
    </cfRule>
    <cfRule type="expression" priority="2904" dxfId="2">
      <formula>AND(IF($Q75=2,1,0),IF($X75&lt;30,1,0))</formula>
    </cfRule>
    <cfRule type="expression" priority="2905" dxfId="1">
      <formula>AND(IF($Q75=3,1,0),IF($X75&lt;30,1,0))</formula>
    </cfRule>
    <cfRule type="expression" priority="2906" dxfId="0">
      <formula>AND(IF($Q75=3,1,IF($Q75=4,1,0)),IF($F75&lt;=85,1,0))</formula>
    </cfRule>
  </conditionalFormatting>
  <conditionalFormatting sqref="AI75">
    <cfRule type="expression" priority="2899" dxfId="3">
      <formula>AND(IF(OR($Q75=1,$Q75=2),1,0),IF($X75&lt;=20,1,0))</formula>
    </cfRule>
    <cfRule type="expression" priority="2900" dxfId="2">
      <formula>AND(IF($Q75=2,1,0),IF($X75&lt;30,1,0))</formula>
    </cfRule>
    <cfRule type="expression" priority="2901" dxfId="1">
      <formula>AND(IF($Q75=3,1,0),IF($X75&lt;30,1,0))</formula>
    </cfRule>
    <cfRule type="expression" priority="2902" dxfId="0">
      <formula>AND(IF($Q75=3,1,IF($Q75=4,1,0)),IF($F75&lt;=85,1,0))</formula>
    </cfRule>
  </conditionalFormatting>
  <conditionalFormatting sqref="AV76">
    <cfRule type="expression" priority="2897" dxfId="23">
      <formula>AV76="X"</formula>
    </cfRule>
    <cfRule type="expression" priority="2898" dxfId="22">
      <formula>AV76="후보"</formula>
    </cfRule>
  </conditionalFormatting>
  <conditionalFormatting sqref="AC7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6">
    <cfRule type="expression" priority="2889" dxfId="3">
      <formula>AND(IF(OR($Q76=1,$Q76=2),1,0),IF($X76&lt;=20,1,0))</formula>
    </cfRule>
    <cfRule type="expression" priority="2890" dxfId="2">
      <formula>AND(IF($Q76=2,1,0),IF($X76&lt;30,1,0))</formula>
    </cfRule>
    <cfRule type="expression" priority="2891" dxfId="1">
      <formula>AND(IF($Q76=3,1,0),IF($X76&lt;30,1,0))</formula>
    </cfRule>
    <cfRule type="expression" priority="2892" dxfId="0">
      <formula>AND(IF($Q76=3,1,IF($Q76=4,1,0)),IF($F76&lt;=85,1,0))</formula>
    </cfRule>
  </conditionalFormatting>
  <conditionalFormatting sqref="X76">
    <cfRule type="expression" priority="2885" dxfId="3">
      <formula>AND(IF(OR($Q76=1,$Q76=2),1,0),IF($X76&lt;=20,1,0))</formula>
    </cfRule>
    <cfRule type="expression" priority="2886" dxfId="2">
      <formula>AND(IF($Q76=2,1,0),IF($X76&lt;30,1,0))</formula>
    </cfRule>
    <cfRule type="expression" priority="2887" dxfId="1">
      <formula>AND(IF($Q76=3,1,0),IF($X76&lt;30,1,0))</formula>
    </cfRule>
    <cfRule type="expression" priority="2888" dxfId="0">
      <formula>AND(IF($Q76=3,1,IF($Q76=4,1,0)),IF($F76&lt;=85,1,0))</formula>
    </cfRule>
  </conditionalFormatting>
  <conditionalFormatting sqref="AI76">
    <cfRule type="expression" priority="2881" dxfId="3">
      <formula>AND(IF(OR($Q76=1,$Q76=2),1,0),IF($X76&lt;=20,1,0))</formula>
    </cfRule>
    <cfRule type="expression" priority="2882" dxfId="2">
      <formula>AND(IF($Q76=2,1,0),IF($X76&lt;30,1,0))</formula>
    </cfRule>
    <cfRule type="expression" priority="2883" dxfId="1">
      <formula>AND(IF($Q76=3,1,0),IF($X76&lt;30,1,0))</formula>
    </cfRule>
    <cfRule type="expression" priority="2884" dxfId="0">
      <formula>AND(IF($Q76=3,1,IF($Q76=4,1,0)),IF($F76&lt;=85,1,0))</formula>
    </cfRule>
  </conditionalFormatting>
  <conditionalFormatting sqref="AV77">
    <cfRule type="expression" priority="2879" dxfId="23">
      <formula>AV77="X"</formula>
    </cfRule>
    <cfRule type="expression" priority="2880" dxfId="22">
      <formula>AV77="후보"</formula>
    </cfRule>
  </conditionalFormatting>
  <conditionalFormatting sqref="AC7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7">
    <cfRule type="expression" priority="2871" dxfId="3">
      <formula>AND(IF(OR($Q77=1,$Q77=2),1,0),IF($X77&lt;=20,1,0))</formula>
    </cfRule>
    <cfRule type="expression" priority="2872" dxfId="2">
      <formula>AND(IF($Q77=2,1,0),IF($X77&lt;30,1,0))</formula>
    </cfRule>
    <cfRule type="expression" priority="2873" dxfId="1">
      <formula>AND(IF($Q77=3,1,0),IF($X77&lt;30,1,0))</formula>
    </cfRule>
    <cfRule type="expression" priority="2874" dxfId="0">
      <formula>AND(IF($Q77=3,1,IF($Q77=4,1,0)),IF($F77&lt;=85,1,0))</formula>
    </cfRule>
  </conditionalFormatting>
  <conditionalFormatting sqref="X77">
    <cfRule type="expression" priority="2867" dxfId="3">
      <formula>AND(IF(OR($Q77=1,$Q77=2),1,0),IF($X77&lt;=20,1,0))</formula>
    </cfRule>
    <cfRule type="expression" priority="2868" dxfId="2">
      <formula>AND(IF($Q77=2,1,0),IF($X77&lt;30,1,0))</formula>
    </cfRule>
    <cfRule type="expression" priority="2869" dxfId="1">
      <formula>AND(IF($Q77=3,1,0),IF($X77&lt;30,1,0))</formula>
    </cfRule>
    <cfRule type="expression" priority="2870" dxfId="0">
      <formula>AND(IF($Q77=3,1,IF($Q77=4,1,0)),IF($F77&lt;=85,1,0))</formula>
    </cfRule>
  </conditionalFormatting>
  <conditionalFormatting sqref="AI77">
    <cfRule type="expression" priority="2863" dxfId="3">
      <formula>AND(IF(OR($Q77=1,$Q77=2),1,0),IF($X77&lt;=20,1,0))</formula>
    </cfRule>
    <cfRule type="expression" priority="2864" dxfId="2">
      <formula>AND(IF($Q77=2,1,0),IF($X77&lt;30,1,0))</formula>
    </cfRule>
    <cfRule type="expression" priority="2865" dxfId="1">
      <formula>AND(IF($Q77=3,1,0),IF($X77&lt;30,1,0))</formula>
    </cfRule>
    <cfRule type="expression" priority="2866" dxfId="0">
      <formula>AND(IF($Q77=3,1,IF($Q77=4,1,0)),IF($F77&lt;=85,1,0))</formula>
    </cfRule>
  </conditionalFormatting>
  <conditionalFormatting sqref="AV78">
    <cfRule type="expression" priority="2861" dxfId="23">
      <formula>AV78="X"</formula>
    </cfRule>
    <cfRule type="expression" priority="2862" dxfId="22">
      <formula>AV78="후보"</formula>
    </cfRule>
  </conditionalFormatting>
  <conditionalFormatting sqref="AC7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X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I78">
    <cfRule type="expression" priority="2845" dxfId="3">
      <formula>AND(IF(OR($Q78=1,$Q78=2),1,0),IF($X78&lt;=20,1,0))</formula>
    </cfRule>
    <cfRule type="expression" priority="2846" dxfId="2">
      <formula>AND(IF($Q78=2,1,0),IF($X78&lt;30,1,0))</formula>
    </cfRule>
    <cfRule type="expression" priority="2847" dxfId="1">
      <formula>AND(IF($Q78=3,1,0),IF($X78&lt;30,1,0))</formula>
    </cfRule>
    <cfRule type="expression" priority="2848" dxfId="0">
      <formula>AND(IF($Q78=3,1,IF($Q78=4,1,0)),IF($F78&lt;=85,1,0))</formula>
    </cfRule>
  </conditionalFormatting>
  <conditionalFormatting sqref="AV79">
    <cfRule type="expression" priority="2843" dxfId="23">
      <formula>AV79="X"</formula>
    </cfRule>
    <cfRule type="expression" priority="2844" dxfId="22">
      <formula>AV79="후보"</formula>
    </cfRule>
  </conditionalFormatting>
  <conditionalFormatting sqref="AC7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9">
    <cfRule type="expression" priority="2835" dxfId="3">
      <formula>AND(IF(OR($Q79=1,$Q79=2),1,0),IF($X79&lt;=20,1,0))</formula>
    </cfRule>
    <cfRule type="expression" priority="2836" dxfId="2">
      <formula>AND(IF($Q79=2,1,0),IF($X79&lt;30,1,0))</formula>
    </cfRule>
    <cfRule type="expression" priority="2837" dxfId="1">
      <formula>AND(IF($Q79=3,1,0),IF($X79&lt;30,1,0))</formula>
    </cfRule>
    <cfRule type="expression" priority="2838" dxfId="0">
      <formula>AND(IF($Q79=3,1,IF($Q79=4,1,0)),IF($F79&lt;=85,1,0))</formula>
    </cfRule>
  </conditionalFormatting>
  <conditionalFormatting sqref="X79">
    <cfRule type="expression" priority="2831" dxfId="3">
      <formula>AND(IF(OR($Q79=1,$Q79=2),1,0),IF($X79&lt;=20,1,0))</formula>
    </cfRule>
    <cfRule type="expression" priority="2832" dxfId="2">
      <formula>AND(IF($Q79=2,1,0),IF($X79&lt;30,1,0))</formula>
    </cfRule>
    <cfRule type="expression" priority="2833" dxfId="1">
      <formula>AND(IF($Q79=3,1,0),IF($X79&lt;30,1,0))</formula>
    </cfRule>
    <cfRule type="expression" priority="2834" dxfId="0">
      <formula>AND(IF($Q79=3,1,IF($Q79=4,1,0)),IF($F79&lt;=85,1,0))</formula>
    </cfRule>
  </conditionalFormatting>
  <conditionalFormatting sqref="AI79">
    <cfRule type="expression" priority="2827" dxfId="3">
      <formula>AND(IF(OR($Q79=1,$Q79=2),1,0),IF($X79&lt;=20,1,0))</formula>
    </cfRule>
    <cfRule type="expression" priority="2828" dxfId="2">
      <formula>AND(IF($Q79=2,1,0),IF($X79&lt;30,1,0))</formula>
    </cfRule>
    <cfRule type="expression" priority="2829" dxfId="1">
      <formula>AND(IF($Q79=3,1,0),IF($X79&lt;30,1,0))</formula>
    </cfRule>
    <cfRule type="expression" priority="2830" dxfId="0">
      <formula>AND(IF($Q79=3,1,IF($Q79=4,1,0)),IF($F79&lt;=85,1,0))</formula>
    </cfRule>
  </conditionalFormatting>
  <conditionalFormatting sqref="AV80">
    <cfRule type="expression" priority="2825" dxfId="23">
      <formula>AV80="X"</formula>
    </cfRule>
    <cfRule type="expression" priority="2826" dxfId="22">
      <formula>AV80="후보"</formula>
    </cfRule>
  </conditionalFormatting>
  <conditionalFormatting sqref="AC8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0">
    <cfRule type="expression" priority="2817" dxfId="3">
      <formula>AND(IF(OR($Q80=1,$Q80=2),1,0),IF($X80&lt;=20,1,0))</formula>
    </cfRule>
    <cfRule type="expression" priority="2818" dxfId="2">
      <formula>AND(IF($Q80=2,1,0),IF($X80&lt;30,1,0))</formula>
    </cfRule>
    <cfRule type="expression" priority="2819" dxfId="1">
      <formula>AND(IF($Q80=3,1,0),IF($X80&lt;30,1,0))</formula>
    </cfRule>
    <cfRule type="expression" priority="2820" dxfId="0">
      <formula>AND(IF($Q80=3,1,IF($Q80=4,1,0)),IF($F80&lt;=85,1,0))</formula>
    </cfRule>
  </conditionalFormatting>
  <conditionalFormatting sqref="X80">
    <cfRule type="expression" priority="2813" dxfId="3">
      <formula>AND(IF(OR($Q80=1,$Q80=2),1,0),IF($X80&lt;=20,1,0))</formula>
    </cfRule>
    <cfRule type="expression" priority="2814" dxfId="2">
      <formula>AND(IF($Q80=2,1,0),IF($X80&lt;30,1,0))</formula>
    </cfRule>
    <cfRule type="expression" priority="2815" dxfId="1">
      <formula>AND(IF($Q80=3,1,0),IF($X80&lt;30,1,0))</formula>
    </cfRule>
    <cfRule type="expression" priority="2816" dxfId="0">
      <formula>AND(IF($Q80=3,1,IF($Q80=4,1,0)),IF($F80&lt;=85,1,0))</formula>
    </cfRule>
  </conditionalFormatting>
  <conditionalFormatting sqref="AI80">
    <cfRule type="expression" priority="2809" dxfId="3">
      <formula>AND(IF(OR($Q80=1,$Q80=2),1,0),IF($X80&lt;=20,1,0))</formula>
    </cfRule>
    <cfRule type="expression" priority="2810" dxfId="2">
      <formula>AND(IF($Q80=2,1,0),IF($X80&lt;30,1,0))</formula>
    </cfRule>
    <cfRule type="expression" priority="2811" dxfId="1">
      <formula>AND(IF($Q80=3,1,0),IF($X80&lt;30,1,0))</formula>
    </cfRule>
    <cfRule type="expression" priority="2812" dxfId="0">
      <formula>AND(IF($Q80=3,1,IF($Q80=4,1,0)),IF($F80&lt;=85,1,0))</formula>
    </cfRule>
  </conditionalFormatting>
  <conditionalFormatting sqref="AV81">
    <cfRule type="expression" priority="2807" dxfId="23">
      <formula>AV81="X"</formula>
    </cfRule>
    <cfRule type="expression" priority="2808" dxfId="22">
      <formula>AV81="후보"</formula>
    </cfRule>
  </conditionalFormatting>
  <conditionalFormatting sqref="AC8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1">
    <cfRule type="expression" priority="2799" dxfId="3">
      <formula>AND(IF(OR($Q81=1,$Q81=2),1,0),IF($X81&lt;=20,1,0))</formula>
    </cfRule>
    <cfRule type="expression" priority="2800" dxfId="2">
      <formula>AND(IF($Q81=2,1,0),IF($X81&lt;30,1,0))</formula>
    </cfRule>
    <cfRule type="expression" priority="2801" dxfId="1">
      <formula>AND(IF($Q81=3,1,0),IF($X81&lt;30,1,0))</formula>
    </cfRule>
    <cfRule type="expression" priority="2802" dxfId="0">
      <formula>AND(IF($Q81=3,1,IF($Q81=4,1,0)),IF($F81&lt;=85,1,0))</formula>
    </cfRule>
  </conditionalFormatting>
  <conditionalFormatting sqref="X81">
    <cfRule type="expression" priority="2795" dxfId="3">
      <formula>AND(IF(OR($Q81=1,$Q81=2),1,0),IF($X81&lt;=20,1,0))</formula>
    </cfRule>
    <cfRule type="expression" priority="2796" dxfId="2">
      <formula>AND(IF($Q81=2,1,0),IF($X81&lt;30,1,0))</formula>
    </cfRule>
    <cfRule type="expression" priority="2797" dxfId="1">
      <formula>AND(IF($Q81=3,1,0),IF($X81&lt;30,1,0))</formula>
    </cfRule>
    <cfRule type="expression" priority="2798" dxfId="0">
      <formula>AND(IF($Q81=3,1,IF($Q81=4,1,0)),IF($F81&lt;=85,1,0))</formula>
    </cfRule>
  </conditionalFormatting>
  <conditionalFormatting sqref="AI81">
    <cfRule type="expression" priority="2791" dxfId="3">
      <formula>AND(IF(OR($Q81=1,$Q81=2),1,0),IF($X81&lt;=20,1,0))</formula>
    </cfRule>
    <cfRule type="expression" priority="2792" dxfId="2">
      <formula>AND(IF($Q81=2,1,0),IF($X81&lt;30,1,0))</formula>
    </cfRule>
    <cfRule type="expression" priority="2793" dxfId="1">
      <formula>AND(IF($Q81=3,1,0),IF($X81&lt;30,1,0))</formula>
    </cfRule>
    <cfRule type="expression" priority="2794" dxfId="0">
      <formula>AND(IF($Q81=3,1,IF($Q81=4,1,0)),IF($F81&lt;=85,1,0))</formula>
    </cfRule>
  </conditionalFormatting>
  <conditionalFormatting sqref="AV82">
    <cfRule type="expression" priority="2789" dxfId="23">
      <formula>AV82="X"</formula>
    </cfRule>
    <cfRule type="expression" priority="2790" dxfId="22">
      <formula>AV82="후보"</formula>
    </cfRule>
  </conditionalFormatting>
  <conditionalFormatting sqref="AC8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23">
      <formula>AV83="X"</formula>
    </cfRule>
    <cfRule type="expression" priority="2772" dxfId="22">
      <formula>AV83="후보"</formula>
    </cfRule>
  </conditionalFormatting>
  <conditionalFormatting sqref="AC8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3">
    <cfRule type="expression" priority="2763" dxfId="3">
      <formula>AND(IF(OR($Q83=1,$Q83=2),1,0),IF($X83&lt;=20,1,0))</formula>
    </cfRule>
    <cfRule type="expression" priority="2764" dxfId="2">
      <formula>AND(IF($Q83=2,1,0),IF($X83&lt;30,1,0))</formula>
    </cfRule>
    <cfRule type="expression" priority="2765" dxfId="1">
      <formula>AND(IF($Q83=3,1,0),IF($X83&lt;30,1,0))</formula>
    </cfRule>
    <cfRule type="expression" priority="2766" dxfId="0">
      <formula>AND(IF($Q83=3,1,IF($Q83=4,1,0)),IF($F83&lt;=85,1,0))</formula>
    </cfRule>
  </conditionalFormatting>
  <conditionalFormatting sqref="X83">
    <cfRule type="expression" priority="2759" dxfId="3">
      <formula>AND(IF(OR($Q83=1,$Q83=2),1,0),IF($X83&lt;=20,1,0))</formula>
    </cfRule>
    <cfRule type="expression" priority="2760" dxfId="2">
      <formula>AND(IF($Q83=2,1,0),IF($X83&lt;30,1,0))</formula>
    </cfRule>
    <cfRule type="expression" priority="2761" dxfId="1">
      <formula>AND(IF($Q83=3,1,0),IF($X83&lt;30,1,0))</formula>
    </cfRule>
    <cfRule type="expression" priority="2762" dxfId="0">
      <formula>AND(IF($Q83=3,1,IF($Q83=4,1,0)),IF($F83&lt;=85,1,0))</formula>
    </cfRule>
  </conditionalFormatting>
  <conditionalFormatting sqref="AI83">
    <cfRule type="expression" priority="2755" dxfId="3">
      <formula>AND(IF(OR($Q83=1,$Q83=2),1,0),IF($X83&lt;=20,1,0))</formula>
    </cfRule>
    <cfRule type="expression" priority="2756" dxfId="2">
      <formula>AND(IF($Q83=2,1,0),IF($X83&lt;30,1,0))</formula>
    </cfRule>
    <cfRule type="expression" priority="2757" dxfId="1">
      <formula>AND(IF($Q83=3,1,0),IF($X83&lt;30,1,0))</formula>
    </cfRule>
    <cfRule type="expression" priority="2758" dxfId="0">
      <formula>AND(IF($Q83=3,1,IF($Q83=4,1,0)),IF($F83&lt;=85,1,0))</formula>
    </cfRule>
  </conditionalFormatting>
  <conditionalFormatting sqref="AV84">
    <cfRule type="expression" priority="2753" dxfId="23">
      <formula>AV84="X"</formula>
    </cfRule>
    <cfRule type="expression" priority="2754" dxfId="22">
      <formula>AV84="후보"</formula>
    </cfRule>
  </conditionalFormatting>
  <conditionalFormatting sqref="AC8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4">
    <cfRule type="expression" priority="2745" dxfId="3">
      <formula>AND(IF(OR($Q84=1,$Q84=2),1,0),IF($X84&lt;=20,1,0))</formula>
    </cfRule>
    <cfRule type="expression" priority="2746" dxfId="2">
      <formula>AND(IF($Q84=2,1,0),IF($X84&lt;30,1,0))</formula>
    </cfRule>
    <cfRule type="expression" priority="2747" dxfId="1">
      <formula>AND(IF($Q84=3,1,0),IF($X84&lt;30,1,0))</formula>
    </cfRule>
    <cfRule type="expression" priority="2748" dxfId="0">
      <formula>AND(IF($Q84=3,1,IF($Q84=4,1,0)),IF($F84&lt;=85,1,0))</formula>
    </cfRule>
  </conditionalFormatting>
  <conditionalFormatting sqref="X84">
    <cfRule type="expression" priority="2741" dxfId="3">
      <formula>AND(IF(OR($Q84=1,$Q84=2),1,0),IF($X84&lt;=20,1,0))</formula>
    </cfRule>
    <cfRule type="expression" priority="2742" dxfId="2">
      <formula>AND(IF($Q84=2,1,0),IF($X84&lt;30,1,0))</formula>
    </cfRule>
    <cfRule type="expression" priority="2743" dxfId="1">
      <formula>AND(IF($Q84=3,1,0),IF($X84&lt;30,1,0))</formula>
    </cfRule>
    <cfRule type="expression" priority="2744" dxfId="0">
      <formula>AND(IF($Q84=3,1,IF($Q84=4,1,0)),IF($F84&lt;=85,1,0))</formula>
    </cfRule>
  </conditionalFormatting>
  <conditionalFormatting sqref="AI84">
    <cfRule type="expression" priority="2737" dxfId="3">
      <formula>AND(IF(OR($Q84=1,$Q84=2),1,0),IF($X84&lt;=20,1,0))</formula>
    </cfRule>
    <cfRule type="expression" priority="2738" dxfId="2">
      <formula>AND(IF($Q84=2,1,0),IF($X84&lt;30,1,0))</formula>
    </cfRule>
    <cfRule type="expression" priority="2739" dxfId="1">
      <formula>AND(IF($Q84=3,1,0),IF($X84&lt;30,1,0))</formula>
    </cfRule>
    <cfRule type="expression" priority="2740" dxfId="0">
      <formula>AND(IF($Q84=3,1,IF($Q84=4,1,0)),IF($F84&lt;=85,1,0))</formula>
    </cfRule>
  </conditionalFormatting>
  <conditionalFormatting sqref="AV85">
    <cfRule type="expression" priority="2735" dxfId="23">
      <formula>AV85="X"</formula>
    </cfRule>
    <cfRule type="expression" priority="2736" dxfId="22">
      <formula>AV85="후보"</formula>
    </cfRule>
  </conditionalFormatting>
  <conditionalFormatting sqref="AC8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5">
    <cfRule type="expression" priority="2727" dxfId="3">
      <formula>AND(IF(OR($Q85=1,$Q85=2),1,0),IF($X85&lt;=20,1,0))</formula>
    </cfRule>
    <cfRule type="expression" priority="2728" dxfId="2">
      <formula>AND(IF($Q85=2,1,0),IF($X85&lt;30,1,0))</formula>
    </cfRule>
    <cfRule type="expression" priority="2729" dxfId="1">
      <formula>AND(IF($Q85=3,1,0),IF($X85&lt;30,1,0))</formula>
    </cfRule>
    <cfRule type="expression" priority="2730" dxfId="0">
      <formula>AND(IF($Q85=3,1,IF($Q85=4,1,0)),IF($F85&lt;=85,1,0))</formula>
    </cfRule>
  </conditionalFormatting>
  <conditionalFormatting sqref="X85">
    <cfRule type="expression" priority="2723" dxfId="3">
      <formula>AND(IF(OR($Q85=1,$Q85=2),1,0),IF($X85&lt;=20,1,0))</formula>
    </cfRule>
    <cfRule type="expression" priority="2724" dxfId="2">
      <formula>AND(IF($Q85=2,1,0),IF($X85&lt;30,1,0))</formula>
    </cfRule>
    <cfRule type="expression" priority="2725" dxfId="1">
      <formula>AND(IF($Q85=3,1,0),IF($X85&lt;30,1,0))</formula>
    </cfRule>
    <cfRule type="expression" priority="2726" dxfId="0">
      <formula>AND(IF($Q85=3,1,IF($Q85=4,1,0)),IF($F85&lt;=85,1,0))</formula>
    </cfRule>
  </conditionalFormatting>
  <conditionalFormatting sqref="AI85">
    <cfRule type="expression" priority="2719" dxfId="3">
      <formula>AND(IF(OR($Q85=1,$Q85=2),1,0),IF($X85&lt;=20,1,0))</formula>
    </cfRule>
    <cfRule type="expression" priority="2720" dxfId="2">
      <formula>AND(IF($Q85=2,1,0),IF($X85&lt;30,1,0))</formula>
    </cfRule>
    <cfRule type="expression" priority="2721" dxfId="1">
      <formula>AND(IF($Q85=3,1,0),IF($X85&lt;30,1,0))</formula>
    </cfRule>
    <cfRule type="expression" priority="2722" dxfId="0">
      <formula>AND(IF($Q85=3,1,IF($Q85=4,1,0)),IF($F85&lt;=85,1,0))</formula>
    </cfRule>
  </conditionalFormatting>
  <conditionalFormatting sqref="AV86">
    <cfRule type="expression" priority="2717" dxfId="23">
      <formula>AV86="X"</formula>
    </cfRule>
    <cfRule type="expression" priority="2718" dxfId="22">
      <formula>AV86="후보"</formula>
    </cfRule>
  </conditionalFormatting>
  <conditionalFormatting sqref="AC8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6">
    <cfRule type="expression" priority="2709" dxfId="3">
      <formula>AND(IF(OR($Q86=1,$Q86=2),1,0),IF($X86&lt;=20,1,0))</formula>
    </cfRule>
    <cfRule type="expression" priority="2710" dxfId="2">
      <formula>AND(IF($Q86=2,1,0),IF($X86&lt;30,1,0))</formula>
    </cfRule>
    <cfRule type="expression" priority="2711" dxfId="1">
      <formula>AND(IF($Q86=3,1,0),IF($X86&lt;30,1,0))</formula>
    </cfRule>
    <cfRule type="expression" priority="2712" dxfId="0">
      <formula>AND(IF($Q86=3,1,IF($Q86=4,1,0)),IF($F86&lt;=85,1,0))</formula>
    </cfRule>
  </conditionalFormatting>
  <conditionalFormatting sqref="X86">
    <cfRule type="expression" priority="2705" dxfId="3">
      <formula>AND(IF(OR($Q86=1,$Q86=2),1,0),IF($X86&lt;=20,1,0))</formula>
    </cfRule>
    <cfRule type="expression" priority="2706" dxfId="2">
      <formula>AND(IF($Q86=2,1,0),IF($X86&lt;30,1,0))</formula>
    </cfRule>
    <cfRule type="expression" priority="2707" dxfId="1">
      <formula>AND(IF($Q86=3,1,0),IF($X86&lt;30,1,0))</formula>
    </cfRule>
    <cfRule type="expression" priority="2708" dxfId="0">
      <formula>AND(IF($Q86=3,1,IF($Q86=4,1,0)),IF($F86&lt;=85,1,0))</formula>
    </cfRule>
  </conditionalFormatting>
  <conditionalFormatting sqref="AI86">
    <cfRule type="expression" priority="2701" dxfId="3">
      <formula>AND(IF(OR($Q86=1,$Q86=2),1,0),IF($X86&lt;=20,1,0))</formula>
    </cfRule>
    <cfRule type="expression" priority="2702" dxfId="2">
      <formula>AND(IF($Q86=2,1,0),IF($X86&lt;30,1,0))</formula>
    </cfRule>
    <cfRule type="expression" priority="2703" dxfId="1">
      <formula>AND(IF($Q86=3,1,0),IF($X86&lt;30,1,0))</formula>
    </cfRule>
    <cfRule type="expression" priority="2704" dxfId="0">
      <formula>AND(IF($Q86=3,1,IF($Q86=4,1,0)),IF($F86&lt;=85,1,0))</formula>
    </cfRule>
  </conditionalFormatting>
  <conditionalFormatting sqref="AV87">
    <cfRule type="expression" priority="2699" dxfId="23">
      <formula>AV87="X"</formula>
    </cfRule>
    <cfRule type="expression" priority="2700" dxfId="22">
      <formula>AV87="후보"</formula>
    </cfRule>
  </conditionalFormatting>
  <conditionalFormatting sqref="AC8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7">
    <cfRule type="expression" priority="2691" dxfId="3">
      <formula>AND(IF(OR($Q87=1,$Q87=2),1,0),IF($X87&lt;=20,1,0))</formula>
    </cfRule>
    <cfRule type="expression" priority="2692" dxfId="2">
      <formula>AND(IF($Q87=2,1,0),IF($X87&lt;30,1,0))</formula>
    </cfRule>
    <cfRule type="expression" priority="2693" dxfId="1">
      <formula>AND(IF($Q87=3,1,0),IF($X87&lt;30,1,0))</formula>
    </cfRule>
    <cfRule type="expression" priority="2694" dxfId="0">
      <formula>AND(IF($Q87=3,1,IF($Q87=4,1,0)),IF($F87&lt;=85,1,0))</formula>
    </cfRule>
  </conditionalFormatting>
  <conditionalFormatting sqref="X87">
    <cfRule type="expression" priority="2687" dxfId="3">
      <formula>AND(IF(OR($Q87=1,$Q87=2),1,0),IF($X87&lt;=20,1,0))</formula>
    </cfRule>
    <cfRule type="expression" priority="2688" dxfId="2">
      <formula>AND(IF($Q87=2,1,0),IF($X87&lt;30,1,0))</formula>
    </cfRule>
    <cfRule type="expression" priority="2689" dxfId="1">
      <formula>AND(IF($Q87=3,1,0),IF($X87&lt;30,1,0))</formula>
    </cfRule>
    <cfRule type="expression" priority="2690" dxfId="0">
      <formula>AND(IF($Q87=3,1,IF($Q87=4,1,0)),IF($F87&lt;=85,1,0))</formula>
    </cfRule>
  </conditionalFormatting>
  <conditionalFormatting sqref="AI87">
    <cfRule type="expression" priority="2683" dxfId="3">
      <formula>AND(IF(OR($Q87=1,$Q87=2),1,0),IF($X87&lt;=20,1,0))</formula>
    </cfRule>
    <cfRule type="expression" priority="2684" dxfId="2">
      <formula>AND(IF($Q87=2,1,0),IF($X87&lt;30,1,0))</formula>
    </cfRule>
    <cfRule type="expression" priority="2685" dxfId="1">
      <formula>AND(IF($Q87=3,1,0),IF($X87&lt;30,1,0))</formula>
    </cfRule>
    <cfRule type="expression" priority="2686" dxfId="0">
      <formula>AND(IF($Q87=3,1,IF($Q87=4,1,0)),IF($F87&lt;=85,1,0))</formula>
    </cfRule>
  </conditionalFormatting>
  <conditionalFormatting sqref="AV88">
    <cfRule type="expression" priority="2681" dxfId="23">
      <formula>AV88="X"</formula>
    </cfRule>
    <cfRule type="expression" priority="2682" dxfId="22">
      <formula>AV88="후보"</formula>
    </cfRule>
  </conditionalFormatting>
  <conditionalFormatting sqref="AC8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X88">
    <cfRule type="expression" priority="2669" dxfId="3">
      <formula>AND(IF(OR($Q88=1,$Q88=2),1,0),IF($X88&lt;=20,1,0))</formula>
    </cfRule>
    <cfRule type="expression" priority="2670" dxfId="2">
      <formula>AND(IF($Q88=2,1,0),IF($X88&lt;30,1,0))</formula>
    </cfRule>
    <cfRule type="expression" priority="2671" dxfId="1">
      <formula>AND(IF($Q88=3,1,0),IF($X88&lt;30,1,0))</formula>
    </cfRule>
    <cfRule type="expression" priority="2672" dxfId="0">
      <formula>AND(IF($Q88=3,1,IF($Q88=4,1,0)),IF($F88&lt;=85,1,0))</formula>
    </cfRule>
  </conditionalFormatting>
  <conditionalFormatting sqref="AI88">
    <cfRule type="expression" priority="2665" dxfId="3">
      <formula>AND(IF(OR($Q88=1,$Q88=2),1,0),IF($X88&lt;=20,1,0))</formula>
    </cfRule>
    <cfRule type="expression" priority="2666" dxfId="2">
      <formula>AND(IF($Q88=2,1,0),IF($X88&lt;30,1,0))</formula>
    </cfRule>
    <cfRule type="expression" priority="2667" dxfId="1">
      <formula>AND(IF($Q88=3,1,0),IF($X88&lt;30,1,0))</formula>
    </cfRule>
    <cfRule type="expression" priority="2668" dxfId="0">
      <formula>AND(IF($Q88=3,1,IF($Q88=4,1,0)),IF($F88&lt;=85,1,0))</formula>
    </cfRule>
  </conditionalFormatting>
  <conditionalFormatting sqref="AV89">
    <cfRule type="expression" priority="2663" dxfId="23">
      <formula>AV89="X"</formula>
    </cfRule>
    <cfRule type="expression" priority="2664" dxfId="22">
      <formula>AV89="후보"</formula>
    </cfRule>
  </conditionalFormatting>
  <conditionalFormatting sqref="AC8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9">
    <cfRule type="expression" priority="2655" dxfId="3">
      <formula>AND(IF(OR($Q89=1,$Q89=2),1,0),IF($X89&lt;=20,1,0))</formula>
    </cfRule>
    <cfRule type="expression" priority="2656" dxfId="2">
      <formula>AND(IF($Q89=2,1,0),IF($X89&lt;30,1,0))</formula>
    </cfRule>
    <cfRule type="expression" priority="2657" dxfId="1">
      <formula>AND(IF($Q89=3,1,0),IF($X89&lt;30,1,0))</formula>
    </cfRule>
    <cfRule type="expression" priority="2658" dxfId="0">
      <formula>AND(IF($Q89=3,1,IF($Q89=4,1,0)),IF($F89&lt;=85,1,0))</formula>
    </cfRule>
  </conditionalFormatting>
  <conditionalFormatting sqref="X89">
    <cfRule type="expression" priority="2651" dxfId="3">
      <formula>AND(IF(OR($Q89=1,$Q89=2),1,0),IF($X89&lt;=20,1,0))</formula>
    </cfRule>
    <cfRule type="expression" priority="2652" dxfId="2">
      <formula>AND(IF($Q89=2,1,0),IF($X89&lt;30,1,0))</formula>
    </cfRule>
    <cfRule type="expression" priority="2653" dxfId="1">
      <formula>AND(IF($Q89=3,1,0),IF($X89&lt;30,1,0))</formula>
    </cfRule>
    <cfRule type="expression" priority="2654" dxfId="0">
      <formula>AND(IF($Q89=3,1,IF($Q89=4,1,0)),IF($F89&lt;=85,1,0))</formula>
    </cfRule>
  </conditionalFormatting>
  <conditionalFormatting sqref="AI89">
    <cfRule type="expression" priority="2647" dxfId="3">
      <formula>AND(IF(OR($Q89=1,$Q89=2),1,0),IF($X89&lt;=20,1,0))</formula>
    </cfRule>
    <cfRule type="expression" priority="2648" dxfId="2">
      <formula>AND(IF($Q89=2,1,0),IF($X89&lt;30,1,0))</formula>
    </cfRule>
    <cfRule type="expression" priority="2649" dxfId="1">
      <formula>AND(IF($Q89=3,1,0),IF($X89&lt;30,1,0))</formula>
    </cfRule>
    <cfRule type="expression" priority="2650" dxfId="0">
      <formula>AND(IF($Q89=3,1,IF($Q89=4,1,0)),IF($F89&lt;=85,1,0))</formula>
    </cfRule>
  </conditionalFormatting>
  <conditionalFormatting sqref="AV90">
    <cfRule type="expression" priority="2645" dxfId="23">
      <formula>AV90="X"</formula>
    </cfRule>
    <cfRule type="expression" priority="2646" dxfId="22">
      <formula>AV90="후보"</formula>
    </cfRule>
  </conditionalFormatting>
  <conditionalFormatting sqref="AC9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0">
    <cfRule type="expression" priority="2637" dxfId="3">
      <formula>AND(IF(OR($Q90=1,$Q90=2),1,0),IF($X90&lt;=20,1,0))</formula>
    </cfRule>
    <cfRule type="expression" priority="2638" dxfId="2">
      <formula>AND(IF($Q90=2,1,0),IF($X90&lt;30,1,0))</formula>
    </cfRule>
    <cfRule type="expression" priority="2639" dxfId="1">
      <formula>AND(IF($Q90=3,1,0),IF($X90&lt;30,1,0))</formula>
    </cfRule>
    <cfRule type="expression" priority="2640" dxfId="0">
      <formula>AND(IF($Q90=3,1,IF($Q90=4,1,0)),IF($F90&lt;=85,1,0))</formula>
    </cfRule>
  </conditionalFormatting>
  <conditionalFormatting sqref="X90">
    <cfRule type="expression" priority="2633" dxfId="3">
      <formula>AND(IF(OR($Q90=1,$Q90=2),1,0),IF($X90&lt;=20,1,0))</formula>
    </cfRule>
    <cfRule type="expression" priority="2634" dxfId="2">
      <formula>AND(IF($Q90=2,1,0),IF($X90&lt;30,1,0))</formula>
    </cfRule>
    <cfRule type="expression" priority="2635" dxfId="1">
      <formula>AND(IF($Q90=3,1,0),IF($X90&lt;30,1,0))</formula>
    </cfRule>
    <cfRule type="expression" priority="2636" dxfId="0">
      <formula>AND(IF($Q90=3,1,IF($Q90=4,1,0)),IF($F90&lt;=85,1,0))</formula>
    </cfRule>
  </conditionalFormatting>
  <conditionalFormatting sqref="AI90">
    <cfRule type="expression" priority="2629" dxfId="3">
      <formula>AND(IF(OR($Q90=1,$Q90=2),1,0),IF($X90&lt;=20,1,0))</formula>
    </cfRule>
    <cfRule type="expression" priority="2630" dxfId="2">
      <formula>AND(IF($Q90=2,1,0),IF($X90&lt;30,1,0))</formula>
    </cfRule>
    <cfRule type="expression" priority="2631" dxfId="1">
      <formula>AND(IF($Q90=3,1,0),IF($X90&lt;30,1,0))</formula>
    </cfRule>
    <cfRule type="expression" priority="2632" dxfId="0">
      <formula>AND(IF($Q90=3,1,IF($Q90=4,1,0)),IF($F90&lt;=85,1,0))</formula>
    </cfRule>
  </conditionalFormatting>
  <conditionalFormatting sqref="AV91">
    <cfRule type="expression" priority="2627" dxfId="23">
      <formula>AV91="X"</formula>
    </cfRule>
    <cfRule type="expression" priority="2628" dxfId="22">
      <formula>AV91="후보"</formula>
    </cfRule>
  </conditionalFormatting>
  <conditionalFormatting sqref="AC9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">
    <cfRule type="expression" priority="2619" dxfId="3">
      <formula>AND(IF(OR($Q91=1,$Q91=2),1,0),IF($X91&lt;=20,1,0))</formula>
    </cfRule>
    <cfRule type="expression" priority="2620" dxfId="2">
      <formula>AND(IF($Q91=2,1,0),IF($X91&lt;30,1,0))</formula>
    </cfRule>
    <cfRule type="expression" priority="2621" dxfId="1">
      <formula>AND(IF($Q91=3,1,0),IF($X91&lt;30,1,0))</formula>
    </cfRule>
    <cfRule type="expression" priority="2622" dxfId="0">
      <formula>AND(IF($Q91=3,1,IF($Q91=4,1,0)),IF($F91&lt;=85,1,0))</formula>
    </cfRule>
  </conditionalFormatting>
  <conditionalFormatting sqref="X91">
    <cfRule type="expression" priority="2615" dxfId="3">
      <formula>AND(IF(OR($Q91=1,$Q91=2),1,0),IF($X91&lt;=20,1,0))</formula>
    </cfRule>
    <cfRule type="expression" priority="2616" dxfId="2">
      <formula>AND(IF($Q91=2,1,0),IF($X91&lt;30,1,0))</formula>
    </cfRule>
    <cfRule type="expression" priority="2617" dxfId="1">
      <formula>AND(IF($Q91=3,1,0),IF($X91&lt;30,1,0))</formula>
    </cfRule>
    <cfRule type="expression" priority="2618" dxfId="0">
      <formula>AND(IF($Q91=3,1,IF($Q91=4,1,0)),IF($F91&lt;=85,1,0))</formula>
    </cfRule>
  </conditionalFormatting>
  <conditionalFormatting sqref="AI91">
    <cfRule type="expression" priority="2611" dxfId="3">
      <formula>AND(IF(OR($Q91=1,$Q91=2),1,0),IF($X91&lt;=20,1,0))</formula>
    </cfRule>
    <cfRule type="expression" priority="2612" dxfId="2">
      <formula>AND(IF($Q91=2,1,0),IF($X91&lt;30,1,0))</formula>
    </cfRule>
    <cfRule type="expression" priority="2613" dxfId="1">
      <formula>AND(IF($Q91=3,1,0),IF($X91&lt;30,1,0))</formula>
    </cfRule>
    <cfRule type="expression" priority="2614" dxfId="0">
      <formula>AND(IF($Q91=3,1,IF($Q91=4,1,0)),IF($F91&lt;=85,1,0))</formula>
    </cfRule>
  </conditionalFormatting>
  <conditionalFormatting sqref="AV92">
    <cfRule type="expression" priority="2609" dxfId="23">
      <formula>AV92="X"</formula>
    </cfRule>
    <cfRule type="expression" priority="2610" dxfId="22">
      <formula>AV92="후보"</formula>
    </cfRule>
  </conditionalFormatting>
  <conditionalFormatting sqref="AC9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2">
    <cfRule type="expression" priority="2601" dxfId="3">
      <formula>AND(IF(OR($Q92=1,$Q92=2),1,0),IF($X92&lt;=20,1,0))</formula>
    </cfRule>
    <cfRule type="expression" priority="2602" dxfId="2">
      <formula>AND(IF($Q92=2,1,0),IF($X92&lt;30,1,0))</formula>
    </cfRule>
    <cfRule type="expression" priority="2603" dxfId="1">
      <formula>AND(IF($Q92=3,1,0),IF($X92&lt;30,1,0))</formula>
    </cfRule>
    <cfRule type="expression" priority="2604" dxfId="0">
      <formula>AND(IF($Q92=3,1,IF($Q92=4,1,0)),IF($F92&lt;=85,1,0))</formula>
    </cfRule>
  </conditionalFormatting>
  <conditionalFormatting sqref="X92">
    <cfRule type="expression" priority="2597" dxfId="3">
      <formula>AND(IF(OR($Q92=1,$Q92=2),1,0),IF($X92&lt;=20,1,0))</formula>
    </cfRule>
    <cfRule type="expression" priority="2598" dxfId="2">
      <formula>AND(IF($Q92=2,1,0),IF($X92&lt;30,1,0))</formula>
    </cfRule>
    <cfRule type="expression" priority="2599" dxfId="1">
      <formula>AND(IF($Q92=3,1,0),IF($X92&lt;30,1,0))</formula>
    </cfRule>
    <cfRule type="expression" priority="2600" dxfId="0">
      <formula>AND(IF($Q92=3,1,IF($Q92=4,1,0)),IF($F92&lt;=85,1,0))</formula>
    </cfRule>
  </conditionalFormatting>
  <conditionalFormatting sqref="AI92">
    <cfRule type="expression" priority="2593" dxfId="3">
      <formula>AND(IF(OR($Q92=1,$Q92=2),1,0),IF($X92&lt;=20,1,0))</formula>
    </cfRule>
    <cfRule type="expression" priority="2594" dxfId="2">
      <formula>AND(IF($Q92=2,1,0),IF($X92&lt;30,1,0))</formula>
    </cfRule>
    <cfRule type="expression" priority="2595" dxfId="1">
      <formula>AND(IF($Q92=3,1,0),IF($X92&lt;30,1,0))</formula>
    </cfRule>
    <cfRule type="expression" priority="2596" dxfId="0">
      <formula>AND(IF($Q92=3,1,IF($Q92=4,1,0)),IF($F92&lt;=85,1,0))</formula>
    </cfRule>
  </conditionalFormatting>
  <conditionalFormatting sqref="AV93">
    <cfRule type="expression" priority="2591" dxfId="23">
      <formula>AV93="X"</formula>
    </cfRule>
    <cfRule type="expression" priority="2592" dxfId="22">
      <formula>AV93="후보"</formula>
    </cfRule>
  </conditionalFormatting>
  <conditionalFormatting sqref="AC9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3">
    <cfRule type="expression" priority="2583" dxfId="3">
      <formula>AND(IF(OR($Q93=1,$Q93=2),1,0),IF($X93&lt;=20,1,0))</formula>
    </cfRule>
    <cfRule type="expression" priority="2584" dxfId="2">
      <formula>AND(IF($Q93=2,1,0),IF($X93&lt;30,1,0))</formula>
    </cfRule>
    <cfRule type="expression" priority="2585" dxfId="1">
      <formula>AND(IF($Q93=3,1,0),IF($X93&lt;30,1,0))</formula>
    </cfRule>
    <cfRule type="expression" priority="2586" dxfId="0">
      <formula>AND(IF($Q93=3,1,IF($Q93=4,1,0)),IF($F93&lt;=85,1,0))</formula>
    </cfRule>
  </conditionalFormatting>
  <conditionalFormatting sqref="X93">
    <cfRule type="expression" priority="2579" dxfId="3">
      <formula>AND(IF(OR($Q93=1,$Q93=2),1,0),IF($X93&lt;=20,1,0))</formula>
    </cfRule>
    <cfRule type="expression" priority="2580" dxfId="2">
      <formula>AND(IF($Q93=2,1,0),IF($X93&lt;30,1,0))</formula>
    </cfRule>
    <cfRule type="expression" priority="2581" dxfId="1">
      <formula>AND(IF($Q93=3,1,0),IF($X93&lt;30,1,0))</formula>
    </cfRule>
    <cfRule type="expression" priority="2582" dxfId="0">
      <formula>AND(IF($Q93=3,1,IF($Q93=4,1,0)),IF($F93&lt;=85,1,0))</formula>
    </cfRule>
  </conditionalFormatting>
  <conditionalFormatting sqref="AI93">
    <cfRule type="expression" priority="2575" dxfId="3">
      <formula>AND(IF(OR($Q93=1,$Q93=2),1,0),IF($X93&lt;=20,1,0))</formula>
    </cfRule>
    <cfRule type="expression" priority="2576" dxfId="2">
      <formula>AND(IF($Q93=2,1,0),IF($X93&lt;30,1,0))</formula>
    </cfRule>
    <cfRule type="expression" priority="2577" dxfId="1">
      <formula>AND(IF($Q93=3,1,0),IF($X93&lt;30,1,0))</formula>
    </cfRule>
    <cfRule type="expression" priority="2578" dxfId="0">
      <formula>AND(IF($Q93=3,1,IF($Q93=4,1,0)),IF($F93&lt;=85,1,0))</formula>
    </cfRule>
  </conditionalFormatting>
  <conditionalFormatting sqref="AV94">
    <cfRule type="expression" priority="2573" dxfId="23">
      <formula>AV94="X"</formula>
    </cfRule>
    <cfRule type="expression" priority="2574" dxfId="22">
      <formula>AV94="후보"</formula>
    </cfRule>
  </conditionalFormatting>
  <conditionalFormatting sqref="AC9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4">
    <cfRule type="expression" priority="2565" dxfId="3">
      <formula>AND(IF(OR($Q94=1,$Q94=2),1,0),IF($X94&lt;=20,1,0))</formula>
    </cfRule>
    <cfRule type="expression" priority="2566" dxfId="2">
      <formula>AND(IF($Q94=2,1,0),IF($X94&lt;30,1,0))</formula>
    </cfRule>
    <cfRule type="expression" priority="2567" dxfId="1">
      <formula>AND(IF($Q94=3,1,0),IF($X94&lt;30,1,0))</formula>
    </cfRule>
    <cfRule type="expression" priority="2568" dxfId="0">
      <formula>AND(IF($Q94=3,1,IF($Q94=4,1,0)),IF($F94&lt;=85,1,0))</formula>
    </cfRule>
  </conditionalFormatting>
  <conditionalFormatting sqref="X94">
    <cfRule type="expression" priority="2561" dxfId="3">
      <formula>AND(IF(OR($Q94=1,$Q94=2),1,0),IF($X94&lt;=20,1,0))</formula>
    </cfRule>
    <cfRule type="expression" priority="2562" dxfId="2">
      <formula>AND(IF($Q94=2,1,0),IF($X94&lt;30,1,0))</formula>
    </cfRule>
    <cfRule type="expression" priority="2563" dxfId="1">
      <formula>AND(IF($Q94=3,1,0),IF($X94&lt;30,1,0))</formula>
    </cfRule>
    <cfRule type="expression" priority="2564" dxfId="0">
      <formula>AND(IF($Q94=3,1,IF($Q94=4,1,0)),IF($F94&lt;=85,1,0))</formula>
    </cfRule>
  </conditionalFormatting>
  <conditionalFormatting sqref="AI94">
    <cfRule type="expression" priority="2557" dxfId="3">
      <formula>AND(IF(OR($Q94=1,$Q94=2),1,0),IF($X94&lt;=20,1,0))</formula>
    </cfRule>
    <cfRule type="expression" priority="2558" dxfId="2">
      <formula>AND(IF($Q94=2,1,0),IF($X94&lt;30,1,0))</formula>
    </cfRule>
    <cfRule type="expression" priority="2559" dxfId="1">
      <formula>AND(IF($Q94=3,1,0),IF($X94&lt;30,1,0))</formula>
    </cfRule>
    <cfRule type="expression" priority="2560" dxfId="0">
      <formula>AND(IF($Q94=3,1,IF($Q94=4,1,0)),IF($F94&lt;=85,1,0))</formula>
    </cfRule>
  </conditionalFormatting>
  <conditionalFormatting sqref="AV95">
    <cfRule type="expression" priority="2555" dxfId="23">
      <formula>AV95="X"</formula>
    </cfRule>
    <cfRule type="expression" priority="2556" dxfId="22">
      <formula>AV95="후보"</formula>
    </cfRule>
  </conditionalFormatting>
  <conditionalFormatting sqref="AC9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5">
    <cfRule type="expression" priority="2547" dxfId="3">
      <formula>AND(IF(OR($Q95=1,$Q95=2),1,0),IF($X95&lt;=20,1,0))</formula>
    </cfRule>
    <cfRule type="expression" priority="2548" dxfId="2">
      <formula>AND(IF($Q95=2,1,0),IF($X95&lt;30,1,0))</formula>
    </cfRule>
    <cfRule type="expression" priority="2549" dxfId="1">
      <formula>AND(IF($Q95=3,1,0),IF($X95&lt;30,1,0))</formula>
    </cfRule>
    <cfRule type="expression" priority="2550" dxfId="0">
      <formula>AND(IF($Q95=3,1,IF($Q95=4,1,0)),IF($F95&lt;=85,1,0))</formula>
    </cfRule>
  </conditionalFormatting>
  <conditionalFormatting sqref="X95">
    <cfRule type="expression" priority="2543" dxfId="3">
      <formula>AND(IF(OR($Q95=1,$Q95=2),1,0),IF($X95&lt;=20,1,0))</formula>
    </cfRule>
    <cfRule type="expression" priority="2544" dxfId="2">
      <formula>AND(IF($Q95=2,1,0),IF($X95&lt;30,1,0))</formula>
    </cfRule>
    <cfRule type="expression" priority="2545" dxfId="1">
      <formula>AND(IF($Q95=3,1,0),IF($X95&lt;30,1,0))</formula>
    </cfRule>
    <cfRule type="expression" priority="2546" dxfId="0">
      <formula>AND(IF($Q95=3,1,IF($Q95=4,1,0)),IF($F95&lt;=85,1,0))</formula>
    </cfRule>
  </conditionalFormatting>
  <conditionalFormatting sqref="AI95">
    <cfRule type="expression" priority="2539" dxfId="3">
      <formula>AND(IF(OR($Q95=1,$Q95=2),1,0),IF($X95&lt;=20,1,0))</formula>
    </cfRule>
    <cfRule type="expression" priority="2540" dxfId="2">
      <formula>AND(IF($Q95=2,1,0),IF($X95&lt;30,1,0))</formula>
    </cfRule>
    <cfRule type="expression" priority="2541" dxfId="1">
      <formula>AND(IF($Q95=3,1,0),IF($X95&lt;30,1,0))</formula>
    </cfRule>
    <cfRule type="expression" priority="2542" dxfId="0">
      <formula>AND(IF($Q95=3,1,IF($Q95=4,1,0)),IF($F95&lt;=85,1,0))</formula>
    </cfRule>
  </conditionalFormatting>
  <conditionalFormatting sqref="AV96">
    <cfRule type="expression" priority="2537" dxfId="23">
      <formula>AV96="X"</formula>
    </cfRule>
    <cfRule type="expression" priority="2538" dxfId="22">
      <formula>AV96="후보"</formula>
    </cfRule>
  </conditionalFormatting>
  <conditionalFormatting sqref="AC9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6">
    <cfRule type="expression" priority="2529" dxfId="3">
      <formula>AND(IF(OR($Q96=1,$Q96=2),1,0),IF($X96&lt;=20,1,0))</formula>
    </cfRule>
    <cfRule type="expression" priority="2530" dxfId="2">
      <formula>AND(IF($Q96=2,1,0),IF($X96&lt;30,1,0))</formula>
    </cfRule>
    <cfRule type="expression" priority="2531" dxfId="1">
      <formula>AND(IF($Q96=3,1,0),IF($X96&lt;30,1,0))</formula>
    </cfRule>
    <cfRule type="expression" priority="2532" dxfId="0">
      <formula>AND(IF($Q96=3,1,IF($Q96=4,1,0)),IF($F96&lt;=85,1,0))</formula>
    </cfRule>
  </conditionalFormatting>
  <conditionalFormatting sqref="X96">
    <cfRule type="expression" priority="2525" dxfId="3">
      <formula>AND(IF(OR($Q96=1,$Q96=2),1,0),IF($X96&lt;=20,1,0))</formula>
    </cfRule>
    <cfRule type="expression" priority="2526" dxfId="2">
      <formula>AND(IF($Q96=2,1,0),IF($X96&lt;30,1,0))</formula>
    </cfRule>
    <cfRule type="expression" priority="2527" dxfId="1">
      <formula>AND(IF($Q96=3,1,0),IF($X96&lt;30,1,0))</formula>
    </cfRule>
    <cfRule type="expression" priority="2528" dxfId="0">
      <formula>AND(IF($Q96=3,1,IF($Q96=4,1,0)),IF($F96&lt;=85,1,0))</formula>
    </cfRule>
  </conditionalFormatting>
  <conditionalFormatting sqref="AI96">
    <cfRule type="expression" priority="2521" dxfId="3">
      <formula>AND(IF(OR($Q96=1,$Q96=2),1,0),IF($X96&lt;=20,1,0))</formula>
    </cfRule>
    <cfRule type="expression" priority="2522" dxfId="2">
      <formula>AND(IF($Q96=2,1,0),IF($X96&lt;30,1,0))</formula>
    </cfRule>
    <cfRule type="expression" priority="2523" dxfId="1">
      <formula>AND(IF($Q96=3,1,0),IF($X96&lt;30,1,0))</formula>
    </cfRule>
    <cfRule type="expression" priority="2524" dxfId="0">
      <formula>AND(IF($Q96=3,1,IF($Q96=4,1,0)),IF($F96&lt;=85,1,0))</formula>
    </cfRule>
  </conditionalFormatting>
  <conditionalFormatting sqref="AV97">
    <cfRule type="expression" priority="2519" dxfId="23">
      <formula>AV97="X"</formula>
    </cfRule>
    <cfRule type="expression" priority="2520" dxfId="22">
      <formula>AV97="후보"</formula>
    </cfRule>
  </conditionalFormatting>
  <conditionalFormatting sqref="AC9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7">
    <cfRule type="expression" priority="2511" dxfId="3">
      <formula>AND(IF(OR($Q97=1,$Q97=2),1,0),IF($X97&lt;=20,1,0))</formula>
    </cfRule>
    <cfRule type="expression" priority="2512" dxfId="2">
      <formula>AND(IF($Q97=2,1,0),IF($X97&lt;30,1,0))</formula>
    </cfRule>
    <cfRule type="expression" priority="2513" dxfId="1">
      <formula>AND(IF($Q97=3,1,0),IF($X97&lt;30,1,0))</formula>
    </cfRule>
    <cfRule type="expression" priority="2514" dxfId="0">
      <formula>AND(IF($Q97=3,1,IF($Q97=4,1,0)),IF($F97&lt;=85,1,0))</formula>
    </cfRule>
  </conditionalFormatting>
  <conditionalFormatting sqref="X97">
    <cfRule type="expression" priority="2507" dxfId="3">
      <formula>AND(IF(OR($Q97=1,$Q97=2),1,0),IF($X97&lt;=20,1,0))</formula>
    </cfRule>
    <cfRule type="expression" priority="2508" dxfId="2">
      <formula>AND(IF($Q97=2,1,0),IF($X97&lt;30,1,0))</formula>
    </cfRule>
    <cfRule type="expression" priority="2509" dxfId="1">
      <formula>AND(IF($Q97=3,1,0),IF($X97&lt;30,1,0))</formula>
    </cfRule>
    <cfRule type="expression" priority="2510" dxfId="0">
      <formula>AND(IF($Q97=3,1,IF($Q97=4,1,0)),IF($F97&lt;=85,1,0))</formula>
    </cfRule>
  </conditionalFormatting>
  <conditionalFormatting sqref="AI97">
    <cfRule type="expression" priority="2503" dxfId="3">
      <formula>AND(IF(OR($Q97=1,$Q97=2),1,0),IF($X97&lt;=20,1,0))</formula>
    </cfRule>
    <cfRule type="expression" priority="2504" dxfId="2">
      <formula>AND(IF($Q97=2,1,0),IF($X97&lt;30,1,0))</formula>
    </cfRule>
    <cfRule type="expression" priority="2505" dxfId="1">
      <formula>AND(IF($Q97=3,1,0),IF($X97&lt;30,1,0))</formula>
    </cfRule>
    <cfRule type="expression" priority="2506" dxfId="0">
      <formula>AND(IF($Q97=3,1,IF($Q97=4,1,0)),IF($F97&lt;=85,1,0))</formula>
    </cfRule>
  </conditionalFormatting>
  <conditionalFormatting sqref="AV98">
    <cfRule type="expression" priority="2501" dxfId="23">
      <formula>AV98="X"</formula>
    </cfRule>
    <cfRule type="expression" priority="2502" dxfId="22">
      <formula>AV98="후보"</formula>
    </cfRule>
  </conditionalFormatting>
  <conditionalFormatting sqref="AC9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8">
    <cfRule type="expression" priority="2493" dxfId="3">
      <formula>AND(IF(OR($Q98=1,$Q98=2),1,0),IF($X98&lt;=20,1,0))</formula>
    </cfRule>
    <cfRule type="expression" priority="2494" dxfId="2">
      <formula>AND(IF($Q98=2,1,0),IF($X98&lt;30,1,0))</formula>
    </cfRule>
    <cfRule type="expression" priority="2495" dxfId="1">
      <formula>AND(IF($Q98=3,1,0),IF($X98&lt;30,1,0))</formula>
    </cfRule>
    <cfRule type="expression" priority="2496" dxfId="0">
      <formula>AND(IF($Q98=3,1,IF($Q98=4,1,0)),IF($F98&lt;=85,1,0))</formula>
    </cfRule>
  </conditionalFormatting>
  <conditionalFormatting sqref="X98">
    <cfRule type="expression" priority="2489" dxfId="3">
      <formula>AND(IF(OR($Q98=1,$Q98=2),1,0),IF($X98&lt;=20,1,0))</formula>
    </cfRule>
    <cfRule type="expression" priority="2490" dxfId="2">
      <formula>AND(IF($Q98=2,1,0),IF($X98&lt;30,1,0))</formula>
    </cfRule>
    <cfRule type="expression" priority="2491" dxfId="1">
      <formula>AND(IF($Q98=3,1,0),IF($X98&lt;30,1,0))</formula>
    </cfRule>
    <cfRule type="expression" priority="2492" dxfId="0">
      <formula>AND(IF($Q98=3,1,IF($Q98=4,1,0)),IF($F98&lt;=85,1,0))</formula>
    </cfRule>
  </conditionalFormatting>
  <conditionalFormatting sqref="AI98">
    <cfRule type="expression" priority="2485" dxfId="3">
      <formula>AND(IF(OR($Q98=1,$Q98=2),1,0),IF($X98&lt;=20,1,0))</formula>
    </cfRule>
    <cfRule type="expression" priority="2486" dxfId="2">
      <formula>AND(IF($Q98=2,1,0),IF($X98&lt;30,1,0))</formula>
    </cfRule>
    <cfRule type="expression" priority="2487" dxfId="1">
      <formula>AND(IF($Q98=3,1,0),IF($X98&lt;30,1,0))</formula>
    </cfRule>
    <cfRule type="expression" priority="2488" dxfId="0">
      <formula>AND(IF($Q98=3,1,IF($Q98=4,1,0)),IF($F98&lt;=85,1,0))</formula>
    </cfRule>
  </conditionalFormatting>
  <conditionalFormatting sqref="AV99">
    <cfRule type="expression" priority="2483" dxfId="23">
      <formula>AV99="X"</formula>
    </cfRule>
    <cfRule type="expression" priority="2484" dxfId="22">
      <formula>AV99="후보"</formula>
    </cfRule>
  </conditionalFormatting>
  <conditionalFormatting sqref="AC9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9">
    <cfRule type="expression" priority="2475" dxfId="3">
      <formula>AND(IF(OR($Q99=1,$Q99=2),1,0),IF($X99&lt;=20,1,0))</formula>
    </cfRule>
    <cfRule type="expression" priority="2476" dxfId="2">
      <formula>AND(IF($Q99=2,1,0),IF($X99&lt;30,1,0))</formula>
    </cfRule>
    <cfRule type="expression" priority="2477" dxfId="1">
      <formula>AND(IF($Q99=3,1,0),IF($X99&lt;30,1,0))</formula>
    </cfRule>
    <cfRule type="expression" priority="2478" dxfId="0">
      <formula>AND(IF($Q99=3,1,IF($Q99=4,1,0)),IF($F99&lt;=85,1,0))</formula>
    </cfRule>
  </conditionalFormatting>
  <conditionalFormatting sqref="X99">
    <cfRule type="expression" priority="2471" dxfId="3">
      <formula>AND(IF(OR($Q99=1,$Q99=2),1,0),IF($X99&lt;=20,1,0))</formula>
    </cfRule>
    <cfRule type="expression" priority="2472" dxfId="2">
      <formula>AND(IF($Q99=2,1,0),IF($X99&lt;30,1,0))</formula>
    </cfRule>
    <cfRule type="expression" priority="2473" dxfId="1">
      <formula>AND(IF($Q99=3,1,0),IF($X99&lt;30,1,0))</formula>
    </cfRule>
    <cfRule type="expression" priority="2474" dxfId="0">
      <formula>AND(IF($Q99=3,1,IF($Q99=4,1,0)),IF($F99&lt;=85,1,0))</formula>
    </cfRule>
  </conditionalFormatting>
  <conditionalFormatting sqref="AI99">
    <cfRule type="expression" priority="2467" dxfId="3">
      <formula>AND(IF(OR($Q99=1,$Q99=2),1,0),IF($X99&lt;=20,1,0))</formula>
    </cfRule>
    <cfRule type="expression" priority="2468" dxfId="2">
      <formula>AND(IF($Q99=2,1,0),IF($X99&lt;30,1,0))</formula>
    </cfRule>
    <cfRule type="expression" priority="2469" dxfId="1">
      <formula>AND(IF($Q99=3,1,0),IF($X99&lt;30,1,0))</formula>
    </cfRule>
    <cfRule type="expression" priority="2470" dxfId="0">
      <formula>AND(IF($Q99=3,1,IF($Q99=4,1,0)),IF($F99&lt;=85,1,0))</formula>
    </cfRule>
  </conditionalFormatting>
  <conditionalFormatting sqref="AV100">
    <cfRule type="expression" priority="2465" dxfId="23">
      <formula>AV100="X"</formula>
    </cfRule>
    <cfRule type="expression" priority="2466" dxfId="22">
      <formula>AV100="후보"</formula>
    </cfRule>
  </conditionalFormatting>
  <conditionalFormatting sqref="AC10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0">
    <cfRule type="expression" priority="2457" dxfId="3">
      <formula>AND(IF(OR($Q100=1,$Q100=2),1,0),IF($X100&lt;=20,1,0))</formula>
    </cfRule>
    <cfRule type="expression" priority="2458" dxfId="2">
      <formula>AND(IF($Q100=2,1,0),IF($X100&lt;30,1,0))</formula>
    </cfRule>
    <cfRule type="expression" priority="2459" dxfId="1">
      <formula>AND(IF($Q100=3,1,0),IF($X100&lt;30,1,0))</formula>
    </cfRule>
    <cfRule type="expression" priority="2460" dxfId="0">
      <formula>AND(IF($Q100=3,1,IF($Q100=4,1,0)),IF($F100&lt;=85,1,0))</formula>
    </cfRule>
  </conditionalFormatting>
  <conditionalFormatting sqref="X100">
    <cfRule type="expression" priority="2453" dxfId="3">
      <formula>AND(IF(OR($Q100=1,$Q100=2),1,0),IF($X100&lt;=20,1,0))</formula>
    </cfRule>
    <cfRule type="expression" priority="2454" dxfId="2">
      <formula>AND(IF($Q100=2,1,0),IF($X100&lt;30,1,0))</formula>
    </cfRule>
    <cfRule type="expression" priority="2455" dxfId="1">
      <formula>AND(IF($Q100=3,1,0),IF($X100&lt;30,1,0))</formula>
    </cfRule>
    <cfRule type="expression" priority="2456" dxfId="0">
      <formula>AND(IF($Q100=3,1,IF($Q100=4,1,0)),IF($F100&lt;=85,1,0))</formula>
    </cfRule>
  </conditionalFormatting>
  <conditionalFormatting sqref="AI100">
    <cfRule type="expression" priority="2449" dxfId="3">
      <formula>AND(IF(OR($Q100=1,$Q100=2),1,0),IF($X100&lt;=20,1,0))</formula>
    </cfRule>
    <cfRule type="expression" priority="2450" dxfId="2">
      <formula>AND(IF($Q100=2,1,0),IF($X100&lt;30,1,0))</formula>
    </cfRule>
    <cfRule type="expression" priority="2451" dxfId="1">
      <formula>AND(IF($Q100=3,1,0),IF($X100&lt;30,1,0))</formula>
    </cfRule>
    <cfRule type="expression" priority="2452" dxfId="0">
      <formula>AND(IF($Q100=3,1,IF($Q100=4,1,0)),IF($F100&lt;=85,1,0))</formula>
    </cfRule>
  </conditionalFormatting>
  <conditionalFormatting sqref="AV101">
    <cfRule type="expression" priority="2447" dxfId="23">
      <formula>AV101="X"</formula>
    </cfRule>
    <cfRule type="expression" priority="2448" dxfId="22">
      <formula>AV101="후보"</formula>
    </cfRule>
  </conditionalFormatting>
  <conditionalFormatting sqref="AC10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1">
    <cfRule type="expression" priority="2439" dxfId="3">
      <formula>AND(IF(OR($Q101=1,$Q101=2),1,0),IF($X101&lt;=20,1,0))</formula>
    </cfRule>
    <cfRule type="expression" priority="2440" dxfId="2">
      <formula>AND(IF($Q101=2,1,0),IF($X101&lt;30,1,0))</formula>
    </cfRule>
    <cfRule type="expression" priority="2441" dxfId="1">
      <formula>AND(IF($Q101=3,1,0),IF($X101&lt;30,1,0))</formula>
    </cfRule>
    <cfRule type="expression" priority="2442" dxfId="0">
      <formula>AND(IF($Q101=3,1,IF($Q101=4,1,0)),IF($F101&lt;=85,1,0))</formula>
    </cfRule>
  </conditionalFormatting>
  <conditionalFormatting sqref="X101">
    <cfRule type="expression" priority="2435" dxfId="3">
      <formula>AND(IF(OR($Q101=1,$Q101=2),1,0),IF($X101&lt;=20,1,0))</formula>
    </cfRule>
    <cfRule type="expression" priority="2436" dxfId="2">
      <formula>AND(IF($Q101=2,1,0),IF($X101&lt;30,1,0))</formula>
    </cfRule>
    <cfRule type="expression" priority="2437" dxfId="1">
      <formula>AND(IF($Q101=3,1,0),IF($X101&lt;30,1,0))</formula>
    </cfRule>
    <cfRule type="expression" priority="2438" dxfId="0">
      <formula>AND(IF($Q101=3,1,IF($Q101=4,1,0)),IF($F101&lt;=85,1,0))</formula>
    </cfRule>
  </conditionalFormatting>
  <conditionalFormatting sqref="AI101">
    <cfRule type="expression" priority="2431" dxfId="3">
      <formula>AND(IF(OR($Q101=1,$Q101=2),1,0),IF($X101&lt;=20,1,0))</formula>
    </cfRule>
    <cfRule type="expression" priority="2432" dxfId="2">
      <formula>AND(IF($Q101=2,1,0),IF($X101&lt;30,1,0))</formula>
    </cfRule>
    <cfRule type="expression" priority="2433" dxfId="1">
      <formula>AND(IF($Q101=3,1,0),IF($X101&lt;30,1,0))</formula>
    </cfRule>
    <cfRule type="expression" priority="2434" dxfId="0">
      <formula>AND(IF($Q101=3,1,IF($Q101=4,1,0)),IF($F101&lt;=85,1,0))</formula>
    </cfRule>
  </conditionalFormatting>
  <conditionalFormatting sqref="AV102">
    <cfRule type="expression" priority="2429" dxfId="23">
      <formula>AV102="X"</formula>
    </cfRule>
    <cfRule type="expression" priority="2430" dxfId="22">
      <formula>AV102="후보"</formula>
    </cfRule>
  </conditionalFormatting>
  <conditionalFormatting sqref="AC10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2">
    <cfRule type="expression" priority="2421" dxfId="3">
      <formula>AND(IF(OR($Q102=1,$Q102=2),1,0),IF($X102&lt;=20,1,0))</formula>
    </cfRule>
    <cfRule type="expression" priority="2422" dxfId="2">
      <formula>AND(IF($Q102=2,1,0),IF($X102&lt;30,1,0))</formula>
    </cfRule>
    <cfRule type="expression" priority="2423" dxfId="1">
      <formula>AND(IF($Q102=3,1,0),IF($X102&lt;30,1,0))</formula>
    </cfRule>
    <cfRule type="expression" priority="2424" dxfId="0">
      <formula>AND(IF($Q102=3,1,IF($Q102=4,1,0)),IF($F102&lt;=85,1,0))</formula>
    </cfRule>
  </conditionalFormatting>
  <conditionalFormatting sqref="X102">
    <cfRule type="expression" priority="2417" dxfId="3">
      <formula>AND(IF(OR($Q102=1,$Q102=2),1,0),IF($X102&lt;=20,1,0))</formula>
    </cfRule>
    <cfRule type="expression" priority="2418" dxfId="2">
      <formula>AND(IF($Q102=2,1,0),IF($X102&lt;30,1,0))</formula>
    </cfRule>
    <cfRule type="expression" priority="2419" dxfId="1">
      <formula>AND(IF($Q102=3,1,0),IF($X102&lt;30,1,0))</formula>
    </cfRule>
    <cfRule type="expression" priority="2420" dxfId="0">
      <formula>AND(IF($Q102=3,1,IF($Q102=4,1,0)),IF($F102&lt;=85,1,0))</formula>
    </cfRule>
  </conditionalFormatting>
  <conditionalFormatting sqref="AI102">
    <cfRule type="expression" priority="2413" dxfId="3">
      <formula>AND(IF(OR($Q102=1,$Q102=2),1,0),IF($X102&lt;=20,1,0))</formula>
    </cfRule>
    <cfRule type="expression" priority="2414" dxfId="2">
      <formula>AND(IF($Q102=2,1,0),IF($X102&lt;30,1,0))</formula>
    </cfRule>
    <cfRule type="expression" priority="2415" dxfId="1">
      <formula>AND(IF($Q102=3,1,0),IF($X102&lt;30,1,0))</formula>
    </cfRule>
    <cfRule type="expression" priority="2416" dxfId="0">
      <formula>AND(IF($Q102=3,1,IF($Q102=4,1,0)),IF($F102&lt;=85,1,0))</formula>
    </cfRule>
  </conditionalFormatting>
  <conditionalFormatting sqref="AV103">
    <cfRule type="expression" priority="2411" dxfId="23">
      <formula>AV103="X"</formula>
    </cfRule>
    <cfRule type="expression" priority="2412" dxfId="22">
      <formula>AV103="후보"</formula>
    </cfRule>
  </conditionalFormatting>
  <conditionalFormatting sqref="AC10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X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I103">
    <cfRule type="expression" priority="2395" dxfId="3">
      <formula>AND(IF(OR($Q103=1,$Q103=2),1,0),IF($X103&lt;=20,1,0))</formula>
    </cfRule>
    <cfRule type="expression" priority="2396" dxfId="2">
      <formula>AND(IF($Q103=2,1,0),IF($X103&lt;30,1,0))</formula>
    </cfRule>
    <cfRule type="expression" priority="2397" dxfId="1">
      <formula>AND(IF($Q103=3,1,0),IF($X103&lt;30,1,0))</formula>
    </cfRule>
    <cfRule type="expression" priority="2398" dxfId="0">
      <formula>AND(IF($Q103=3,1,IF($Q103=4,1,0)),IF($F103&lt;=85,1,0))</formula>
    </cfRule>
  </conditionalFormatting>
  <conditionalFormatting sqref="AV104">
    <cfRule type="expression" priority="2393" dxfId="23">
      <formula>AV104="X"</formula>
    </cfRule>
    <cfRule type="expression" priority="2394" dxfId="22">
      <formula>AV104="후보"</formula>
    </cfRule>
  </conditionalFormatting>
  <conditionalFormatting sqref="AC10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04">
    <cfRule type="expression" priority="2385" dxfId="3">
      <formula>AND(IF(OR($Q104=1,$Q104=2),1,0),IF($X104&lt;=20,1,0))</formula>
    </cfRule>
    <cfRule type="expression" priority="2386" dxfId="2">
      <formula>AND(IF($Q104=2,1,0),IF($X104&lt;30,1,0))</formula>
    </cfRule>
    <cfRule type="expression" priority="2387" dxfId="1">
      <formula>AND(IF($Q104=3,1,0),IF($X104&lt;30,1,0))</formula>
    </cfRule>
    <cfRule type="expression" priority="2388" dxfId="0">
      <formula>AND(IF($Q104=3,1,IF($Q104=4,1,0)),IF($F104&lt;=85,1,0))</formula>
    </cfRule>
  </conditionalFormatting>
  <conditionalFormatting sqref="X104">
    <cfRule type="expression" priority="2381" dxfId="3">
      <formula>AND(IF(OR($Q104=1,$Q104=2),1,0),IF($X104&lt;=20,1,0))</formula>
    </cfRule>
    <cfRule type="expression" priority="2382" dxfId="2">
      <formula>AND(IF($Q104=2,1,0),IF($X104&lt;30,1,0))</formula>
    </cfRule>
    <cfRule type="expression" priority="2383" dxfId="1">
      <formula>AND(IF($Q104=3,1,0),IF($X104&lt;30,1,0))</formula>
    </cfRule>
    <cfRule type="expression" priority="2384" dxfId="0">
      <formula>AND(IF($Q104=3,1,IF($Q104=4,1,0)),IF($F104&lt;=85,1,0))</formula>
    </cfRule>
  </conditionalFormatting>
  <conditionalFormatting sqref="AI104">
    <cfRule type="expression" priority="2377" dxfId="3">
      <formula>AND(IF(OR($Q104=1,$Q104=2),1,0),IF($X104&lt;=20,1,0))</formula>
    </cfRule>
    <cfRule type="expression" priority="2378" dxfId="2">
      <formula>AND(IF($Q104=2,1,0),IF($X104&lt;30,1,0))</formula>
    </cfRule>
    <cfRule type="expression" priority="2379" dxfId="1">
      <formula>AND(IF($Q104=3,1,0),IF($X104&lt;30,1,0))</formula>
    </cfRule>
    <cfRule type="expression" priority="2380" dxfId="0">
      <formula>AND(IF($Q104=3,1,IF($Q104=4,1,0)),IF($F104&lt;=85,1,0))</formula>
    </cfRule>
  </conditionalFormatting>
  <conditionalFormatting sqref="AV105">
    <cfRule type="expression" priority="2375" dxfId="23">
      <formula>AV105="X"</formula>
    </cfRule>
    <cfRule type="expression" priority="2376" dxfId="22">
      <formula>AV105="후보"</formula>
    </cfRule>
  </conditionalFormatting>
  <conditionalFormatting sqref="AC10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05">
    <cfRule type="expression" priority="2367" dxfId="3">
      <formula>AND(IF(OR($Q105=1,$Q105=2),1,0),IF($X105&lt;=20,1,0))</formula>
    </cfRule>
    <cfRule type="expression" priority="2368" dxfId="2">
      <formula>AND(IF($Q105=2,1,0),IF($X105&lt;30,1,0))</formula>
    </cfRule>
    <cfRule type="expression" priority="2369" dxfId="1">
      <formula>AND(IF($Q105=3,1,0),IF($X105&lt;30,1,0))</formula>
    </cfRule>
    <cfRule type="expression" priority="2370" dxfId="0">
      <formula>AND(IF($Q105=3,1,IF($Q105=4,1,0)),IF($F105&lt;=85,1,0))</formula>
    </cfRule>
  </conditionalFormatting>
  <conditionalFormatting sqref="X105">
    <cfRule type="expression" priority="2363" dxfId="3">
      <formula>AND(IF(OR($Q105=1,$Q105=2),1,0),IF($X105&lt;=20,1,0))</formula>
    </cfRule>
    <cfRule type="expression" priority="2364" dxfId="2">
      <formula>AND(IF($Q105=2,1,0),IF($X105&lt;30,1,0))</formula>
    </cfRule>
    <cfRule type="expression" priority="2365" dxfId="1">
      <formula>AND(IF($Q105=3,1,0),IF($X105&lt;30,1,0))</formula>
    </cfRule>
    <cfRule type="expression" priority="2366" dxfId="0">
      <formula>AND(IF($Q105=3,1,IF($Q105=4,1,0)),IF($F105&lt;=85,1,0))</formula>
    </cfRule>
  </conditionalFormatting>
  <conditionalFormatting sqref="AI105">
    <cfRule type="expression" priority="2359" dxfId="3">
      <formula>AND(IF(OR($Q105=1,$Q105=2),1,0),IF($X105&lt;=20,1,0))</formula>
    </cfRule>
    <cfRule type="expression" priority="2360" dxfId="2">
      <formula>AND(IF($Q105=2,1,0),IF($X105&lt;30,1,0))</formula>
    </cfRule>
    <cfRule type="expression" priority="2361" dxfId="1">
      <formula>AND(IF($Q105=3,1,0),IF($X105&lt;30,1,0))</formula>
    </cfRule>
    <cfRule type="expression" priority="2362" dxfId="0">
      <formula>AND(IF($Q105=3,1,IF($Q105=4,1,0)),IF($F105&lt;=85,1,0))</formula>
    </cfRule>
  </conditionalFormatting>
  <conditionalFormatting sqref="AV106">
    <cfRule type="expression" priority="2357" dxfId="23">
      <formula>AV106="X"</formula>
    </cfRule>
    <cfRule type="expression" priority="2358" dxfId="22">
      <formula>AV106="후보"</formula>
    </cfRule>
  </conditionalFormatting>
  <conditionalFormatting sqref="AC10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06">
    <cfRule type="expression" priority="2349" dxfId="3">
      <formula>AND(IF(OR($Q106=1,$Q106=2),1,0),IF($X106&lt;=20,1,0))</formula>
    </cfRule>
    <cfRule type="expression" priority="2350" dxfId="2">
      <formula>AND(IF($Q106=2,1,0),IF($X106&lt;30,1,0))</formula>
    </cfRule>
    <cfRule type="expression" priority="2351" dxfId="1">
      <formula>AND(IF($Q106=3,1,0),IF($X106&lt;30,1,0))</formula>
    </cfRule>
    <cfRule type="expression" priority="2352" dxfId="0">
      <formula>AND(IF($Q106=3,1,IF($Q106=4,1,0)),IF($F106&lt;=85,1,0))</formula>
    </cfRule>
  </conditionalFormatting>
  <conditionalFormatting sqref="X106">
    <cfRule type="expression" priority="2345" dxfId="3">
      <formula>AND(IF(OR($Q106=1,$Q106=2),1,0),IF($X106&lt;=20,1,0))</formula>
    </cfRule>
    <cfRule type="expression" priority="2346" dxfId="2">
      <formula>AND(IF($Q106=2,1,0),IF($X106&lt;30,1,0))</formula>
    </cfRule>
    <cfRule type="expression" priority="2347" dxfId="1">
      <formula>AND(IF($Q106=3,1,0),IF($X106&lt;30,1,0))</formula>
    </cfRule>
    <cfRule type="expression" priority="2348" dxfId="0">
      <formula>AND(IF($Q106=3,1,IF($Q106=4,1,0)),IF($F106&lt;=85,1,0))</formula>
    </cfRule>
  </conditionalFormatting>
  <conditionalFormatting sqref="AI106">
    <cfRule type="expression" priority="2341" dxfId="3">
      <formula>AND(IF(OR($Q106=1,$Q106=2),1,0),IF($X106&lt;=20,1,0))</formula>
    </cfRule>
    <cfRule type="expression" priority="2342" dxfId="2">
      <formula>AND(IF($Q106=2,1,0),IF($X106&lt;30,1,0))</formula>
    </cfRule>
    <cfRule type="expression" priority="2343" dxfId="1">
      <formula>AND(IF($Q106=3,1,0),IF($X106&lt;30,1,0))</formula>
    </cfRule>
    <cfRule type="expression" priority="2344" dxfId="0">
      <formula>AND(IF($Q106=3,1,IF($Q106=4,1,0)),IF($F106&lt;=85,1,0))</formula>
    </cfRule>
  </conditionalFormatting>
  <conditionalFormatting sqref="AV107">
    <cfRule type="expression" priority="2339" dxfId="23">
      <formula>AV107="X"</formula>
    </cfRule>
    <cfRule type="expression" priority="2340" dxfId="22">
      <formula>AV107="후보"</formula>
    </cfRule>
  </conditionalFormatting>
  <conditionalFormatting sqref="AC10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07">
    <cfRule type="expression" priority="2331" dxfId="3">
      <formula>AND(IF(OR($Q107=1,$Q107=2),1,0),IF($X107&lt;=20,1,0))</formula>
    </cfRule>
    <cfRule type="expression" priority="2332" dxfId="2">
      <formula>AND(IF($Q107=2,1,0),IF($X107&lt;30,1,0))</formula>
    </cfRule>
    <cfRule type="expression" priority="2333" dxfId="1">
      <formula>AND(IF($Q107=3,1,0),IF($X107&lt;30,1,0))</formula>
    </cfRule>
    <cfRule type="expression" priority="2334" dxfId="0">
      <formula>AND(IF($Q107=3,1,IF($Q107=4,1,0)),IF($F107&lt;=85,1,0))</formula>
    </cfRule>
  </conditionalFormatting>
  <conditionalFormatting sqref="X107">
    <cfRule type="expression" priority="2327" dxfId="3">
      <formula>AND(IF(OR($Q107=1,$Q107=2),1,0),IF($X107&lt;=20,1,0))</formula>
    </cfRule>
    <cfRule type="expression" priority="2328" dxfId="2">
      <formula>AND(IF($Q107=2,1,0),IF($X107&lt;30,1,0))</formula>
    </cfRule>
    <cfRule type="expression" priority="2329" dxfId="1">
      <formula>AND(IF($Q107=3,1,0),IF($X107&lt;30,1,0))</formula>
    </cfRule>
    <cfRule type="expression" priority="2330" dxfId="0">
      <formula>AND(IF($Q107=3,1,IF($Q107=4,1,0)),IF($F107&lt;=85,1,0))</formula>
    </cfRule>
  </conditionalFormatting>
  <conditionalFormatting sqref="AI107">
    <cfRule type="expression" priority="2323" dxfId="3">
      <formula>AND(IF(OR($Q107=1,$Q107=2),1,0),IF($X107&lt;=20,1,0))</formula>
    </cfRule>
    <cfRule type="expression" priority="2324" dxfId="2">
      <formula>AND(IF($Q107=2,1,0),IF($X107&lt;30,1,0))</formula>
    </cfRule>
    <cfRule type="expression" priority="2325" dxfId="1">
      <formula>AND(IF($Q107=3,1,0),IF($X107&lt;30,1,0))</formula>
    </cfRule>
    <cfRule type="expression" priority="2326" dxfId="0">
      <formula>AND(IF($Q107=3,1,IF($Q107=4,1,0)),IF($F107&lt;=85,1,0))</formula>
    </cfRule>
  </conditionalFormatting>
  <conditionalFormatting sqref="AV108">
    <cfRule type="expression" priority="2321" dxfId="23">
      <formula>AV108="X"</formula>
    </cfRule>
    <cfRule type="expression" priority="2322" dxfId="22">
      <formula>AV108="후보"</formula>
    </cfRule>
  </conditionalFormatting>
  <conditionalFormatting sqref="AC10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08">
    <cfRule type="expression" priority="2313" dxfId="3">
      <formula>AND(IF(OR($Q108=1,$Q108=2),1,0),IF($X108&lt;=20,1,0))</formula>
    </cfRule>
    <cfRule type="expression" priority="2314" dxfId="2">
      <formula>AND(IF($Q108=2,1,0),IF($X108&lt;30,1,0))</formula>
    </cfRule>
    <cfRule type="expression" priority="2315" dxfId="1">
      <formula>AND(IF($Q108=3,1,0),IF($X108&lt;30,1,0))</formula>
    </cfRule>
    <cfRule type="expression" priority="2316" dxfId="0">
      <formula>AND(IF($Q108=3,1,IF($Q108=4,1,0)),IF($F108&lt;=85,1,0))</formula>
    </cfRule>
  </conditionalFormatting>
  <conditionalFormatting sqref="X108">
    <cfRule type="expression" priority="2309" dxfId="3">
      <formula>AND(IF(OR($Q108=1,$Q108=2),1,0),IF($X108&lt;=20,1,0))</formula>
    </cfRule>
    <cfRule type="expression" priority="2310" dxfId="2">
      <formula>AND(IF($Q108=2,1,0),IF($X108&lt;30,1,0))</formula>
    </cfRule>
    <cfRule type="expression" priority="2311" dxfId="1">
      <formula>AND(IF($Q108=3,1,0),IF($X108&lt;30,1,0))</formula>
    </cfRule>
    <cfRule type="expression" priority="2312" dxfId="0">
      <formula>AND(IF($Q108=3,1,IF($Q108=4,1,0)),IF($F108&lt;=85,1,0))</formula>
    </cfRule>
  </conditionalFormatting>
  <conditionalFormatting sqref="AI108">
    <cfRule type="expression" priority="2305" dxfId="3">
      <formula>AND(IF(OR($Q108=1,$Q108=2),1,0),IF($X108&lt;=20,1,0))</formula>
    </cfRule>
    <cfRule type="expression" priority="2306" dxfId="2">
      <formula>AND(IF($Q108=2,1,0),IF($X108&lt;30,1,0))</formula>
    </cfRule>
    <cfRule type="expression" priority="2307" dxfId="1">
      <formula>AND(IF($Q108=3,1,0),IF($X108&lt;30,1,0))</formula>
    </cfRule>
    <cfRule type="expression" priority="2308" dxfId="0">
      <formula>AND(IF($Q108=3,1,IF($Q108=4,1,0)),IF($F108&lt;=85,1,0))</formula>
    </cfRule>
  </conditionalFormatting>
  <conditionalFormatting sqref="AV109">
    <cfRule type="expression" priority="2303" dxfId="23">
      <formula>AV109="X"</formula>
    </cfRule>
    <cfRule type="expression" priority="2304" dxfId="22">
      <formula>AV109="후보"</formula>
    </cfRule>
  </conditionalFormatting>
  <conditionalFormatting sqref="AC10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09">
    <cfRule type="expression" priority="2295" dxfId="3">
      <formula>AND(IF(OR($Q109=1,$Q109=2),1,0),IF($X109&lt;=20,1,0))</formula>
    </cfRule>
    <cfRule type="expression" priority="2296" dxfId="2">
      <formula>AND(IF($Q109=2,1,0),IF($X109&lt;30,1,0))</formula>
    </cfRule>
    <cfRule type="expression" priority="2297" dxfId="1">
      <formula>AND(IF($Q109=3,1,0),IF($X109&lt;30,1,0))</formula>
    </cfRule>
    <cfRule type="expression" priority="2298" dxfId="0">
      <formula>AND(IF($Q109=3,1,IF($Q109=4,1,0)),IF($F109&lt;=85,1,0))</formula>
    </cfRule>
  </conditionalFormatting>
  <conditionalFormatting sqref="X109">
    <cfRule type="expression" priority="2291" dxfId="3">
      <formula>AND(IF(OR($Q109=1,$Q109=2),1,0),IF($X109&lt;=20,1,0))</formula>
    </cfRule>
    <cfRule type="expression" priority="2292" dxfId="2">
      <formula>AND(IF($Q109=2,1,0),IF($X109&lt;30,1,0))</formula>
    </cfRule>
    <cfRule type="expression" priority="2293" dxfId="1">
      <formula>AND(IF($Q109=3,1,0),IF($X109&lt;30,1,0))</formula>
    </cfRule>
    <cfRule type="expression" priority="2294" dxfId="0">
      <formula>AND(IF($Q109=3,1,IF($Q109=4,1,0)),IF($F109&lt;=85,1,0))</formula>
    </cfRule>
  </conditionalFormatting>
  <conditionalFormatting sqref="AI109">
    <cfRule type="expression" priority="2287" dxfId="3">
      <formula>AND(IF(OR($Q109=1,$Q109=2),1,0),IF($X109&lt;=20,1,0))</formula>
    </cfRule>
    <cfRule type="expression" priority="2288" dxfId="2">
      <formula>AND(IF($Q109=2,1,0),IF($X109&lt;30,1,0))</formula>
    </cfRule>
    <cfRule type="expression" priority="2289" dxfId="1">
      <formula>AND(IF($Q109=3,1,0),IF($X109&lt;30,1,0))</formula>
    </cfRule>
    <cfRule type="expression" priority="2290" dxfId="0">
      <formula>AND(IF($Q109=3,1,IF($Q109=4,1,0)),IF($F109&lt;=85,1,0))</formula>
    </cfRule>
  </conditionalFormatting>
  <conditionalFormatting sqref="AV110">
    <cfRule type="expression" priority="2285" dxfId="23">
      <formula>AV110="X"</formula>
    </cfRule>
    <cfRule type="expression" priority="2286" dxfId="22">
      <formula>AV110="후보"</formula>
    </cfRule>
  </conditionalFormatting>
  <conditionalFormatting sqref="AC11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0">
    <cfRule type="expression" priority="2277" dxfId="3">
      <formula>AND(IF(OR($Q110=1,$Q110=2),1,0),IF($X110&lt;=20,1,0))</formula>
    </cfRule>
    <cfRule type="expression" priority="2278" dxfId="2">
      <formula>AND(IF($Q110=2,1,0),IF($X110&lt;30,1,0))</formula>
    </cfRule>
    <cfRule type="expression" priority="2279" dxfId="1">
      <formula>AND(IF($Q110=3,1,0),IF($X110&lt;30,1,0))</formula>
    </cfRule>
    <cfRule type="expression" priority="2280" dxfId="0">
      <formula>AND(IF($Q110=3,1,IF($Q110=4,1,0)),IF($F110&lt;=85,1,0))</formula>
    </cfRule>
  </conditionalFormatting>
  <conditionalFormatting sqref="X110">
    <cfRule type="expression" priority="2273" dxfId="3">
      <formula>AND(IF(OR($Q110=1,$Q110=2),1,0),IF($X110&lt;=20,1,0))</formula>
    </cfRule>
    <cfRule type="expression" priority="2274" dxfId="2">
      <formula>AND(IF($Q110=2,1,0),IF($X110&lt;30,1,0))</formula>
    </cfRule>
    <cfRule type="expression" priority="2275" dxfId="1">
      <formula>AND(IF($Q110=3,1,0),IF($X110&lt;30,1,0))</formula>
    </cfRule>
    <cfRule type="expression" priority="2276" dxfId="0">
      <formula>AND(IF($Q110=3,1,IF($Q110=4,1,0)),IF($F110&lt;=85,1,0))</formula>
    </cfRule>
  </conditionalFormatting>
  <conditionalFormatting sqref="AI110">
    <cfRule type="expression" priority="2269" dxfId="3">
      <formula>AND(IF(OR($Q110=1,$Q110=2),1,0),IF($X110&lt;=20,1,0))</formula>
    </cfRule>
    <cfRule type="expression" priority="2270" dxfId="2">
      <formula>AND(IF($Q110=2,1,0),IF($X110&lt;30,1,0))</formula>
    </cfRule>
    <cfRule type="expression" priority="2271" dxfId="1">
      <formula>AND(IF($Q110=3,1,0),IF($X110&lt;30,1,0))</formula>
    </cfRule>
    <cfRule type="expression" priority="2272" dxfId="0">
      <formula>AND(IF($Q110=3,1,IF($Q110=4,1,0)),IF($F110&lt;=85,1,0))</formula>
    </cfRule>
  </conditionalFormatting>
  <conditionalFormatting sqref="AV111">
    <cfRule type="expression" priority="2267" dxfId="23">
      <formula>AV111="X"</formula>
    </cfRule>
    <cfRule type="expression" priority="2268" dxfId="22">
      <formula>AV111="후보"</formula>
    </cfRule>
  </conditionalFormatting>
  <conditionalFormatting sqref="AC1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1">
    <cfRule type="expression" priority="2259" dxfId="3">
      <formula>AND(IF(OR($Q111=1,$Q111=2),1,0),IF($X111&lt;=20,1,0))</formula>
    </cfRule>
    <cfRule type="expression" priority="2260" dxfId="2">
      <formula>AND(IF($Q111=2,1,0),IF($X111&lt;30,1,0))</formula>
    </cfRule>
    <cfRule type="expression" priority="2261" dxfId="1">
      <formula>AND(IF($Q111=3,1,0),IF($X111&lt;30,1,0))</formula>
    </cfRule>
    <cfRule type="expression" priority="2262" dxfId="0">
      <formula>AND(IF($Q111=3,1,IF($Q111=4,1,0)),IF($F111&lt;=85,1,0))</formula>
    </cfRule>
  </conditionalFormatting>
  <conditionalFormatting sqref="X111">
    <cfRule type="expression" priority="2255" dxfId="3">
      <formula>AND(IF(OR($Q111=1,$Q111=2),1,0),IF($X111&lt;=20,1,0))</formula>
    </cfRule>
    <cfRule type="expression" priority="2256" dxfId="2">
      <formula>AND(IF($Q111=2,1,0),IF($X111&lt;30,1,0))</formula>
    </cfRule>
    <cfRule type="expression" priority="2257" dxfId="1">
      <formula>AND(IF($Q111=3,1,0),IF($X111&lt;30,1,0))</formula>
    </cfRule>
    <cfRule type="expression" priority="2258" dxfId="0">
      <formula>AND(IF($Q111=3,1,IF($Q111=4,1,0)),IF($F111&lt;=85,1,0))</formula>
    </cfRule>
  </conditionalFormatting>
  <conditionalFormatting sqref="AI111">
    <cfRule type="expression" priority="2251" dxfId="3">
      <formula>AND(IF(OR($Q111=1,$Q111=2),1,0),IF($X111&lt;=20,1,0))</formula>
    </cfRule>
    <cfRule type="expression" priority="2252" dxfId="2">
      <formula>AND(IF($Q111=2,1,0),IF($X111&lt;30,1,0))</formula>
    </cfRule>
    <cfRule type="expression" priority="2253" dxfId="1">
      <formula>AND(IF($Q111=3,1,0),IF($X111&lt;30,1,0))</formula>
    </cfRule>
    <cfRule type="expression" priority="2254" dxfId="0">
      <formula>AND(IF($Q111=3,1,IF($Q111=4,1,0)),IF($F111&lt;=85,1,0))</formula>
    </cfRule>
  </conditionalFormatting>
  <conditionalFormatting sqref="AV112">
    <cfRule type="expression" priority="2249" dxfId="23">
      <formula>AV112="X"</formula>
    </cfRule>
    <cfRule type="expression" priority="2250" dxfId="22">
      <formula>AV112="후보"</formula>
    </cfRule>
  </conditionalFormatting>
  <conditionalFormatting sqref="AC1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2">
    <cfRule type="expression" priority="2241" dxfId="3">
      <formula>AND(IF(OR($Q112=1,$Q112=2),1,0),IF($X112&lt;=20,1,0))</formula>
    </cfRule>
    <cfRule type="expression" priority="2242" dxfId="2">
      <formula>AND(IF($Q112=2,1,0),IF($X112&lt;30,1,0))</formula>
    </cfRule>
    <cfRule type="expression" priority="2243" dxfId="1">
      <formula>AND(IF($Q112=3,1,0),IF($X112&lt;30,1,0))</formula>
    </cfRule>
    <cfRule type="expression" priority="2244" dxfId="0">
      <formula>AND(IF($Q112=3,1,IF($Q112=4,1,0)),IF($F112&lt;=85,1,0))</formula>
    </cfRule>
  </conditionalFormatting>
  <conditionalFormatting sqref="X112">
    <cfRule type="expression" priority="2237" dxfId="3">
      <formula>AND(IF(OR($Q112=1,$Q112=2),1,0),IF($X112&lt;=20,1,0))</formula>
    </cfRule>
    <cfRule type="expression" priority="2238" dxfId="2">
      <formula>AND(IF($Q112=2,1,0),IF($X112&lt;30,1,0))</formula>
    </cfRule>
    <cfRule type="expression" priority="2239" dxfId="1">
      <formula>AND(IF($Q112=3,1,0),IF($X112&lt;30,1,0))</formula>
    </cfRule>
    <cfRule type="expression" priority="2240" dxfId="0">
      <formula>AND(IF($Q112=3,1,IF($Q112=4,1,0)),IF($F112&lt;=85,1,0))</formula>
    </cfRule>
  </conditionalFormatting>
  <conditionalFormatting sqref="AI112">
    <cfRule type="expression" priority="2233" dxfId="3">
      <formula>AND(IF(OR($Q112=1,$Q112=2),1,0),IF($X112&lt;=20,1,0))</formula>
    </cfRule>
    <cfRule type="expression" priority="2234" dxfId="2">
      <formula>AND(IF($Q112=2,1,0),IF($X112&lt;30,1,0))</formula>
    </cfRule>
    <cfRule type="expression" priority="2235" dxfId="1">
      <formula>AND(IF($Q112=3,1,0),IF($X112&lt;30,1,0))</formula>
    </cfRule>
    <cfRule type="expression" priority="2236" dxfId="0">
      <formula>AND(IF($Q112=3,1,IF($Q112=4,1,0)),IF($F112&lt;=85,1,0))</formula>
    </cfRule>
  </conditionalFormatting>
  <conditionalFormatting sqref="AV113">
    <cfRule type="expression" priority="2231" dxfId="23">
      <formula>AV113="X"</formula>
    </cfRule>
    <cfRule type="expression" priority="2232" dxfId="22">
      <formula>AV113="후보"</formula>
    </cfRule>
  </conditionalFormatting>
  <conditionalFormatting sqref="AC1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13">
    <cfRule type="expression" priority="2223" dxfId="3">
      <formula>AND(IF(OR($Q113=1,$Q113=2),1,0),IF($X113&lt;=20,1,0))</formula>
    </cfRule>
    <cfRule type="expression" priority="2224" dxfId="2">
      <formula>AND(IF($Q113=2,1,0),IF($X113&lt;30,1,0))</formula>
    </cfRule>
    <cfRule type="expression" priority="2225" dxfId="1">
      <formula>AND(IF($Q113=3,1,0),IF($X113&lt;30,1,0))</formula>
    </cfRule>
    <cfRule type="expression" priority="2226" dxfId="0">
      <formula>AND(IF($Q113=3,1,IF($Q113=4,1,0)),IF($F113&lt;=85,1,0))</formula>
    </cfRule>
  </conditionalFormatting>
  <conditionalFormatting sqref="X113">
    <cfRule type="expression" priority="2219" dxfId="3">
      <formula>AND(IF(OR($Q113=1,$Q113=2),1,0),IF($X113&lt;=20,1,0))</formula>
    </cfRule>
    <cfRule type="expression" priority="2220" dxfId="2">
      <formula>AND(IF($Q113=2,1,0),IF($X113&lt;30,1,0))</formula>
    </cfRule>
    <cfRule type="expression" priority="2221" dxfId="1">
      <formula>AND(IF($Q113=3,1,0),IF($X113&lt;30,1,0))</formula>
    </cfRule>
    <cfRule type="expression" priority="2222" dxfId="0">
      <formula>AND(IF($Q113=3,1,IF($Q113=4,1,0)),IF($F113&lt;=85,1,0))</formula>
    </cfRule>
  </conditionalFormatting>
  <conditionalFormatting sqref="AI113">
    <cfRule type="expression" priority="2215" dxfId="3">
      <formula>AND(IF(OR($Q113=1,$Q113=2),1,0),IF($X113&lt;=20,1,0))</formula>
    </cfRule>
    <cfRule type="expression" priority="2216" dxfId="2">
      <formula>AND(IF($Q113=2,1,0),IF($X113&lt;30,1,0))</formula>
    </cfRule>
    <cfRule type="expression" priority="2217" dxfId="1">
      <formula>AND(IF($Q113=3,1,0),IF($X113&lt;30,1,0))</formula>
    </cfRule>
    <cfRule type="expression" priority="2218" dxfId="0">
      <formula>AND(IF($Q113=3,1,IF($Q113=4,1,0)),IF($F113&lt;=85,1,0))</formula>
    </cfRule>
  </conditionalFormatting>
  <conditionalFormatting sqref="AV114">
    <cfRule type="expression" priority="2213" dxfId="23">
      <formula>AV114="X"</formula>
    </cfRule>
    <cfRule type="expression" priority="2214" dxfId="22">
      <formula>AV114="후보"</formula>
    </cfRule>
  </conditionalFormatting>
  <conditionalFormatting sqref="AC11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4">
    <cfRule type="expression" priority="2205" dxfId="3">
      <formula>AND(IF(OR($Q114=1,$Q114=2),1,0),IF($X114&lt;=20,1,0))</formula>
    </cfRule>
    <cfRule type="expression" priority="2206" dxfId="2">
      <formula>AND(IF($Q114=2,1,0),IF($X114&lt;30,1,0))</formula>
    </cfRule>
    <cfRule type="expression" priority="2207" dxfId="1">
      <formula>AND(IF($Q114=3,1,0),IF($X114&lt;30,1,0))</formula>
    </cfRule>
    <cfRule type="expression" priority="2208" dxfId="0">
      <formula>AND(IF($Q114=3,1,IF($Q114=4,1,0)),IF($F114&lt;=85,1,0))</formula>
    </cfRule>
  </conditionalFormatting>
  <conditionalFormatting sqref="X114">
    <cfRule type="expression" priority="2201" dxfId="3">
      <formula>AND(IF(OR($Q114=1,$Q114=2),1,0),IF($X114&lt;=20,1,0))</formula>
    </cfRule>
    <cfRule type="expression" priority="2202" dxfId="2">
      <formula>AND(IF($Q114=2,1,0),IF($X114&lt;30,1,0))</formula>
    </cfRule>
    <cfRule type="expression" priority="2203" dxfId="1">
      <formula>AND(IF($Q114=3,1,0),IF($X114&lt;30,1,0))</formula>
    </cfRule>
    <cfRule type="expression" priority="2204" dxfId="0">
      <formula>AND(IF($Q114=3,1,IF($Q114=4,1,0)),IF($F114&lt;=85,1,0))</formula>
    </cfRule>
  </conditionalFormatting>
  <conditionalFormatting sqref="AI114">
    <cfRule type="expression" priority="2197" dxfId="3">
      <formula>AND(IF(OR($Q114=1,$Q114=2),1,0),IF($X114&lt;=20,1,0))</formula>
    </cfRule>
    <cfRule type="expression" priority="2198" dxfId="2">
      <formula>AND(IF($Q114=2,1,0),IF($X114&lt;30,1,0))</formula>
    </cfRule>
    <cfRule type="expression" priority="2199" dxfId="1">
      <formula>AND(IF($Q114=3,1,0),IF($X114&lt;30,1,0))</formula>
    </cfRule>
    <cfRule type="expression" priority="2200" dxfId="0">
      <formula>AND(IF($Q114=3,1,IF($Q114=4,1,0)),IF($F114&lt;=85,1,0))</formula>
    </cfRule>
  </conditionalFormatting>
  <conditionalFormatting sqref="AV115">
    <cfRule type="expression" priority="2195" dxfId="23">
      <formula>AV115="X"</formula>
    </cfRule>
    <cfRule type="expression" priority="2196" dxfId="22">
      <formula>AV115="후보"</formula>
    </cfRule>
  </conditionalFormatting>
  <conditionalFormatting sqref="AC11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15">
    <cfRule type="expression" priority="2187" dxfId="3">
      <formula>AND(IF(OR($Q115=1,$Q115=2),1,0),IF($X115&lt;=20,1,0))</formula>
    </cfRule>
    <cfRule type="expression" priority="2188" dxfId="2">
      <formula>AND(IF($Q115=2,1,0),IF($X115&lt;30,1,0))</formula>
    </cfRule>
    <cfRule type="expression" priority="2189" dxfId="1">
      <formula>AND(IF($Q115=3,1,0),IF($X115&lt;30,1,0))</formula>
    </cfRule>
    <cfRule type="expression" priority="2190" dxfId="0">
      <formula>AND(IF($Q115=3,1,IF($Q115=4,1,0)),IF($F115&lt;=85,1,0))</formula>
    </cfRule>
  </conditionalFormatting>
  <conditionalFormatting sqref="X115">
    <cfRule type="expression" priority="2183" dxfId="3">
      <formula>AND(IF(OR($Q115=1,$Q115=2),1,0),IF($X115&lt;=20,1,0))</formula>
    </cfRule>
    <cfRule type="expression" priority="2184" dxfId="2">
      <formula>AND(IF($Q115=2,1,0),IF($X115&lt;30,1,0))</formula>
    </cfRule>
    <cfRule type="expression" priority="2185" dxfId="1">
      <formula>AND(IF($Q115=3,1,0),IF($X115&lt;30,1,0))</formula>
    </cfRule>
    <cfRule type="expression" priority="2186" dxfId="0">
      <formula>AND(IF($Q115=3,1,IF($Q115=4,1,0)),IF($F115&lt;=85,1,0))</formula>
    </cfRule>
  </conditionalFormatting>
  <conditionalFormatting sqref="AI115">
    <cfRule type="expression" priority="2179" dxfId="3">
      <formula>AND(IF(OR($Q115=1,$Q115=2),1,0),IF($X115&lt;=20,1,0))</formula>
    </cfRule>
    <cfRule type="expression" priority="2180" dxfId="2">
      <formula>AND(IF($Q115=2,1,0),IF($X115&lt;30,1,0))</formula>
    </cfRule>
    <cfRule type="expression" priority="2181" dxfId="1">
      <formula>AND(IF($Q115=3,1,0),IF($X115&lt;30,1,0))</formula>
    </cfRule>
    <cfRule type="expression" priority="2182" dxfId="0">
      <formula>AND(IF($Q115=3,1,IF($Q115=4,1,0)),IF($F115&lt;=85,1,0))</formula>
    </cfRule>
  </conditionalFormatting>
  <conditionalFormatting sqref="AV116">
    <cfRule type="expression" priority="2177" dxfId="23">
      <formula>AV116="X"</formula>
    </cfRule>
    <cfRule type="expression" priority="2178" dxfId="22">
      <formula>AV116="후보"</formula>
    </cfRule>
  </conditionalFormatting>
  <conditionalFormatting sqref="AC1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16">
    <cfRule type="expression" priority="2169" dxfId="3">
      <formula>AND(IF(OR($Q116=1,$Q116=2),1,0),IF($X116&lt;=20,1,0))</formula>
    </cfRule>
    <cfRule type="expression" priority="2170" dxfId="2">
      <formula>AND(IF($Q116=2,1,0),IF($X116&lt;30,1,0))</formula>
    </cfRule>
    <cfRule type="expression" priority="2171" dxfId="1">
      <formula>AND(IF($Q116=3,1,0),IF($X116&lt;30,1,0))</formula>
    </cfRule>
    <cfRule type="expression" priority="2172" dxfId="0">
      <formula>AND(IF($Q116=3,1,IF($Q116=4,1,0)),IF($F116&lt;=85,1,0))</formula>
    </cfRule>
  </conditionalFormatting>
  <conditionalFormatting sqref="X116">
    <cfRule type="expression" priority="2165" dxfId="3">
      <formula>AND(IF(OR($Q116=1,$Q116=2),1,0),IF($X116&lt;=20,1,0))</formula>
    </cfRule>
    <cfRule type="expression" priority="2166" dxfId="2">
      <formula>AND(IF($Q116=2,1,0),IF($X116&lt;30,1,0))</formula>
    </cfRule>
    <cfRule type="expression" priority="2167" dxfId="1">
      <formula>AND(IF($Q116=3,1,0),IF($X116&lt;30,1,0))</formula>
    </cfRule>
    <cfRule type="expression" priority="2168" dxfId="0">
      <formula>AND(IF($Q116=3,1,IF($Q116=4,1,0)),IF($F116&lt;=85,1,0))</formula>
    </cfRule>
  </conditionalFormatting>
  <conditionalFormatting sqref="AI116">
    <cfRule type="expression" priority="2161" dxfId="3">
      <formula>AND(IF(OR($Q116=1,$Q116=2),1,0),IF($X116&lt;=20,1,0))</formula>
    </cfRule>
    <cfRule type="expression" priority="2162" dxfId="2">
      <formula>AND(IF($Q116=2,1,0),IF($X116&lt;30,1,0))</formula>
    </cfRule>
    <cfRule type="expression" priority="2163" dxfId="1">
      <formula>AND(IF($Q116=3,1,0),IF($X116&lt;30,1,0))</formula>
    </cfRule>
    <cfRule type="expression" priority="2164" dxfId="0">
      <formula>AND(IF($Q116=3,1,IF($Q116=4,1,0)),IF($F116&lt;=85,1,0))</formula>
    </cfRule>
  </conditionalFormatting>
  <conditionalFormatting sqref="AV117">
    <cfRule type="expression" priority="2159" dxfId="23">
      <formula>AV117="X"</formula>
    </cfRule>
    <cfRule type="expression" priority="2160" dxfId="22">
      <formula>AV117="후보"</formula>
    </cfRule>
  </conditionalFormatting>
  <conditionalFormatting sqref="AC11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17">
    <cfRule type="expression" priority="2151" dxfId="3">
      <formula>AND(IF(OR($Q117=1,$Q117=2),1,0),IF($X117&lt;=20,1,0))</formula>
    </cfRule>
    <cfRule type="expression" priority="2152" dxfId="2">
      <formula>AND(IF($Q117=2,1,0),IF($X117&lt;30,1,0))</formula>
    </cfRule>
    <cfRule type="expression" priority="2153" dxfId="1">
      <formula>AND(IF($Q117=3,1,0),IF($X117&lt;30,1,0))</formula>
    </cfRule>
    <cfRule type="expression" priority="2154" dxfId="0">
      <formula>AND(IF($Q117=3,1,IF($Q117=4,1,0)),IF($F117&lt;=85,1,0))</formula>
    </cfRule>
  </conditionalFormatting>
  <conditionalFormatting sqref="X117">
    <cfRule type="expression" priority="2147" dxfId="3">
      <formula>AND(IF(OR($Q117=1,$Q117=2),1,0),IF($X117&lt;=20,1,0))</formula>
    </cfRule>
    <cfRule type="expression" priority="2148" dxfId="2">
      <formula>AND(IF($Q117=2,1,0),IF($X117&lt;30,1,0))</formula>
    </cfRule>
    <cfRule type="expression" priority="2149" dxfId="1">
      <formula>AND(IF($Q117=3,1,0),IF($X117&lt;30,1,0))</formula>
    </cfRule>
    <cfRule type="expression" priority="2150" dxfId="0">
      <formula>AND(IF($Q117=3,1,IF($Q117=4,1,0)),IF($F117&lt;=85,1,0))</formula>
    </cfRule>
  </conditionalFormatting>
  <conditionalFormatting sqref="AI117">
    <cfRule type="expression" priority="2143" dxfId="3">
      <formula>AND(IF(OR($Q117=1,$Q117=2),1,0),IF($X117&lt;=20,1,0))</formula>
    </cfRule>
    <cfRule type="expression" priority="2144" dxfId="2">
      <formula>AND(IF($Q117=2,1,0),IF($X117&lt;30,1,0))</formula>
    </cfRule>
    <cfRule type="expression" priority="2145" dxfId="1">
      <formula>AND(IF($Q117=3,1,0),IF($X117&lt;30,1,0))</formula>
    </cfRule>
    <cfRule type="expression" priority="2146" dxfId="0">
      <formula>AND(IF($Q117=3,1,IF($Q117=4,1,0)),IF($F117&lt;=85,1,0))</formula>
    </cfRule>
  </conditionalFormatting>
  <conditionalFormatting sqref="AV118">
    <cfRule type="expression" priority="2141" dxfId="23">
      <formula>AV118="X"</formula>
    </cfRule>
    <cfRule type="expression" priority="2142" dxfId="22">
      <formula>AV118="후보"</formula>
    </cfRule>
  </conditionalFormatting>
  <conditionalFormatting sqref="AC1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18">
    <cfRule type="expression" priority="2133" dxfId="3">
      <formula>AND(IF(OR($Q118=1,$Q118=2),1,0),IF($X118&lt;=20,1,0))</formula>
    </cfRule>
    <cfRule type="expression" priority="2134" dxfId="2">
      <formula>AND(IF($Q118=2,1,0),IF($X118&lt;30,1,0))</formula>
    </cfRule>
    <cfRule type="expression" priority="2135" dxfId="1">
      <formula>AND(IF($Q118=3,1,0),IF($X118&lt;30,1,0))</formula>
    </cfRule>
    <cfRule type="expression" priority="2136" dxfId="0">
      <formula>AND(IF($Q118=3,1,IF($Q118=4,1,0)),IF($F118&lt;=85,1,0))</formula>
    </cfRule>
  </conditionalFormatting>
  <conditionalFormatting sqref="X118">
    <cfRule type="expression" priority="2129" dxfId="3">
      <formula>AND(IF(OR($Q118=1,$Q118=2),1,0),IF($X118&lt;=20,1,0))</formula>
    </cfRule>
    <cfRule type="expression" priority="2130" dxfId="2">
      <formula>AND(IF($Q118=2,1,0),IF($X118&lt;30,1,0))</formula>
    </cfRule>
    <cfRule type="expression" priority="2131" dxfId="1">
      <formula>AND(IF($Q118=3,1,0),IF($X118&lt;30,1,0))</formula>
    </cfRule>
    <cfRule type="expression" priority="2132" dxfId="0">
      <formula>AND(IF($Q118=3,1,IF($Q118=4,1,0)),IF($F118&lt;=85,1,0))</formula>
    </cfRule>
  </conditionalFormatting>
  <conditionalFormatting sqref="AI118">
    <cfRule type="expression" priority="2125" dxfId="3">
      <formula>AND(IF(OR($Q118=1,$Q118=2),1,0),IF($X118&lt;=20,1,0))</formula>
    </cfRule>
    <cfRule type="expression" priority="2126" dxfId="2">
      <formula>AND(IF($Q118=2,1,0),IF($X118&lt;30,1,0))</formula>
    </cfRule>
    <cfRule type="expression" priority="2127" dxfId="1">
      <formula>AND(IF($Q118=3,1,0),IF($X118&lt;30,1,0))</formula>
    </cfRule>
    <cfRule type="expression" priority="2128" dxfId="0">
      <formula>AND(IF($Q118=3,1,IF($Q118=4,1,0)),IF($F118&lt;=85,1,0))</formula>
    </cfRule>
  </conditionalFormatting>
  <conditionalFormatting sqref="AV119">
    <cfRule type="expression" priority="2123" dxfId="23">
      <formula>AV119="X"</formula>
    </cfRule>
    <cfRule type="expression" priority="2124" dxfId="22">
      <formula>AV119="후보"</formula>
    </cfRule>
  </conditionalFormatting>
  <conditionalFormatting sqref="AC11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19">
    <cfRule type="expression" priority="2115" dxfId="3">
      <formula>AND(IF(OR($Q119=1,$Q119=2),1,0),IF($X119&lt;=20,1,0))</formula>
    </cfRule>
    <cfRule type="expression" priority="2116" dxfId="2">
      <formula>AND(IF($Q119=2,1,0),IF($X119&lt;30,1,0))</formula>
    </cfRule>
    <cfRule type="expression" priority="2117" dxfId="1">
      <formula>AND(IF($Q119=3,1,0),IF($X119&lt;30,1,0))</formula>
    </cfRule>
    <cfRule type="expression" priority="2118" dxfId="0">
      <formula>AND(IF($Q119=3,1,IF($Q119=4,1,0)),IF($F119&lt;=85,1,0))</formula>
    </cfRule>
  </conditionalFormatting>
  <conditionalFormatting sqref="X119">
    <cfRule type="expression" priority="2111" dxfId="3">
      <formula>AND(IF(OR($Q119=1,$Q119=2),1,0),IF($X119&lt;=20,1,0))</formula>
    </cfRule>
    <cfRule type="expression" priority="2112" dxfId="2">
      <formula>AND(IF($Q119=2,1,0),IF($X119&lt;30,1,0))</formula>
    </cfRule>
    <cfRule type="expression" priority="2113" dxfId="1">
      <formula>AND(IF($Q119=3,1,0),IF($X119&lt;30,1,0))</formula>
    </cfRule>
    <cfRule type="expression" priority="2114" dxfId="0">
      <formula>AND(IF($Q119=3,1,IF($Q119=4,1,0)),IF($F119&lt;=85,1,0))</formula>
    </cfRule>
  </conditionalFormatting>
  <conditionalFormatting sqref="AI119">
    <cfRule type="expression" priority="2107" dxfId="3">
      <formula>AND(IF(OR($Q119=1,$Q119=2),1,0),IF($X119&lt;=20,1,0))</formula>
    </cfRule>
    <cfRule type="expression" priority="2108" dxfId="2">
      <formula>AND(IF($Q119=2,1,0),IF($X119&lt;30,1,0))</formula>
    </cfRule>
    <cfRule type="expression" priority="2109" dxfId="1">
      <formula>AND(IF($Q119=3,1,0),IF($X119&lt;30,1,0))</formula>
    </cfRule>
    <cfRule type="expression" priority="2110" dxfId="0">
      <formula>AND(IF($Q119=3,1,IF($Q119=4,1,0)),IF($F119&lt;=85,1,0))</formula>
    </cfRule>
  </conditionalFormatting>
  <conditionalFormatting sqref="AV120">
    <cfRule type="expression" priority="2105" dxfId="23">
      <formula>AV120="X"</formula>
    </cfRule>
    <cfRule type="expression" priority="2106" dxfId="22">
      <formula>AV120="후보"</formula>
    </cfRule>
  </conditionalFormatting>
  <conditionalFormatting sqref="AC12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0">
    <cfRule type="expression" priority="2097" dxfId="3">
      <formula>AND(IF(OR($Q120=1,$Q120=2),1,0),IF($X120&lt;=20,1,0))</formula>
    </cfRule>
    <cfRule type="expression" priority="2098" dxfId="2">
      <formula>AND(IF($Q120=2,1,0),IF($X120&lt;30,1,0))</formula>
    </cfRule>
    <cfRule type="expression" priority="2099" dxfId="1">
      <formula>AND(IF($Q120=3,1,0),IF($X120&lt;30,1,0))</formula>
    </cfRule>
    <cfRule type="expression" priority="2100" dxfId="0">
      <formula>AND(IF($Q120=3,1,IF($Q120=4,1,0)),IF($F120&lt;=85,1,0))</formula>
    </cfRule>
  </conditionalFormatting>
  <conditionalFormatting sqref="X120">
    <cfRule type="expression" priority="2093" dxfId="3">
      <formula>AND(IF(OR($Q120=1,$Q120=2),1,0),IF($X120&lt;=20,1,0))</formula>
    </cfRule>
    <cfRule type="expression" priority="2094" dxfId="2">
      <formula>AND(IF($Q120=2,1,0),IF($X120&lt;30,1,0))</formula>
    </cfRule>
    <cfRule type="expression" priority="2095" dxfId="1">
      <formula>AND(IF($Q120=3,1,0),IF($X120&lt;30,1,0))</formula>
    </cfRule>
    <cfRule type="expression" priority="2096" dxfId="0">
      <formula>AND(IF($Q120=3,1,IF($Q120=4,1,0)),IF($F120&lt;=85,1,0))</formula>
    </cfRule>
  </conditionalFormatting>
  <conditionalFormatting sqref="AI120">
    <cfRule type="expression" priority="2089" dxfId="3">
      <formula>AND(IF(OR($Q120=1,$Q120=2),1,0),IF($X120&lt;=20,1,0))</formula>
    </cfRule>
    <cfRule type="expression" priority="2090" dxfId="2">
      <formula>AND(IF($Q120=2,1,0),IF($X120&lt;30,1,0))</formula>
    </cfRule>
    <cfRule type="expression" priority="2091" dxfId="1">
      <formula>AND(IF($Q120=3,1,0),IF($X120&lt;30,1,0))</formula>
    </cfRule>
    <cfRule type="expression" priority="2092" dxfId="0">
      <formula>AND(IF($Q120=3,1,IF($Q120=4,1,0)),IF($F120&lt;=85,1,0))</formula>
    </cfRule>
  </conditionalFormatting>
  <conditionalFormatting sqref="AV121">
    <cfRule type="expression" priority="2087" dxfId="23">
      <formula>AV121="X"</formula>
    </cfRule>
    <cfRule type="expression" priority="2088" dxfId="22">
      <formula>AV121="후보"</formula>
    </cfRule>
  </conditionalFormatting>
  <conditionalFormatting sqref="AC12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1">
    <cfRule type="expression" priority="2079" dxfId="3">
      <formula>AND(IF(OR($Q121=1,$Q121=2),1,0),IF($X121&lt;=20,1,0))</formula>
    </cfRule>
    <cfRule type="expression" priority="2080" dxfId="2">
      <formula>AND(IF($Q121=2,1,0),IF($X121&lt;30,1,0))</formula>
    </cfRule>
    <cfRule type="expression" priority="2081" dxfId="1">
      <formula>AND(IF($Q121=3,1,0),IF($X121&lt;30,1,0))</formula>
    </cfRule>
    <cfRule type="expression" priority="2082" dxfId="0">
      <formula>AND(IF($Q121=3,1,IF($Q121=4,1,0)),IF($F121&lt;=85,1,0))</formula>
    </cfRule>
  </conditionalFormatting>
  <conditionalFormatting sqref="X121">
    <cfRule type="expression" priority="2075" dxfId="3">
      <formula>AND(IF(OR($Q121=1,$Q121=2),1,0),IF($X121&lt;=20,1,0))</formula>
    </cfRule>
    <cfRule type="expression" priority="2076" dxfId="2">
      <formula>AND(IF($Q121=2,1,0),IF($X121&lt;30,1,0))</formula>
    </cfRule>
    <cfRule type="expression" priority="2077" dxfId="1">
      <formula>AND(IF($Q121=3,1,0),IF($X121&lt;30,1,0))</formula>
    </cfRule>
    <cfRule type="expression" priority="2078" dxfId="0">
      <formula>AND(IF($Q121=3,1,IF($Q121=4,1,0)),IF($F121&lt;=85,1,0))</formula>
    </cfRule>
  </conditionalFormatting>
  <conditionalFormatting sqref="AI121">
    <cfRule type="expression" priority="2071" dxfId="3">
      <formula>AND(IF(OR($Q121=1,$Q121=2),1,0),IF($X121&lt;=20,1,0))</formula>
    </cfRule>
    <cfRule type="expression" priority="2072" dxfId="2">
      <formula>AND(IF($Q121=2,1,0),IF($X121&lt;30,1,0))</formula>
    </cfRule>
    <cfRule type="expression" priority="2073" dxfId="1">
      <formula>AND(IF($Q121=3,1,0),IF($X121&lt;30,1,0))</formula>
    </cfRule>
    <cfRule type="expression" priority="2074" dxfId="0">
      <formula>AND(IF($Q121=3,1,IF($Q121=4,1,0)),IF($F121&lt;=85,1,0))</formula>
    </cfRule>
  </conditionalFormatting>
  <conditionalFormatting sqref="AV122">
    <cfRule type="expression" priority="2069" dxfId="23">
      <formula>AV122="X"</formula>
    </cfRule>
    <cfRule type="expression" priority="2070" dxfId="22">
      <formula>AV122="후보"</formula>
    </cfRule>
  </conditionalFormatting>
  <conditionalFormatting sqref="AC12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2">
    <cfRule type="expression" priority="2061" dxfId="3">
      <formula>AND(IF(OR($Q122=1,$Q122=2),1,0),IF($X122&lt;=20,1,0))</formula>
    </cfRule>
    <cfRule type="expression" priority="2062" dxfId="2">
      <formula>AND(IF($Q122=2,1,0),IF($X122&lt;30,1,0))</formula>
    </cfRule>
    <cfRule type="expression" priority="2063" dxfId="1">
      <formula>AND(IF($Q122=3,1,0),IF($X122&lt;30,1,0))</formula>
    </cfRule>
    <cfRule type="expression" priority="2064" dxfId="0">
      <formula>AND(IF($Q122=3,1,IF($Q122=4,1,0)),IF($F122&lt;=85,1,0))</formula>
    </cfRule>
  </conditionalFormatting>
  <conditionalFormatting sqref="X122">
    <cfRule type="expression" priority="2057" dxfId="3">
      <formula>AND(IF(OR($Q122=1,$Q122=2),1,0),IF($X122&lt;=20,1,0))</formula>
    </cfRule>
    <cfRule type="expression" priority="2058" dxfId="2">
      <formula>AND(IF($Q122=2,1,0),IF($X122&lt;30,1,0))</formula>
    </cfRule>
    <cfRule type="expression" priority="2059" dxfId="1">
      <formula>AND(IF($Q122=3,1,0),IF($X122&lt;30,1,0))</formula>
    </cfRule>
    <cfRule type="expression" priority="2060" dxfId="0">
      <formula>AND(IF($Q122=3,1,IF($Q122=4,1,0)),IF($F122&lt;=85,1,0))</formula>
    </cfRule>
  </conditionalFormatting>
  <conditionalFormatting sqref="AI122">
    <cfRule type="expression" priority="2053" dxfId="3">
      <formula>AND(IF(OR($Q122=1,$Q122=2),1,0),IF($X122&lt;=20,1,0))</formula>
    </cfRule>
    <cfRule type="expression" priority="2054" dxfId="2">
      <formula>AND(IF($Q122=2,1,0),IF($X122&lt;30,1,0))</formula>
    </cfRule>
    <cfRule type="expression" priority="2055" dxfId="1">
      <formula>AND(IF($Q122=3,1,0),IF($X122&lt;30,1,0))</formula>
    </cfRule>
    <cfRule type="expression" priority="2056" dxfId="0">
      <formula>AND(IF($Q122=3,1,IF($Q122=4,1,0)),IF($F122&lt;=85,1,0))</formula>
    </cfRule>
  </conditionalFormatting>
  <conditionalFormatting sqref="AV123">
    <cfRule type="expression" priority="2051" dxfId="23">
      <formula>AV123="X"</formula>
    </cfRule>
    <cfRule type="expression" priority="2052" dxfId="22">
      <formula>AV123="후보"</formula>
    </cfRule>
  </conditionalFormatting>
  <conditionalFormatting sqref="AC1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3">
    <cfRule type="expression" priority="2043" dxfId="3">
      <formula>AND(IF(OR($Q123=1,$Q123=2),1,0),IF($X123&lt;=20,1,0))</formula>
    </cfRule>
    <cfRule type="expression" priority="2044" dxfId="2">
      <formula>AND(IF($Q123=2,1,0),IF($X123&lt;30,1,0))</formula>
    </cfRule>
    <cfRule type="expression" priority="2045" dxfId="1">
      <formula>AND(IF($Q123=3,1,0),IF($X123&lt;30,1,0))</formula>
    </cfRule>
    <cfRule type="expression" priority="2046" dxfId="0">
      <formula>AND(IF($Q123=3,1,IF($Q123=4,1,0)),IF($F123&lt;=85,1,0))</formula>
    </cfRule>
  </conditionalFormatting>
  <conditionalFormatting sqref="X123">
    <cfRule type="expression" priority="2039" dxfId="3">
      <formula>AND(IF(OR($Q123=1,$Q123=2),1,0),IF($X123&lt;=20,1,0))</formula>
    </cfRule>
    <cfRule type="expression" priority="2040" dxfId="2">
      <formula>AND(IF($Q123=2,1,0),IF($X123&lt;30,1,0))</formula>
    </cfRule>
    <cfRule type="expression" priority="2041" dxfId="1">
      <formula>AND(IF($Q123=3,1,0),IF($X123&lt;30,1,0))</formula>
    </cfRule>
    <cfRule type="expression" priority="2042" dxfId="0">
      <formula>AND(IF($Q123=3,1,IF($Q123=4,1,0)),IF($F123&lt;=85,1,0))</formula>
    </cfRule>
  </conditionalFormatting>
  <conditionalFormatting sqref="AI123">
    <cfRule type="expression" priority="2035" dxfId="3">
      <formula>AND(IF(OR($Q123=1,$Q123=2),1,0),IF($X123&lt;=20,1,0))</formula>
    </cfRule>
    <cfRule type="expression" priority="2036" dxfId="2">
      <formula>AND(IF($Q123=2,1,0),IF($X123&lt;30,1,0))</formula>
    </cfRule>
    <cfRule type="expression" priority="2037" dxfId="1">
      <formula>AND(IF($Q123=3,1,0),IF($X123&lt;30,1,0))</formula>
    </cfRule>
    <cfRule type="expression" priority="2038" dxfId="0">
      <formula>AND(IF($Q123=3,1,IF($Q123=4,1,0)),IF($F123&lt;=85,1,0))</formula>
    </cfRule>
  </conditionalFormatting>
  <conditionalFormatting sqref="AV124">
    <cfRule type="expression" priority="2033" dxfId="23">
      <formula>AV124="X"</formula>
    </cfRule>
    <cfRule type="expression" priority="2034" dxfId="22">
      <formula>AV124="후보"</formula>
    </cfRule>
  </conditionalFormatting>
  <conditionalFormatting sqref="AC12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24">
    <cfRule type="expression" priority="2025" dxfId="3">
      <formula>AND(IF(OR($Q124=1,$Q124=2),1,0),IF($X124&lt;=20,1,0))</formula>
    </cfRule>
    <cfRule type="expression" priority="2026" dxfId="2">
      <formula>AND(IF($Q124=2,1,0),IF($X124&lt;30,1,0))</formula>
    </cfRule>
    <cfRule type="expression" priority="2027" dxfId="1">
      <formula>AND(IF($Q124=3,1,0),IF($X124&lt;30,1,0))</formula>
    </cfRule>
    <cfRule type="expression" priority="2028" dxfId="0">
      <formula>AND(IF($Q124=3,1,IF($Q124=4,1,0)),IF($F124&lt;=85,1,0))</formula>
    </cfRule>
  </conditionalFormatting>
  <conditionalFormatting sqref="X124">
    <cfRule type="expression" priority="2021" dxfId="3">
      <formula>AND(IF(OR($Q124=1,$Q124=2),1,0),IF($X124&lt;=20,1,0))</formula>
    </cfRule>
    <cfRule type="expression" priority="2022" dxfId="2">
      <formula>AND(IF($Q124=2,1,0),IF($X124&lt;30,1,0))</formula>
    </cfRule>
    <cfRule type="expression" priority="2023" dxfId="1">
      <formula>AND(IF($Q124=3,1,0),IF($X124&lt;30,1,0))</formula>
    </cfRule>
    <cfRule type="expression" priority="2024" dxfId="0">
      <formula>AND(IF($Q124=3,1,IF($Q124=4,1,0)),IF($F124&lt;=85,1,0))</formula>
    </cfRule>
  </conditionalFormatting>
  <conditionalFormatting sqref="AI124">
    <cfRule type="expression" priority="2017" dxfId="3">
      <formula>AND(IF(OR($Q124=1,$Q124=2),1,0),IF($X124&lt;=20,1,0))</formula>
    </cfRule>
    <cfRule type="expression" priority="2018" dxfId="2">
      <formula>AND(IF($Q124=2,1,0),IF($X124&lt;30,1,0))</formula>
    </cfRule>
    <cfRule type="expression" priority="2019" dxfId="1">
      <formula>AND(IF($Q124=3,1,0),IF($X124&lt;30,1,0))</formula>
    </cfRule>
    <cfRule type="expression" priority="2020" dxfId="0">
      <formula>AND(IF($Q124=3,1,IF($Q124=4,1,0)),IF($F124&lt;=85,1,0))</formula>
    </cfRule>
  </conditionalFormatting>
  <conditionalFormatting sqref="AV125">
    <cfRule type="expression" priority="2015" dxfId="23">
      <formula>AV125="X"</formula>
    </cfRule>
    <cfRule type="expression" priority="2016" dxfId="22">
      <formula>AV125="후보"</formula>
    </cfRule>
  </conditionalFormatting>
  <conditionalFormatting sqref="AC1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25">
    <cfRule type="expression" priority="2007" dxfId="3">
      <formula>AND(IF(OR($Q125=1,$Q125=2),1,0),IF($X125&lt;=20,1,0))</formula>
    </cfRule>
    <cfRule type="expression" priority="2008" dxfId="2">
      <formula>AND(IF($Q125=2,1,0),IF($X125&lt;30,1,0))</formula>
    </cfRule>
    <cfRule type="expression" priority="2009" dxfId="1">
      <formula>AND(IF($Q125=3,1,0),IF($X125&lt;30,1,0))</formula>
    </cfRule>
    <cfRule type="expression" priority="2010" dxfId="0">
      <formula>AND(IF($Q125=3,1,IF($Q125=4,1,0)),IF($F125&lt;=85,1,0))</formula>
    </cfRule>
  </conditionalFormatting>
  <conditionalFormatting sqref="X125">
    <cfRule type="expression" priority="2003" dxfId="3">
      <formula>AND(IF(OR($Q125=1,$Q125=2),1,0),IF($X125&lt;=20,1,0))</formula>
    </cfRule>
    <cfRule type="expression" priority="2004" dxfId="2">
      <formula>AND(IF($Q125=2,1,0),IF($X125&lt;30,1,0))</formula>
    </cfRule>
    <cfRule type="expression" priority="2005" dxfId="1">
      <formula>AND(IF($Q125=3,1,0),IF($X125&lt;30,1,0))</formula>
    </cfRule>
    <cfRule type="expression" priority="2006" dxfId="0">
      <formula>AND(IF($Q125=3,1,IF($Q125=4,1,0)),IF($F125&lt;=85,1,0))</formula>
    </cfRule>
  </conditionalFormatting>
  <conditionalFormatting sqref="AI125">
    <cfRule type="expression" priority="1999" dxfId="3">
      <formula>AND(IF(OR($Q125=1,$Q125=2),1,0),IF($X125&lt;=20,1,0))</formula>
    </cfRule>
    <cfRule type="expression" priority="2000" dxfId="2">
      <formula>AND(IF($Q125=2,1,0),IF($X125&lt;30,1,0))</formula>
    </cfRule>
    <cfRule type="expression" priority="2001" dxfId="1">
      <formula>AND(IF($Q125=3,1,0),IF($X125&lt;30,1,0))</formula>
    </cfRule>
    <cfRule type="expression" priority="2002" dxfId="0">
      <formula>AND(IF($Q125=3,1,IF($Q125=4,1,0)),IF($F125&lt;=85,1,0))</formula>
    </cfRule>
  </conditionalFormatting>
  <conditionalFormatting sqref="AV126">
    <cfRule type="expression" priority="1997" dxfId="23">
      <formula>AV126="X"</formula>
    </cfRule>
    <cfRule type="expression" priority="1998" dxfId="22">
      <formula>AV126="후보"</formula>
    </cfRule>
  </conditionalFormatting>
  <conditionalFormatting sqref="AC12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26">
    <cfRule type="expression" priority="1989" dxfId="3">
      <formula>AND(IF(OR($Q126=1,$Q126=2),1,0),IF($X126&lt;=20,1,0))</formula>
    </cfRule>
    <cfRule type="expression" priority="1990" dxfId="2">
      <formula>AND(IF($Q126=2,1,0),IF($X126&lt;30,1,0))</formula>
    </cfRule>
    <cfRule type="expression" priority="1991" dxfId="1">
      <formula>AND(IF($Q126=3,1,0),IF($X126&lt;30,1,0))</formula>
    </cfRule>
    <cfRule type="expression" priority="1992" dxfId="0">
      <formula>AND(IF($Q126=3,1,IF($Q126=4,1,0)),IF($F126&lt;=85,1,0))</formula>
    </cfRule>
  </conditionalFormatting>
  <conditionalFormatting sqref="X126">
    <cfRule type="expression" priority="1985" dxfId="3">
      <formula>AND(IF(OR($Q126=1,$Q126=2),1,0),IF($X126&lt;=20,1,0))</formula>
    </cfRule>
    <cfRule type="expression" priority="1986" dxfId="2">
      <formula>AND(IF($Q126=2,1,0),IF($X126&lt;30,1,0))</formula>
    </cfRule>
    <cfRule type="expression" priority="1987" dxfId="1">
      <formula>AND(IF($Q126=3,1,0),IF($X126&lt;30,1,0))</formula>
    </cfRule>
    <cfRule type="expression" priority="1988" dxfId="0">
      <formula>AND(IF($Q126=3,1,IF($Q126=4,1,0)),IF($F126&lt;=85,1,0))</formula>
    </cfRule>
  </conditionalFormatting>
  <conditionalFormatting sqref="AI126">
    <cfRule type="expression" priority="1981" dxfId="3">
      <formula>AND(IF(OR($Q126=1,$Q126=2),1,0),IF($X126&lt;=20,1,0))</formula>
    </cfRule>
    <cfRule type="expression" priority="1982" dxfId="2">
      <formula>AND(IF($Q126=2,1,0),IF($X126&lt;30,1,0))</formula>
    </cfRule>
    <cfRule type="expression" priority="1983" dxfId="1">
      <formula>AND(IF($Q126=3,1,0),IF($X126&lt;30,1,0))</formula>
    </cfRule>
    <cfRule type="expression" priority="1984" dxfId="0">
      <formula>AND(IF($Q126=3,1,IF($Q126=4,1,0)),IF($F126&lt;=85,1,0))</formula>
    </cfRule>
  </conditionalFormatting>
  <conditionalFormatting sqref="AV127">
    <cfRule type="expression" priority="1979" dxfId="23">
      <formula>AV127="X"</formula>
    </cfRule>
    <cfRule type="expression" priority="1980" dxfId="22">
      <formula>AV127="후보"</formula>
    </cfRule>
  </conditionalFormatting>
  <conditionalFormatting sqref="AC12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27">
    <cfRule type="expression" priority="1971" dxfId="3">
      <formula>AND(IF(OR($Q127=1,$Q127=2),1,0),IF($X127&lt;=20,1,0))</formula>
    </cfRule>
    <cfRule type="expression" priority="1972" dxfId="2">
      <formula>AND(IF($Q127=2,1,0),IF($X127&lt;30,1,0))</formula>
    </cfRule>
    <cfRule type="expression" priority="1973" dxfId="1">
      <formula>AND(IF($Q127=3,1,0),IF($X127&lt;30,1,0))</formula>
    </cfRule>
    <cfRule type="expression" priority="1974" dxfId="0">
      <formula>AND(IF($Q127=3,1,IF($Q127=4,1,0)),IF($F127&lt;=85,1,0))</formula>
    </cfRule>
  </conditionalFormatting>
  <conditionalFormatting sqref="X127">
    <cfRule type="expression" priority="1967" dxfId="3">
      <formula>AND(IF(OR($Q127=1,$Q127=2),1,0),IF($X127&lt;=20,1,0))</formula>
    </cfRule>
    <cfRule type="expression" priority="1968" dxfId="2">
      <formula>AND(IF($Q127=2,1,0),IF($X127&lt;30,1,0))</formula>
    </cfRule>
    <cfRule type="expression" priority="1969" dxfId="1">
      <formula>AND(IF($Q127=3,1,0),IF($X127&lt;30,1,0))</formula>
    </cfRule>
    <cfRule type="expression" priority="1970" dxfId="0">
      <formula>AND(IF($Q127=3,1,IF($Q127=4,1,0)),IF($F127&lt;=85,1,0))</formula>
    </cfRule>
  </conditionalFormatting>
  <conditionalFormatting sqref="AI127">
    <cfRule type="expression" priority="1963" dxfId="3">
      <formula>AND(IF(OR($Q127=1,$Q127=2),1,0),IF($X127&lt;=20,1,0))</formula>
    </cfRule>
    <cfRule type="expression" priority="1964" dxfId="2">
      <formula>AND(IF($Q127=2,1,0),IF($X127&lt;30,1,0))</formula>
    </cfRule>
    <cfRule type="expression" priority="1965" dxfId="1">
      <formula>AND(IF($Q127=3,1,0),IF($X127&lt;30,1,0))</formula>
    </cfRule>
    <cfRule type="expression" priority="1966" dxfId="0">
      <formula>AND(IF($Q127=3,1,IF($Q127=4,1,0)),IF($F127&lt;=85,1,0))</formula>
    </cfRule>
  </conditionalFormatting>
  <conditionalFormatting sqref="AV128">
    <cfRule type="expression" priority="1961" dxfId="23">
      <formula>AV128="X"</formula>
    </cfRule>
    <cfRule type="expression" priority="1962" dxfId="22">
      <formula>AV128="후보"</formula>
    </cfRule>
  </conditionalFormatting>
  <conditionalFormatting sqref="AC12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28">
    <cfRule type="expression" priority="1953" dxfId="3">
      <formula>AND(IF(OR($Q128=1,$Q128=2),1,0),IF($X128&lt;=20,1,0))</formula>
    </cfRule>
    <cfRule type="expression" priority="1954" dxfId="2">
      <formula>AND(IF($Q128=2,1,0),IF($X128&lt;30,1,0))</formula>
    </cfRule>
    <cfRule type="expression" priority="1955" dxfId="1">
      <formula>AND(IF($Q128=3,1,0),IF($X128&lt;30,1,0))</formula>
    </cfRule>
    <cfRule type="expression" priority="1956" dxfId="0">
      <formula>AND(IF($Q128=3,1,IF($Q128=4,1,0)),IF($F128&lt;=85,1,0))</formula>
    </cfRule>
  </conditionalFormatting>
  <conditionalFormatting sqref="X128">
    <cfRule type="expression" priority="1949" dxfId="3">
      <formula>AND(IF(OR($Q128=1,$Q128=2),1,0),IF($X128&lt;=20,1,0))</formula>
    </cfRule>
    <cfRule type="expression" priority="1950" dxfId="2">
      <formula>AND(IF($Q128=2,1,0),IF($X128&lt;30,1,0))</formula>
    </cfRule>
    <cfRule type="expression" priority="1951" dxfId="1">
      <formula>AND(IF($Q128=3,1,0),IF($X128&lt;30,1,0))</formula>
    </cfRule>
    <cfRule type="expression" priority="1952" dxfId="0">
      <formula>AND(IF($Q128=3,1,IF($Q128=4,1,0)),IF($F128&lt;=85,1,0))</formula>
    </cfRule>
  </conditionalFormatting>
  <conditionalFormatting sqref="AI128">
    <cfRule type="expression" priority="1945" dxfId="3">
      <formula>AND(IF(OR($Q128=1,$Q128=2),1,0),IF($X128&lt;=20,1,0))</formula>
    </cfRule>
    <cfRule type="expression" priority="1946" dxfId="2">
      <formula>AND(IF($Q128=2,1,0),IF($X128&lt;30,1,0))</formula>
    </cfRule>
    <cfRule type="expression" priority="1947" dxfId="1">
      <formula>AND(IF($Q128=3,1,0),IF($X128&lt;30,1,0))</formula>
    </cfRule>
    <cfRule type="expression" priority="1948" dxfId="0">
      <formula>AND(IF($Q128=3,1,IF($Q128=4,1,0)),IF($F128&lt;=85,1,0))</formula>
    </cfRule>
  </conditionalFormatting>
  <conditionalFormatting sqref="AV129">
    <cfRule type="expression" priority="1943" dxfId="23">
      <formula>AV129="X"</formula>
    </cfRule>
    <cfRule type="expression" priority="1944" dxfId="22">
      <formula>AV129="후보"</formula>
    </cfRule>
  </conditionalFormatting>
  <conditionalFormatting sqref="AC12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29">
    <cfRule type="expression" priority="1935" dxfId="3">
      <formula>AND(IF(OR($Q129=1,$Q129=2),1,0),IF($X129&lt;=20,1,0))</formula>
    </cfRule>
    <cfRule type="expression" priority="1936" dxfId="2">
      <formula>AND(IF($Q129=2,1,0),IF($X129&lt;30,1,0))</formula>
    </cfRule>
    <cfRule type="expression" priority="1937" dxfId="1">
      <formula>AND(IF($Q129=3,1,0),IF($X129&lt;30,1,0))</formula>
    </cfRule>
    <cfRule type="expression" priority="1938" dxfId="0">
      <formula>AND(IF($Q129=3,1,IF($Q129=4,1,0)),IF($F129&lt;=85,1,0))</formula>
    </cfRule>
  </conditionalFormatting>
  <conditionalFormatting sqref="X129">
    <cfRule type="expression" priority="1931" dxfId="3">
      <formula>AND(IF(OR($Q129=1,$Q129=2),1,0),IF($X129&lt;=20,1,0))</formula>
    </cfRule>
    <cfRule type="expression" priority="1932" dxfId="2">
      <formula>AND(IF($Q129=2,1,0),IF($X129&lt;30,1,0))</formula>
    </cfRule>
    <cfRule type="expression" priority="1933" dxfId="1">
      <formula>AND(IF($Q129=3,1,0),IF($X129&lt;30,1,0))</formula>
    </cfRule>
    <cfRule type="expression" priority="1934" dxfId="0">
      <formula>AND(IF($Q129=3,1,IF($Q129=4,1,0)),IF($F129&lt;=85,1,0))</formula>
    </cfRule>
  </conditionalFormatting>
  <conditionalFormatting sqref="AI129">
    <cfRule type="expression" priority="1927" dxfId="3">
      <formula>AND(IF(OR($Q129=1,$Q129=2),1,0),IF($X129&lt;=20,1,0))</formula>
    </cfRule>
    <cfRule type="expression" priority="1928" dxfId="2">
      <formula>AND(IF($Q129=2,1,0),IF($X129&lt;30,1,0))</formula>
    </cfRule>
    <cfRule type="expression" priority="1929" dxfId="1">
      <formula>AND(IF($Q129=3,1,0),IF($X129&lt;30,1,0))</formula>
    </cfRule>
    <cfRule type="expression" priority="1930" dxfId="0">
      <formula>AND(IF($Q129=3,1,IF($Q129=4,1,0)),IF($F129&lt;=85,1,0))</formula>
    </cfRule>
  </conditionalFormatting>
  <conditionalFormatting sqref="AV130">
    <cfRule type="expression" priority="1925" dxfId="23">
      <formula>AV130="X"</formula>
    </cfRule>
    <cfRule type="expression" priority="1926" dxfId="22">
      <formula>AV130="후보"</formula>
    </cfRule>
  </conditionalFormatting>
  <conditionalFormatting sqref="AC13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0">
    <cfRule type="expression" priority="1917" dxfId="3">
      <formula>AND(IF(OR($Q130=1,$Q130=2),1,0),IF($X130&lt;=20,1,0))</formula>
    </cfRule>
    <cfRule type="expression" priority="1918" dxfId="2">
      <formula>AND(IF($Q130=2,1,0),IF($X130&lt;30,1,0))</formula>
    </cfRule>
    <cfRule type="expression" priority="1919" dxfId="1">
      <formula>AND(IF($Q130=3,1,0),IF($X130&lt;30,1,0))</formula>
    </cfRule>
    <cfRule type="expression" priority="1920" dxfId="0">
      <formula>AND(IF($Q130=3,1,IF($Q130=4,1,0)),IF($F130&lt;=85,1,0))</formula>
    </cfRule>
  </conditionalFormatting>
  <conditionalFormatting sqref="X130">
    <cfRule type="expression" priority="1913" dxfId="3">
      <formula>AND(IF(OR($Q130=1,$Q130=2),1,0),IF($X130&lt;=20,1,0))</formula>
    </cfRule>
    <cfRule type="expression" priority="1914" dxfId="2">
      <formula>AND(IF($Q130=2,1,0),IF($X130&lt;30,1,0))</formula>
    </cfRule>
    <cfRule type="expression" priority="1915" dxfId="1">
      <formula>AND(IF($Q130=3,1,0),IF($X130&lt;30,1,0))</formula>
    </cfRule>
    <cfRule type="expression" priority="1916" dxfId="0">
      <formula>AND(IF($Q130=3,1,IF($Q130=4,1,0)),IF($F130&lt;=85,1,0))</formula>
    </cfRule>
  </conditionalFormatting>
  <conditionalFormatting sqref="AI130">
    <cfRule type="expression" priority="1909" dxfId="3">
      <formula>AND(IF(OR($Q130=1,$Q130=2),1,0),IF($X130&lt;=20,1,0))</formula>
    </cfRule>
    <cfRule type="expression" priority="1910" dxfId="2">
      <formula>AND(IF($Q130=2,1,0),IF($X130&lt;30,1,0))</formula>
    </cfRule>
    <cfRule type="expression" priority="1911" dxfId="1">
      <formula>AND(IF($Q130=3,1,0),IF($X130&lt;30,1,0))</formula>
    </cfRule>
    <cfRule type="expression" priority="1912" dxfId="0">
      <formula>AND(IF($Q130=3,1,IF($Q130=4,1,0)),IF($F130&lt;=85,1,0))</formula>
    </cfRule>
  </conditionalFormatting>
  <conditionalFormatting sqref="AV131">
    <cfRule type="expression" priority="1907" dxfId="23">
      <formula>AV131="X"</formula>
    </cfRule>
    <cfRule type="expression" priority="1908" dxfId="22">
      <formula>AV131="후보"</formula>
    </cfRule>
  </conditionalFormatting>
  <conditionalFormatting sqref="AC13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1">
    <cfRule type="expression" priority="1899" dxfId="3">
      <formula>AND(IF(OR($Q131=1,$Q131=2),1,0),IF($X131&lt;=20,1,0))</formula>
    </cfRule>
    <cfRule type="expression" priority="1900" dxfId="2">
      <formula>AND(IF($Q131=2,1,0),IF($X131&lt;30,1,0))</formula>
    </cfRule>
    <cfRule type="expression" priority="1901" dxfId="1">
      <formula>AND(IF($Q131=3,1,0),IF($X131&lt;30,1,0))</formula>
    </cfRule>
    <cfRule type="expression" priority="1902" dxfId="0">
      <formula>AND(IF($Q131=3,1,IF($Q131=4,1,0)),IF($F131&lt;=85,1,0))</formula>
    </cfRule>
  </conditionalFormatting>
  <conditionalFormatting sqref="X131">
    <cfRule type="expression" priority="1895" dxfId="3">
      <formula>AND(IF(OR($Q131=1,$Q131=2),1,0),IF($X131&lt;=20,1,0))</formula>
    </cfRule>
    <cfRule type="expression" priority="1896" dxfId="2">
      <formula>AND(IF($Q131=2,1,0),IF($X131&lt;30,1,0))</formula>
    </cfRule>
    <cfRule type="expression" priority="1897" dxfId="1">
      <formula>AND(IF($Q131=3,1,0),IF($X131&lt;30,1,0))</formula>
    </cfRule>
    <cfRule type="expression" priority="1898" dxfId="0">
      <formula>AND(IF($Q131=3,1,IF($Q131=4,1,0)),IF($F131&lt;=85,1,0))</formula>
    </cfRule>
  </conditionalFormatting>
  <conditionalFormatting sqref="AI131">
    <cfRule type="expression" priority="1891" dxfId="3">
      <formula>AND(IF(OR($Q131=1,$Q131=2),1,0),IF($X131&lt;=20,1,0))</formula>
    </cfRule>
    <cfRule type="expression" priority="1892" dxfId="2">
      <formula>AND(IF($Q131=2,1,0),IF($X131&lt;30,1,0))</formula>
    </cfRule>
    <cfRule type="expression" priority="1893" dxfId="1">
      <formula>AND(IF($Q131=3,1,0),IF($X131&lt;30,1,0))</formula>
    </cfRule>
    <cfRule type="expression" priority="1894" dxfId="0">
      <formula>AND(IF($Q131=3,1,IF($Q131=4,1,0)),IF($F131&lt;=85,1,0))</formula>
    </cfRule>
  </conditionalFormatting>
  <conditionalFormatting sqref="AV132">
    <cfRule type="expression" priority="1889" dxfId="23">
      <formula>AV132="X"</formula>
    </cfRule>
    <cfRule type="expression" priority="1890" dxfId="22">
      <formula>AV132="후보"</formula>
    </cfRule>
  </conditionalFormatting>
  <conditionalFormatting sqref="AC13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2">
    <cfRule type="expression" priority="1881" dxfId="3">
      <formula>AND(IF(OR($Q132=1,$Q132=2),1,0),IF($X132&lt;=20,1,0))</formula>
    </cfRule>
    <cfRule type="expression" priority="1882" dxfId="2">
      <formula>AND(IF($Q132=2,1,0),IF($X132&lt;30,1,0))</formula>
    </cfRule>
    <cfRule type="expression" priority="1883" dxfId="1">
      <formula>AND(IF($Q132=3,1,0),IF($X132&lt;30,1,0))</formula>
    </cfRule>
    <cfRule type="expression" priority="1884" dxfId="0">
      <formula>AND(IF($Q132=3,1,IF($Q132=4,1,0)),IF($F132&lt;=85,1,0))</formula>
    </cfRule>
  </conditionalFormatting>
  <conditionalFormatting sqref="X132">
    <cfRule type="expression" priority="1877" dxfId="3">
      <formula>AND(IF(OR($Q132=1,$Q132=2),1,0),IF($X132&lt;=20,1,0))</formula>
    </cfRule>
    <cfRule type="expression" priority="1878" dxfId="2">
      <formula>AND(IF($Q132=2,1,0),IF($X132&lt;30,1,0))</formula>
    </cfRule>
    <cfRule type="expression" priority="1879" dxfId="1">
      <formula>AND(IF($Q132=3,1,0),IF($X132&lt;30,1,0))</formula>
    </cfRule>
    <cfRule type="expression" priority="1880" dxfId="0">
      <formula>AND(IF($Q132=3,1,IF($Q132=4,1,0)),IF($F132&lt;=85,1,0))</formula>
    </cfRule>
  </conditionalFormatting>
  <conditionalFormatting sqref="AI132">
    <cfRule type="expression" priority="1873" dxfId="3">
      <formula>AND(IF(OR($Q132=1,$Q132=2),1,0),IF($X132&lt;=20,1,0))</formula>
    </cfRule>
    <cfRule type="expression" priority="1874" dxfId="2">
      <formula>AND(IF($Q132=2,1,0),IF($X132&lt;30,1,0))</formula>
    </cfRule>
    <cfRule type="expression" priority="1875" dxfId="1">
      <formula>AND(IF($Q132=3,1,0),IF($X132&lt;30,1,0))</formula>
    </cfRule>
    <cfRule type="expression" priority="1876" dxfId="0">
      <formula>AND(IF($Q132=3,1,IF($Q132=4,1,0)),IF($F132&lt;=85,1,0))</formula>
    </cfRule>
  </conditionalFormatting>
  <conditionalFormatting sqref="AV133">
    <cfRule type="expression" priority="1871" dxfId="23">
      <formula>AV133="X"</formula>
    </cfRule>
    <cfRule type="expression" priority="1872" dxfId="22">
      <formula>AV133="후보"</formula>
    </cfRule>
  </conditionalFormatting>
  <conditionalFormatting sqref="AC13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33">
    <cfRule type="expression" priority="1863" dxfId="3">
      <formula>AND(IF(OR($Q133=1,$Q133=2),1,0),IF($X133&lt;=20,1,0))</formula>
    </cfRule>
    <cfRule type="expression" priority="1864" dxfId="2">
      <formula>AND(IF($Q133=2,1,0),IF($X133&lt;30,1,0))</formula>
    </cfRule>
    <cfRule type="expression" priority="1865" dxfId="1">
      <formula>AND(IF($Q133=3,1,0),IF($X133&lt;30,1,0))</formula>
    </cfRule>
    <cfRule type="expression" priority="1866" dxfId="0">
      <formula>AND(IF($Q133=3,1,IF($Q133=4,1,0)),IF($F133&lt;=85,1,0))</formula>
    </cfRule>
  </conditionalFormatting>
  <conditionalFormatting sqref="X133">
    <cfRule type="expression" priority="1859" dxfId="3">
      <formula>AND(IF(OR($Q133=1,$Q133=2),1,0),IF($X133&lt;=20,1,0))</formula>
    </cfRule>
    <cfRule type="expression" priority="1860" dxfId="2">
      <formula>AND(IF($Q133=2,1,0),IF($X133&lt;30,1,0))</formula>
    </cfRule>
    <cfRule type="expression" priority="1861" dxfId="1">
      <formula>AND(IF($Q133=3,1,0),IF($X133&lt;30,1,0))</formula>
    </cfRule>
    <cfRule type="expression" priority="1862" dxfId="0">
      <formula>AND(IF($Q133=3,1,IF($Q133=4,1,0)),IF($F133&lt;=85,1,0))</formula>
    </cfRule>
  </conditionalFormatting>
  <conditionalFormatting sqref="AI133">
    <cfRule type="expression" priority="1855" dxfId="3">
      <formula>AND(IF(OR($Q133=1,$Q133=2),1,0),IF($X133&lt;=20,1,0))</formula>
    </cfRule>
    <cfRule type="expression" priority="1856" dxfId="2">
      <formula>AND(IF($Q133=2,1,0),IF($X133&lt;30,1,0))</formula>
    </cfRule>
    <cfRule type="expression" priority="1857" dxfId="1">
      <formula>AND(IF($Q133=3,1,0),IF($X133&lt;30,1,0))</formula>
    </cfRule>
    <cfRule type="expression" priority="1858" dxfId="0">
      <formula>AND(IF($Q133=3,1,IF($Q133=4,1,0)),IF($F133&lt;=85,1,0))</formula>
    </cfRule>
  </conditionalFormatting>
  <conditionalFormatting sqref="AV134">
    <cfRule type="expression" priority="1853" dxfId="23">
      <formula>AV134="X"</formula>
    </cfRule>
    <cfRule type="expression" priority="1854" dxfId="22">
      <formula>AV134="후보"</formula>
    </cfRule>
  </conditionalFormatting>
  <conditionalFormatting sqref="AC13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4">
    <cfRule type="expression" priority="1845" dxfId="3">
      <formula>AND(IF(OR($Q134=1,$Q134=2),1,0),IF($X134&lt;=20,1,0))</formula>
    </cfRule>
    <cfRule type="expression" priority="1846" dxfId="2">
      <formula>AND(IF($Q134=2,1,0),IF($X134&lt;30,1,0))</formula>
    </cfRule>
    <cfRule type="expression" priority="1847" dxfId="1">
      <formula>AND(IF($Q134=3,1,0),IF($X134&lt;30,1,0))</formula>
    </cfRule>
    <cfRule type="expression" priority="1848" dxfId="0">
      <formula>AND(IF($Q134=3,1,IF($Q134=4,1,0)),IF($F134&lt;=85,1,0))</formula>
    </cfRule>
  </conditionalFormatting>
  <conditionalFormatting sqref="X134">
    <cfRule type="expression" priority="1841" dxfId="3">
      <formula>AND(IF(OR($Q134=1,$Q134=2),1,0),IF($X134&lt;=20,1,0))</formula>
    </cfRule>
    <cfRule type="expression" priority="1842" dxfId="2">
      <formula>AND(IF($Q134=2,1,0),IF($X134&lt;30,1,0))</formula>
    </cfRule>
    <cfRule type="expression" priority="1843" dxfId="1">
      <formula>AND(IF($Q134=3,1,0),IF($X134&lt;30,1,0))</formula>
    </cfRule>
    <cfRule type="expression" priority="1844" dxfId="0">
      <formula>AND(IF($Q134=3,1,IF($Q134=4,1,0)),IF($F134&lt;=85,1,0))</formula>
    </cfRule>
  </conditionalFormatting>
  <conditionalFormatting sqref="AI134">
    <cfRule type="expression" priority="1837" dxfId="3">
      <formula>AND(IF(OR($Q134=1,$Q134=2),1,0),IF($X134&lt;=20,1,0))</formula>
    </cfRule>
    <cfRule type="expression" priority="1838" dxfId="2">
      <formula>AND(IF($Q134=2,1,0),IF($X134&lt;30,1,0))</formula>
    </cfRule>
    <cfRule type="expression" priority="1839" dxfId="1">
      <formula>AND(IF($Q134=3,1,0),IF($X134&lt;30,1,0))</formula>
    </cfRule>
    <cfRule type="expression" priority="1840" dxfId="0">
      <formula>AND(IF($Q134=3,1,IF($Q134=4,1,0)),IF($F134&lt;=85,1,0))</formula>
    </cfRule>
  </conditionalFormatting>
  <conditionalFormatting sqref="AV135">
    <cfRule type="expression" priority="1835" dxfId="23">
      <formula>AV135="X"</formula>
    </cfRule>
    <cfRule type="expression" priority="1836" dxfId="22">
      <formula>AV135="후보"</formula>
    </cfRule>
  </conditionalFormatting>
  <conditionalFormatting sqref="AC13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5">
    <cfRule type="expression" priority="1827" dxfId="3">
      <formula>AND(IF(OR($Q135=1,$Q135=2),1,0),IF($X135&lt;=20,1,0))</formula>
    </cfRule>
    <cfRule type="expression" priority="1828" dxfId="2">
      <formula>AND(IF($Q135=2,1,0),IF($X135&lt;30,1,0))</formula>
    </cfRule>
    <cfRule type="expression" priority="1829" dxfId="1">
      <formula>AND(IF($Q135=3,1,0),IF($X135&lt;30,1,0))</formula>
    </cfRule>
    <cfRule type="expression" priority="1830" dxfId="0">
      <formula>AND(IF($Q135=3,1,IF($Q135=4,1,0)),IF($F135&lt;=85,1,0))</formula>
    </cfRule>
  </conditionalFormatting>
  <conditionalFormatting sqref="X135">
    <cfRule type="expression" priority="1823" dxfId="3">
      <formula>AND(IF(OR($Q135=1,$Q135=2),1,0),IF($X135&lt;=20,1,0))</formula>
    </cfRule>
    <cfRule type="expression" priority="1824" dxfId="2">
      <formula>AND(IF($Q135=2,1,0),IF($X135&lt;30,1,0))</formula>
    </cfRule>
    <cfRule type="expression" priority="1825" dxfId="1">
      <formula>AND(IF($Q135=3,1,0),IF($X135&lt;30,1,0))</formula>
    </cfRule>
    <cfRule type="expression" priority="1826" dxfId="0">
      <formula>AND(IF($Q135=3,1,IF($Q135=4,1,0)),IF($F135&lt;=85,1,0))</formula>
    </cfRule>
  </conditionalFormatting>
  <conditionalFormatting sqref="AI135">
    <cfRule type="expression" priority="1819" dxfId="3">
      <formula>AND(IF(OR($Q135=1,$Q135=2),1,0),IF($X135&lt;=20,1,0))</formula>
    </cfRule>
    <cfRule type="expression" priority="1820" dxfId="2">
      <formula>AND(IF($Q135=2,1,0),IF($X135&lt;30,1,0))</formula>
    </cfRule>
    <cfRule type="expression" priority="1821" dxfId="1">
      <formula>AND(IF($Q135=3,1,0),IF($X135&lt;30,1,0))</formula>
    </cfRule>
    <cfRule type="expression" priority="1822" dxfId="0">
      <formula>AND(IF($Q135=3,1,IF($Q135=4,1,0)),IF($F135&lt;=85,1,0))</formula>
    </cfRule>
  </conditionalFormatting>
  <conditionalFormatting sqref="AV136">
    <cfRule type="expression" priority="1817" dxfId="23">
      <formula>AV136="X"</formula>
    </cfRule>
    <cfRule type="expression" priority="1818" dxfId="22">
      <formula>AV136="후보"</formula>
    </cfRule>
  </conditionalFormatting>
  <conditionalFormatting sqref="AC13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3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36">
    <cfRule type="expression" priority="1809" dxfId="3">
      <formula>AND(IF(OR($Q136=1,$Q136=2),1,0),IF($X136&lt;=20,1,0))</formula>
    </cfRule>
    <cfRule type="expression" priority="1810" dxfId="2">
      <formula>AND(IF($Q136=2,1,0),IF($X136&lt;30,1,0))</formula>
    </cfRule>
    <cfRule type="expression" priority="1811" dxfId="1">
      <formula>AND(IF($Q136=3,1,0),IF($X136&lt;30,1,0))</formula>
    </cfRule>
    <cfRule type="expression" priority="1812" dxfId="0">
      <formula>AND(IF($Q136=3,1,IF($Q136=4,1,0)),IF($F136&lt;=85,1,0))</formula>
    </cfRule>
  </conditionalFormatting>
  <conditionalFormatting sqref="X136">
    <cfRule type="expression" priority="1805" dxfId="3">
      <formula>AND(IF(OR($Q136=1,$Q136=2),1,0),IF($X136&lt;=20,1,0))</formula>
    </cfRule>
    <cfRule type="expression" priority="1806" dxfId="2">
      <formula>AND(IF($Q136=2,1,0),IF($X136&lt;30,1,0))</formula>
    </cfRule>
    <cfRule type="expression" priority="1807" dxfId="1">
      <formula>AND(IF($Q136=3,1,0),IF($X136&lt;30,1,0))</formula>
    </cfRule>
    <cfRule type="expression" priority="1808" dxfId="0">
      <formula>AND(IF($Q136=3,1,IF($Q136=4,1,0)),IF($F136&lt;=85,1,0))</formula>
    </cfRule>
  </conditionalFormatting>
  <conditionalFormatting sqref="AI136">
    <cfRule type="expression" priority="1801" dxfId="3">
      <formula>AND(IF(OR($Q136=1,$Q136=2),1,0),IF($X136&lt;=20,1,0))</formula>
    </cfRule>
    <cfRule type="expression" priority="1802" dxfId="2">
      <formula>AND(IF($Q136=2,1,0),IF($X136&lt;30,1,0))</formula>
    </cfRule>
    <cfRule type="expression" priority="1803" dxfId="1">
      <formula>AND(IF($Q136=3,1,0),IF($X136&lt;30,1,0))</formula>
    </cfRule>
    <cfRule type="expression" priority="1804" dxfId="0">
      <formula>AND(IF($Q136=3,1,IF($Q136=4,1,0)),IF($F136&lt;=85,1,0))</formula>
    </cfRule>
  </conditionalFormatting>
  <conditionalFormatting sqref="AV137">
    <cfRule type="expression" priority="1799" dxfId="23">
      <formula>AV137="X"</formula>
    </cfRule>
    <cfRule type="expression" priority="1800" dxfId="22">
      <formula>AV137="후보"</formula>
    </cfRule>
  </conditionalFormatting>
  <conditionalFormatting sqref="AC13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3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37">
    <cfRule type="expression" priority="1791" dxfId="3">
      <formula>AND(IF(OR($Q137=1,$Q137=2),1,0),IF($X137&lt;=20,1,0))</formula>
    </cfRule>
    <cfRule type="expression" priority="1792" dxfId="2">
      <formula>AND(IF($Q137=2,1,0),IF($X137&lt;30,1,0))</formula>
    </cfRule>
    <cfRule type="expression" priority="1793" dxfId="1">
      <formula>AND(IF($Q137=3,1,0),IF($X137&lt;30,1,0))</formula>
    </cfRule>
    <cfRule type="expression" priority="1794" dxfId="0">
      <formula>AND(IF($Q137=3,1,IF($Q137=4,1,0)),IF($F137&lt;=85,1,0))</formula>
    </cfRule>
  </conditionalFormatting>
  <conditionalFormatting sqref="X137">
    <cfRule type="expression" priority="1787" dxfId="3">
      <formula>AND(IF(OR($Q137=1,$Q137=2),1,0),IF($X137&lt;=20,1,0))</formula>
    </cfRule>
    <cfRule type="expression" priority="1788" dxfId="2">
      <formula>AND(IF($Q137=2,1,0),IF($X137&lt;30,1,0))</formula>
    </cfRule>
    <cfRule type="expression" priority="1789" dxfId="1">
      <formula>AND(IF($Q137=3,1,0),IF($X137&lt;30,1,0))</formula>
    </cfRule>
    <cfRule type="expression" priority="1790" dxfId="0">
      <formula>AND(IF($Q137=3,1,IF($Q137=4,1,0)),IF($F137&lt;=85,1,0))</formula>
    </cfRule>
  </conditionalFormatting>
  <conditionalFormatting sqref="AI137">
    <cfRule type="expression" priority="1783" dxfId="3">
      <formula>AND(IF(OR($Q137=1,$Q137=2),1,0),IF($X137&lt;=20,1,0))</formula>
    </cfRule>
    <cfRule type="expression" priority="1784" dxfId="2">
      <formula>AND(IF($Q137=2,1,0),IF($X137&lt;30,1,0))</formula>
    </cfRule>
    <cfRule type="expression" priority="1785" dxfId="1">
      <formula>AND(IF($Q137=3,1,0),IF($X137&lt;30,1,0))</formula>
    </cfRule>
    <cfRule type="expression" priority="1786" dxfId="0">
      <formula>AND(IF($Q137=3,1,IF($Q137=4,1,0)),IF($F137&lt;=85,1,0))</formula>
    </cfRule>
  </conditionalFormatting>
  <conditionalFormatting sqref="AV138">
    <cfRule type="expression" priority="1781" dxfId="23">
      <formula>AV138="X"</formula>
    </cfRule>
    <cfRule type="expression" priority="1782" dxfId="22">
      <formula>AV138="후보"</formula>
    </cfRule>
  </conditionalFormatting>
  <conditionalFormatting sqref="AC13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8">
    <cfRule type="expression" priority="1773" dxfId="3">
      <formula>AND(IF(OR($Q138=1,$Q138=2),1,0),IF($X138&lt;=20,1,0))</formula>
    </cfRule>
    <cfRule type="expression" priority="1774" dxfId="2">
      <formula>AND(IF($Q138=2,1,0),IF($X138&lt;30,1,0))</formula>
    </cfRule>
    <cfRule type="expression" priority="1775" dxfId="1">
      <formula>AND(IF($Q138=3,1,0),IF($X138&lt;30,1,0))</formula>
    </cfRule>
    <cfRule type="expression" priority="1776" dxfId="0">
      <formula>AND(IF($Q138=3,1,IF($Q138=4,1,0)),IF($F138&lt;=85,1,0))</formula>
    </cfRule>
  </conditionalFormatting>
  <conditionalFormatting sqref="X138">
    <cfRule type="expression" priority="1769" dxfId="3">
      <formula>AND(IF(OR($Q138=1,$Q138=2),1,0),IF($X138&lt;=20,1,0))</formula>
    </cfRule>
    <cfRule type="expression" priority="1770" dxfId="2">
      <formula>AND(IF($Q138=2,1,0),IF($X138&lt;30,1,0))</formula>
    </cfRule>
    <cfRule type="expression" priority="1771" dxfId="1">
      <formula>AND(IF($Q138=3,1,0),IF($X138&lt;30,1,0))</formula>
    </cfRule>
    <cfRule type="expression" priority="1772" dxfId="0">
      <formula>AND(IF($Q138=3,1,IF($Q138=4,1,0)),IF($F138&lt;=85,1,0))</formula>
    </cfRule>
  </conditionalFormatting>
  <conditionalFormatting sqref="AI138">
    <cfRule type="expression" priority="1765" dxfId="3">
      <formula>AND(IF(OR($Q138=1,$Q138=2),1,0),IF($X138&lt;=20,1,0))</formula>
    </cfRule>
    <cfRule type="expression" priority="1766" dxfId="2">
      <formula>AND(IF($Q138=2,1,0),IF($X138&lt;30,1,0))</formula>
    </cfRule>
    <cfRule type="expression" priority="1767" dxfId="1">
      <formula>AND(IF($Q138=3,1,0),IF($X138&lt;30,1,0))</formula>
    </cfRule>
    <cfRule type="expression" priority="1768" dxfId="0">
      <formula>AND(IF($Q138=3,1,IF($Q138=4,1,0)),IF($F138&lt;=85,1,0))</formula>
    </cfRule>
  </conditionalFormatting>
  <conditionalFormatting sqref="AV139">
    <cfRule type="expression" priority="1763" dxfId="23">
      <formula>AV139="X"</formula>
    </cfRule>
    <cfRule type="expression" priority="1764" dxfId="22">
      <formula>AV139="후보"</formula>
    </cfRule>
  </conditionalFormatting>
  <conditionalFormatting sqref="AC13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9">
    <cfRule type="expression" priority="1755" dxfId="3">
      <formula>AND(IF(OR($Q139=1,$Q139=2),1,0),IF($X139&lt;=20,1,0))</formula>
    </cfRule>
    <cfRule type="expression" priority="1756" dxfId="2">
      <formula>AND(IF($Q139=2,1,0),IF($X139&lt;30,1,0))</formula>
    </cfRule>
    <cfRule type="expression" priority="1757" dxfId="1">
      <formula>AND(IF($Q139=3,1,0),IF($X139&lt;30,1,0))</formula>
    </cfRule>
    <cfRule type="expression" priority="1758" dxfId="0">
      <formula>AND(IF($Q139=3,1,IF($Q139=4,1,0)),IF($F139&lt;=85,1,0))</formula>
    </cfRule>
  </conditionalFormatting>
  <conditionalFormatting sqref="X139">
    <cfRule type="expression" priority="1751" dxfId="3">
      <formula>AND(IF(OR($Q139=1,$Q139=2),1,0),IF($X139&lt;=20,1,0))</formula>
    </cfRule>
    <cfRule type="expression" priority="1752" dxfId="2">
      <formula>AND(IF($Q139=2,1,0),IF($X139&lt;30,1,0))</formula>
    </cfRule>
    <cfRule type="expression" priority="1753" dxfId="1">
      <formula>AND(IF($Q139=3,1,0),IF($X139&lt;30,1,0))</formula>
    </cfRule>
    <cfRule type="expression" priority="1754" dxfId="0">
      <formula>AND(IF($Q139=3,1,IF($Q139=4,1,0)),IF($F139&lt;=85,1,0))</formula>
    </cfRule>
  </conditionalFormatting>
  <conditionalFormatting sqref="AI139">
    <cfRule type="expression" priority="1747" dxfId="3">
      <formula>AND(IF(OR($Q139=1,$Q139=2),1,0),IF($X139&lt;=20,1,0))</formula>
    </cfRule>
    <cfRule type="expression" priority="1748" dxfId="2">
      <formula>AND(IF($Q139=2,1,0),IF($X139&lt;30,1,0))</formula>
    </cfRule>
    <cfRule type="expression" priority="1749" dxfId="1">
      <formula>AND(IF($Q139=3,1,0),IF($X139&lt;30,1,0))</formula>
    </cfRule>
    <cfRule type="expression" priority="1750" dxfId="0">
      <formula>AND(IF($Q139=3,1,IF($Q139=4,1,0)),IF($F139&lt;=85,1,0))</formula>
    </cfRule>
  </conditionalFormatting>
  <conditionalFormatting sqref="AV140">
    <cfRule type="expression" priority="1745" dxfId="23">
      <formula>AV140="X"</formula>
    </cfRule>
    <cfRule type="expression" priority="1746" dxfId="22">
      <formula>AV140="후보"</formula>
    </cfRule>
  </conditionalFormatting>
  <conditionalFormatting sqref="AC14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0">
    <cfRule type="expression" priority="1737" dxfId="3">
      <formula>AND(IF(OR($Q140=1,$Q140=2),1,0),IF($X140&lt;=20,1,0))</formula>
    </cfRule>
    <cfRule type="expression" priority="1738" dxfId="2">
      <formula>AND(IF($Q140=2,1,0),IF($X140&lt;30,1,0))</formula>
    </cfRule>
    <cfRule type="expression" priority="1739" dxfId="1">
      <formula>AND(IF($Q140=3,1,0),IF($X140&lt;30,1,0))</formula>
    </cfRule>
    <cfRule type="expression" priority="1740" dxfId="0">
      <formula>AND(IF($Q140=3,1,IF($Q140=4,1,0)),IF($F140&lt;=85,1,0))</formula>
    </cfRule>
  </conditionalFormatting>
  <conditionalFormatting sqref="X140">
    <cfRule type="expression" priority="1733" dxfId="3">
      <formula>AND(IF(OR($Q140=1,$Q140=2),1,0),IF($X140&lt;=20,1,0))</formula>
    </cfRule>
    <cfRule type="expression" priority="1734" dxfId="2">
      <formula>AND(IF($Q140=2,1,0),IF($X140&lt;30,1,0))</formula>
    </cfRule>
    <cfRule type="expression" priority="1735" dxfId="1">
      <formula>AND(IF($Q140=3,1,0),IF($X140&lt;30,1,0))</formula>
    </cfRule>
    <cfRule type="expression" priority="1736" dxfId="0">
      <formula>AND(IF($Q140=3,1,IF($Q140=4,1,0)),IF($F140&lt;=85,1,0))</formula>
    </cfRule>
  </conditionalFormatting>
  <conditionalFormatting sqref="AI140">
    <cfRule type="expression" priority="1729" dxfId="3">
      <formula>AND(IF(OR($Q140=1,$Q140=2),1,0),IF($X140&lt;=20,1,0))</formula>
    </cfRule>
    <cfRule type="expression" priority="1730" dxfId="2">
      <formula>AND(IF($Q140=2,1,0),IF($X140&lt;30,1,0))</formula>
    </cfRule>
    <cfRule type="expression" priority="1731" dxfId="1">
      <formula>AND(IF($Q140=3,1,0),IF($X140&lt;30,1,0))</formula>
    </cfRule>
    <cfRule type="expression" priority="1732" dxfId="0">
      <formula>AND(IF($Q140=3,1,IF($Q140=4,1,0)),IF($F140&lt;=85,1,0))</formula>
    </cfRule>
  </conditionalFormatting>
  <conditionalFormatting sqref="AV141">
    <cfRule type="expression" priority="1727" dxfId="23">
      <formula>AV141="X"</formula>
    </cfRule>
    <cfRule type="expression" priority="1728" dxfId="22">
      <formula>AV141="후보"</formula>
    </cfRule>
  </conditionalFormatting>
  <conditionalFormatting sqref="AC14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1">
    <cfRule type="expression" priority="1719" dxfId="3">
      <formula>AND(IF(OR($Q141=1,$Q141=2),1,0),IF($X141&lt;=20,1,0))</formula>
    </cfRule>
    <cfRule type="expression" priority="1720" dxfId="2">
      <formula>AND(IF($Q141=2,1,0),IF($X141&lt;30,1,0))</formula>
    </cfRule>
    <cfRule type="expression" priority="1721" dxfId="1">
      <formula>AND(IF($Q141=3,1,0),IF($X141&lt;30,1,0))</formula>
    </cfRule>
    <cfRule type="expression" priority="1722" dxfId="0">
      <formula>AND(IF($Q141=3,1,IF($Q141=4,1,0)),IF($F141&lt;=85,1,0))</formula>
    </cfRule>
  </conditionalFormatting>
  <conditionalFormatting sqref="X141">
    <cfRule type="expression" priority="1715" dxfId="3">
      <formula>AND(IF(OR($Q141=1,$Q141=2),1,0),IF($X141&lt;=20,1,0))</formula>
    </cfRule>
    <cfRule type="expression" priority="1716" dxfId="2">
      <formula>AND(IF($Q141=2,1,0),IF($X141&lt;30,1,0))</formula>
    </cfRule>
    <cfRule type="expression" priority="1717" dxfId="1">
      <formula>AND(IF($Q141=3,1,0),IF($X141&lt;30,1,0))</formula>
    </cfRule>
    <cfRule type="expression" priority="1718" dxfId="0">
      <formula>AND(IF($Q141=3,1,IF($Q141=4,1,0)),IF($F141&lt;=85,1,0))</formula>
    </cfRule>
  </conditionalFormatting>
  <conditionalFormatting sqref="AI141">
    <cfRule type="expression" priority="1711" dxfId="3">
      <formula>AND(IF(OR($Q141=1,$Q141=2),1,0),IF($X141&lt;=20,1,0))</formula>
    </cfRule>
    <cfRule type="expression" priority="1712" dxfId="2">
      <formula>AND(IF($Q141=2,1,0),IF($X141&lt;30,1,0))</formula>
    </cfRule>
    <cfRule type="expression" priority="1713" dxfId="1">
      <formula>AND(IF($Q141=3,1,0),IF($X141&lt;30,1,0))</formula>
    </cfRule>
    <cfRule type="expression" priority="1714" dxfId="0">
      <formula>AND(IF($Q141=3,1,IF($Q141=4,1,0)),IF($F141&lt;=85,1,0))</formula>
    </cfRule>
  </conditionalFormatting>
  <conditionalFormatting sqref="AV142">
    <cfRule type="expression" priority="1709" dxfId="23">
      <formula>AV142="X"</formula>
    </cfRule>
    <cfRule type="expression" priority="1710" dxfId="22">
      <formula>AV142="후보"</formula>
    </cfRule>
  </conditionalFormatting>
  <conditionalFormatting sqref="AC14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2">
    <cfRule type="expression" priority="1701" dxfId="3">
      <formula>AND(IF(OR($Q142=1,$Q142=2),1,0),IF($X142&lt;=20,1,0))</formula>
    </cfRule>
    <cfRule type="expression" priority="1702" dxfId="2">
      <formula>AND(IF($Q142=2,1,0),IF($X142&lt;30,1,0))</formula>
    </cfRule>
    <cfRule type="expression" priority="1703" dxfId="1">
      <formula>AND(IF($Q142=3,1,0),IF($X142&lt;30,1,0))</formula>
    </cfRule>
    <cfRule type="expression" priority="1704" dxfId="0">
      <formula>AND(IF($Q142=3,1,IF($Q142=4,1,0)),IF($F142&lt;=85,1,0))</formula>
    </cfRule>
  </conditionalFormatting>
  <conditionalFormatting sqref="X142">
    <cfRule type="expression" priority="1697" dxfId="3">
      <formula>AND(IF(OR($Q142=1,$Q142=2),1,0),IF($X142&lt;=20,1,0))</formula>
    </cfRule>
    <cfRule type="expression" priority="1698" dxfId="2">
      <formula>AND(IF($Q142=2,1,0),IF($X142&lt;30,1,0))</formula>
    </cfRule>
    <cfRule type="expression" priority="1699" dxfId="1">
      <formula>AND(IF($Q142=3,1,0),IF($X142&lt;30,1,0))</formula>
    </cfRule>
    <cfRule type="expression" priority="1700" dxfId="0">
      <formula>AND(IF($Q142=3,1,IF($Q142=4,1,0)),IF($F142&lt;=85,1,0))</formula>
    </cfRule>
  </conditionalFormatting>
  <conditionalFormatting sqref="AI142">
    <cfRule type="expression" priority="1693" dxfId="3">
      <formula>AND(IF(OR($Q142=1,$Q142=2),1,0),IF($X142&lt;=20,1,0))</formula>
    </cfRule>
    <cfRule type="expression" priority="1694" dxfId="2">
      <formula>AND(IF($Q142=2,1,0),IF($X142&lt;30,1,0))</formula>
    </cfRule>
    <cfRule type="expression" priority="1695" dxfId="1">
      <formula>AND(IF($Q142=3,1,0),IF($X142&lt;30,1,0))</formula>
    </cfRule>
    <cfRule type="expression" priority="1696" dxfId="0">
      <formula>AND(IF($Q142=3,1,IF($Q142=4,1,0)),IF($F142&lt;=85,1,0))</formula>
    </cfRule>
  </conditionalFormatting>
  <conditionalFormatting sqref="AV143">
    <cfRule type="expression" priority="1691" dxfId="23">
      <formula>AV143="X"</formula>
    </cfRule>
    <cfRule type="expression" priority="1692" dxfId="22">
      <formula>AV143="후보"</formula>
    </cfRule>
  </conditionalFormatting>
  <conditionalFormatting sqref="AC14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4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43">
    <cfRule type="expression" priority="1683" dxfId="3">
      <formula>AND(IF(OR($Q143=1,$Q143=2),1,0),IF($X143&lt;=20,1,0))</formula>
    </cfRule>
    <cfRule type="expression" priority="1684" dxfId="2">
      <formula>AND(IF($Q143=2,1,0),IF($X143&lt;30,1,0))</formula>
    </cfRule>
    <cfRule type="expression" priority="1685" dxfId="1">
      <formula>AND(IF($Q143=3,1,0),IF($X143&lt;30,1,0))</formula>
    </cfRule>
    <cfRule type="expression" priority="1686" dxfId="0">
      <formula>AND(IF($Q143=3,1,IF($Q143=4,1,0)),IF($F143&lt;=85,1,0))</formula>
    </cfRule>
  </conditionalFormatting>
  <conditionalFormatting sqref="X143">
    <cfRule type="expression" priority="1679" dxfId="3">
      <formula>AND(IF(OR($Q143=1,$Q143=2),1,0),IF($X143&lt;=20,1,0))</formula>
    </cfRule>
    <cfRule type="expression" priority="1680" dxfId="2">
      <formula>AND(IF($Q143=2,1,0),IF($X143&lt;30,1,0))</formula>
    </cfRule>
    <cfRule type="expression" priority="1681" dxfId="1">
      <formula>AND(IF($Q143=3,1,0),IF($X143&lt;30,1,0))</formula>
    </cfRule>
    <cfRule type="expression" priority="1682" dxfId="0">
      <formula>AND(IF($Q143=3,1,IF($Q143=4,1,0)),IF($F143&lt;=85,1,0))</formula>
    </cfRule>
  </conditionalFormatting>
  <conditionalFormatting sqref="AI143">
    <cfRule type="expression" priority="1675" dxfId="3">
      <formula>AND(IF(OR($Q143=1,$Q143=2),1,0),IF($X143&lt;=20,1,0))</formula>
    </cfRule>
    <cfRule type="expression" priority="1676" dxfId="2">
      <formula>AND(IF($Q143=2,1,0),IF($X143&lt;30,1,0))</formula>
    </cfRule>
    <cfRule type="expression" priority="1677" dxfId="1">
      <formula>AND(IF($Q143=3,1,0),IF($X143&lt;30,1,0))</formula>
    </cfRule>
    <cfRule type="expression" priority="1678" dxfId="0">
      <formula>AND(IF($Q143=3,1,IF($Q143=4,1,0)),IF($F143&lt;=85,1,0))</formula>
    </cfRule>
  </conditionalFormatting>
  <conditionalFormatting sqref="AV144">
    <cfRule type="expression" priority="1673" dxfId="23">
      <formula>AV144="X"</formula>
    </cfRule>
    <cfRule type="expression" priority="1674" dxfId="22">
      <formula>AV144="후보"</formula>
    </cfRule>
  </conditionalFormatting>
  <conditionalFormatting sqref="AC14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4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44">
    <cfRule type="expression" priority="1665" dxfId="3">
      <formula>AND(IF(OR($Q144=1,$Q144=2),1,0),IF($X144&lt;=20,1,0))</formula>
    </cfRule>
    <cfRule type="expression" priority="1666" dxfId="2">
      <formula>AND(IF($Q144=2,1,0),IF($X144&lt;30,1,0))</formula>
    </cfRule>
    <cfRule type="expression" priority="1667" dxfId="1">
      <formula>AND(IF($Q144=3,1,0),IF($X144&lt;30,1,0))</formula>
    </cfRule>
    <cfRule type="expression" priority="1668" dxfId="0">
      <formula>AND(IF($Q144=3,1,IF($Q144=4,1,0)),IF($F144&lt;=85,1,0))</formula>
    </cfRule>
  </conditionalFormatting>
  <conditionalFormatting sqref="X144">
    <cfRule type="expression" priority="1661" dxfId="3">
      <formula>AND(IF(OR($Q144=1,$Q144=2),1,0),IF($X144&lt;=20,1,0))</formula>
    </cfRule>
    <cfRule type="expression" priority="1662" dxfId="2">
      <formula>AND(IF($Q144=2,1,0),IF($X144&lt;30,1,0))</formula>
    </cfRule>
    <cfRule type="expression" priority="1663" dxfId="1">
      <formula>AND(IF($Q144=3,1,0),IF($X144&lt;30,1,0))</formula>
    </cfRule>
    <cfRule type="expression" priority="1664" dxfId="0">
      <formula>AND(IF($Q144=3,1,IF($Q144=4,1,0)),IF($F144&lt;=85,1,0))</formula>
    </cfRule>
  </conditionalFormatting>
  <conditionalFormatting sqref="AI144">
    <cfRule type="expression" priority="1657" dxfId="3">
      <formula>AND(IF(OR($Q144=1,$Q144=2),1,0),IF($X144&lt;=20,1,0))</formula>
    </cfRule>
    <cfRule type="expression" priority="1658" dxfId="2">
      <formula>AND(IF($Q144=2,1,0),IF($X144&lt;30,1,0))</formula>
    </cfRule>
    <cfRule type="expression" priority="1659" dxfId="1">
      <formula>AND(IF($Q144=3,1,0),IF($X144&lt;30,1,0))</formula>
    </cfRule>
    <cfRule type="expression" priority="1660" dxfId="0">
      <formula>AND(IF($Q144=3,1,IF($Q144=4,1,0)),IF($F144&lt;=85,1,0))</formula>
    </cfRule>
  </conditionalFormatting>
  <conditionalFormatting sqref="AV145">
    <cfRule type="expression" priority="1655" dxfId="23">
      <formula>AV145="X"</formula>
    </cfRule>
    <cfRule type="expression" priority="1656" dxfId="22">
      <formula>AV145="후보"</formula>
    </cfRule>
  </conditionalFormatting>
  <conditionalFormatting sqref="AC14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4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45">
    <cfRule type="expression" priority="1647" dxfId="3">
      <formula>AND(IF(OR($Q145=1,$Q145=2),1,0),IF($X145&lt;=20,1,0))</formula>
    </cfRule>
    <cfRule type="expression" priority="1648" dxfId="2">
      <formula>AND(IF($Q145=2,1,0),IF($X145&lt;30,1,0))</formula>
    </cfRule>
    <cfRule type="expression" priority="1649" dxfId="1">
      <formula>AND(IF($Q145=3,1,0),IF($X145&lt;30,1,0))</formula>
    </cfRule>
    <cfRule type="expression" priority="1650" dxfId="0">
      <formula>AND(IF($Q145=3,1,IF($Q145=4,1,0)),IF($F145&lt;=85,1,0))</formula>
    </cfRule>
  </conditionalFormatting>
  <conditionalFormatting sqref="X145">
    <cfRule type="expression" priority="1643" dxfId="3">
      <formula>AND(IF(OR($Q145=1,$Q145=2),1,0),IF($X145&lt;=20,1,0))</formula>
    </cfRule>
    <cfRule type="expression" priority="1644" dxfId="2">
      <formula>AND(IF($Q145=2,1,0),IF($X145&lt;30,1,0))</formula>
    </cfRule>
    <cfRule type="expression" priority="1645" dxfId="1">
      <formula>AND(IF($Q145=3,1,0),IF($X145&lt;30,1,0))</formula>
    </cfRule>
    <cfRule type="expression" priority="1646" dxfId="0">
      <formula>AND(IF($Q145=3,1,IF($Q145=4,1,0)),IF($F145&lt;=85,1,0))</formula>
    </cfRule>
  </conditionalFormatting>
  <conditionalFormatting sqref="AI145">
    <cfRule type="expression" priority="1639" dxfId="3">
      <formula>AND(IF(OR($Q145=1,$Q145=2),1,0),IF($X145&lt;=20,1,0))</formula>
    </cfRule>
    <cfRule type="expression" priority="1640" dxfId="2">
      <formula>AND(IF($Q145=2,1,0),IF($X145&lt;30,1,0))</formula>
    </cfRule>
    <cfRule type="expression" priority="1641" dxfId="1">
      <formula>AND(IF($Q145=3,1,0),IF($X145&lt;30,1,0))</formula>
    </cfRule>
    <cfRule type="expression" priority="1642" dxfId="0">
      <formula>AND(IF($Q145=3,1,IF($Q145=4,1,0)),IF($F145&lt;=85,1,0))</formula>
    </cfRule>
  </conditionalFormatting>
  <conditionalFormatting sqref="AV146">
    <cfRule type="expression" priority="1637" dxfId="23">
      <formula>AV146="X"</formula>
    </cfRule>
    <cfRule type="expression" priority="1638" dxfId="22">
      <formula>AV146="후보"</formula>
    </cfRule>
  </conditionalFormatting>
  <conditionalFormatting sqref="AC14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4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46">
    <cfRule type="expression" priority="1629" dxfId="3">
      <formula>AND(IF(OR($Q146=1,$Q146=2),1,0),IF($X146&lt;=20,1,0))</formula>
    </cfRule>
    <cfRule type="expression" priority="1630" dxfId="2">
      <formula>AND(IF($Q146=2,1,0),IF($X146&lt;30,1,0))</formula>
    </cfRule>
    <cfRule type="expression" priority="1631" dxfId="1">
      <formula>AND(IF($Q146=3,1,0),IF($X146&lt;30,1,0))</formula>
    </cfRule>
    <cfRule type="expression" priority="1632" dxfId="0">
      <formula>AND(IF($Q146=3,1,IF($Q146=4,1,0)),IF($F146&lt;=85,1,0))</formula>
    </cfRule>
  </conditionalFormatting>
  <conditionalFormatting sqref="X146">
    <cfRule type="expression" priority="1625" dxfId="3">
      <formula>AND(IF(OR($Q146=1,$Q146=2),1,0),IF($X146&lt;=20,1,0))</formula>
    </cfRule>
    <cfRule type="expression" priority="1626" dxfId="2">
      <formula>AND(IF($Q146=2,1,0),IF($X146&lt;30,1,0))</formula>
    </cfRule>
    <cfRule type="expression" priority="1627" dxfId="1">
      <formula>AND(IF($Q146=3,1,0),IF($X146&lt;30,1,0))</formula>
    </cfRule>
    <cfRule type="expression" priority="1628" dxfId="0">
      <formula>AND(IF($Q146=3,1,IF($Q146=4,1,0)),IF($F146&lt;=85,1,0))</formula>
    </cfRule>
  </conditionalFormatting>
  <conditionalFormatting sqref="AI146">
    <cfRule type="expression" priority="1621" dxfId="3">
      <formula>AND(IF(OR($Q146=1,$Q146=2),1,0),IF($X146&lt;=20,1,0))</formula>
    </cfRule>
    <cfRule type="expression" priority="1622" dxfId="2">
      <formula>AND(IF($Q146=2,1,0),IF($X146&lt;30,1,0))</formula>
    </cfRule>
    <cfRule type="expression" priority="1623" dxfId="1">
      <formula>AND(IF($Q146=3,1,0),IF($X146&lt;30,1,0))</formula>
    </cfRule>
    <cfRule type="expression" priority="1624" dxfId="0">
      <formula>AND(IF($Q146=3,1,IF($Q146=4,1,0)),IF($F146&lt;=85,1,0))</formula>
    </cfRule>
  </conditionalFormatting>
  <conditionalFormatting sqref="AV147">
    <cfRule type="expression" priority="1619" dxfId="23">
      <formula>AV147="X"</formula>
    </cfRule>
    <cfRule type="expression" priority="1620" dxfId="22">
      <formula>AV147="후보"</formula>
    </cfRule>
  </conditionalFormatting>
  <conditionalFormatting sqref="AC14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4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47">
    <cfRule type="expression" priority="1611" dxfId="3">
      <formula>AND(IF(OR($Q147=1,$Q147=2),1,0),IF($X147&lt;=20,1,0))</formula>
    </cfRule>
    <cfRule type="expression" priority="1612" dxfId="2">
      <formula>AND(IF($Q147=2,1,0),IF($X147&lt;30,1,0))</formula>
    </cfRule>
    <cfRule type="expression" priority="1613" dxfId="1">
      <formula>AND(IF($Q147=3,1,0),IF($X147&lt;30,1,0))</formula>
    </cfRule>
    <cfRule type="expression" priority="1614" dxfId="0">
      <formula>AND(IF($Q147=3,1,IF($Q147=4,1,0)),IF($F147&lt;=85,1,0))</formula>
    </cfRule>
  </conditionalFormatting>
  <conditionalFormatting sqref="X147">
    <cfRule type="expression" priority="1607" dxfId="3">
      <formula>AND(IF(OR($Q147=1,$Q147=2),1,0),IF($X147&lt;=20,1,0))</formula>
    </cfRule>
    <cfRule type="expression" priority="1608" dxfId="2">
      <formula>AND(IF($Q147=2,1,0),IF($X147&lt;30,1,0))</formula>
    </cfRule>
    <cfRule type="expression" priority="1609" dxfId="1">
      <formula>AND(IF($Q147=3,1,0),IF($X147&lt;30,1,0))</formula>
    </cfRule>
    <cfRule type="expression" priority="1610" dxfId="0">
      <formula>AND(IF($Q147=3,1,IF($Q147=4,1,0)),IF($F147&lt;=85,1,0))</formula>
    </cfRule>
  </conditionalFormatting>
  <conditionalFormatting sqref="AI147">
    <cfRule type="expression" priority="1603" dxfId="3">
      <formula>AND(IF(OR($Q147=1,$Q147=2),1,0),IF($X147&lt;=20,1,0))</formula>
    </cfRule>
    <cfRule type="expression" priority="1604" dxfId="2">
      <formula>AND(IF($Q147=2,1,0),IF($X147&lt;30,1,0))</formula>
    </cfRule>
    <cfRule type="expression" priority="1605" dxfId="1">
      <formula>AND(IF($Q147=3,1,0),IF($X147&lt;30,1,0))</formula>
    </cfRule>
    <cfRule type="expression" priority="1606" dxfId="0">
      <formula>AND(IF($Q147=3,1,IF($Q147=4,1,0)),IF($F147&lt;=85,1,0))</formula>
    </cfRule>
  </conditionalFormatting>
  <conditionalFormatting sqref="AV148">
    <cfRule type="expression" priority="1601" dxfId="23">
      <formula>AV148="X"</formula>
    </cfRule>
    <cfRule type="expression" priority="1602" dxfId="22">
      <formula>AV148="후보"</formula>
    </cfRule>
  </conditionalFormatting>
  <conditionalFormatting sqref="AC14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4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48">
    <cfRule type="expression" priority="1593" dxfId="3">
      <formula>AND(IF(OR($Q148=1,$Q148=2),1,0),IF($X148&lt;=20,1,0))</formula>
    </cfRule>
    <cfRule type="expression" priority="1594" dxfId="2">
      <formula>AND(IF($Q148=2,1,0),IF($X148&lt;30,1,0))</formula>
    </cfRule>
    <cfRule type="expression" priority="1595" dxfId="1">
      <formula>AND(IF($Q148=3,1,0),IF($X148&lt;30,1,0))</formula>
    </cfRule>
    <cfRule type="expression" priority="1596" dxfId="0">
      <formula>AND(IF($Q148=3,1,IF($Q148=4,1,0)),IF($F148&lt;=85,1,0))</formula>
    </cfRule>
  </conditionalFormatting>
  <conditionalFormatting sqref="X148">
    <cfRule type="expression" priority="1589" dxfId="3">
      <formula>AND(IF(OR($Q148=1,$Q148=2),1,0),IF($X148&lt;=20,1,0))</formula>
    </cfRule>
    <cfRule type="expression" priority="1590" dxfId="2">
      <formula>AND(IF($Q148=2,1,0),IF($X148&lt;30,1,0))</formula>
    </cfRule>
    <cfRule type="expression" priority="1591" dxfId="1">
      <formula>AND(IF($Q148=3,1,0),IF($X148&lt;30,1,0))</formula>
    </cfRule>
    <cfRule type="expression" priority="1592" dxfId="0">
      <formula>AND(IF($Q148=3,1,IF($Q148=4,1,0)),IF($F148&lt;=85,1,0))</formula>
    </cfRule>
  </conditionalFormatting>
  <conditionalFormatting sqref="AI148">
    <cfRule type="expression" priority="1585" dxfId="3">
      <formula>AND(IF(OR($Q148=1,$Q148=2),1,0),IF($X148&lt;=20,1,0))</formula>
    </cfRule>
    <cfRule type="expression" priority="1586" dxfId="2">
      <formula>AND(IF($Q148=2,1,0),IF($X148&lt;30,1,0))</formula>
    </cfRule>
    <cfRule type="expression" priority="1587" dxfId="1">
      <formula>AND(IF($Q148=3,1,0),IF($X148&lt;30,1,0))</formula>
    </cfRule>
    <cfRule type="expression" priority="1588" dxfId="0">
      <formula>AND(IF($Q148=3,1,IF($Q148=4,1,0)),IF($F148&lt;=85,1,0))</formula>
    </cfRule>
  </conditionalFormatting>
  <conditionalFormatting sqref="AV149">
    <cfRule type="expression" priority="1583" dxfId="23">
      <formula>AV149="X"</formula>
    </cfRule>
    <cfRule type="expression" priority="1584" dxfId="22">
      <formula>AV149="후보"</formula>
    </cfRule>
  </conditionalFormatting>
  <conditionalFormatting sqref="AC14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4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49">
    <cfRule type="expression" priority="1575" dxfId="3">
      <formula>AND(IF(OR($Q149=1,$Q149=2),1,0),IF($X149&lt;=20,1,0))</formula>
    </cfRule>
    <cfRule type="expression" priority="1576" dxfId="2">
      <formula>AND(IF($Q149=2,1,0),IF($X149&lt;30,1,0))</formula>
    </cfRule>
    <cfRule type="expression" priority="1577" dxfId="1">
      <formula>AND(IF($Q149=3,1,0),IF($X149&lt;30,1,0))</formula>
    </cfRule>
    <cfRule type="expression" priority="1578" dxfId="0">
      <formula>AND(IF($Q149=3,1,IF($Q149=4,1,0)),IF($F149&lt;=85,1,0))</formula>
    </cfRule>
  </conditionalFormatting>
  <conditionalFormatting sqref="X149">
    <cfRule type="expression" priority="1571" dxfId="3">
      <formula>AND(IF(OR($Q149=1,$Q149=2),1,0),IF($X149&lt;=20,1,0))</formula>
    </cfRule>
    <cfRule type="expression" priority="1572" dxfId="2">
      <formula>AND(IF($Q149=2,1,0),IF($X149&lt;30,1,0))</formula>
    </cfRule>
    <cfRule type="expression" priority="1573" dxfId="1">
      <formula>AND(IF($Q149=3,1,0),IF($X149&lt;30,1,0))</formula>
    </cfRule>
    <cfRule type="expression" priority="1574" dxfId="0">
      <formula>AND(IF($Q149=3,1,IF($Q149=4,1,0)),IF($F149&lt;=85,1,0))</formula>
    </cfRule>
  </conditionalFormatting>
  <conditionalFormatting sqref="AI149">
    <cfRule type="expression" priority="1567" dxfId="3">
      <formula>AND(IF(OR($Q149=1,$Q149=2),1,0),IF($X149&lt;=20,1,0))</formula>
    </cfRule>
    <cfRule type="expression" priority="1568" dxfId="2">
      <formula>AND(IF($Q149=2,1,0),IF($X149&lt;30,1,0))</formula>
    </cfRule>
    <cfRule type="expression" priority="1569" dxfId="1">
      <formula>AND(IF($Q149=3,1,0),IF($X149&lt;30,1,0))</formula>
    </cfRule>
    <cfRule type="expression" priority="1570" dxfId="0">
      <formula>AND(IF($Q149=3,1,IF($Q149=4,1,0)),IF($F149&lt;=85,1,0))</formula>
    </cfRule>
  </conditionalFormatting>
  <conditionalFormatting sqref="AV150">
    <cfRule type="expression" priority="1565" dxfId="23">
      <formula>AV150="X"</formula>
    </cfRule>
    <cfRule type="expression" priority="1566" dxfId="22">
      <formula>AV150="후보"</formula>
    </cfRule>
  </conditionalFormatting>
  <conditionalFormatting sqref="AC15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0">
    <cfRule type="expression" priority="1557" dxfId="3">
      <formula>AND(IF(OR($Q150=1,$Q150=2),1,0),IF($X150&lt;=20,1,0))</formula>
    </cfRule>
    <cfRule type="expression" priority="1558" dxfId="2">
      <formula>AND(IF($Q150=2,1,0),IF($X150&lt;30,1,0))</formula>
    </cfRule>
    <cfRule type="expression" priority="1559" dxfId="1">
      <formula>AND(IF($Q150=3,1,0),IF($X150&lt;30,1,0))</formula>
    </cfRule>
    <cfRule type="expression" priority="1560" dxfId="0">
      <formula>AND(IF($Q150=3,1,IF($Q150=4,1,0)),IF($F150&lt;=85,1,0))</formula>
    </cfRule>
  </conditionalFormatting>
  <conditionalFormatting sqref="X150">
    <cfRule type="expression" priority="1553" dxfId="3">
      <formula>AND(IF(OR($Q150=1,$Q150=2),1,0),IF($X150&lt;=20,1,0))</formula>
    </cfRule>
    <cfRule type="expression" priority="1554" dxfId="2">
      <formula>AND(IF($Q150=2,1,0),IF($X150&lt;30,1,0))</formula>
    </cfRule>
    <cfRule type="expression" priority="1555" dxfId="1">
      <formula>AND(IF($Q150=3,1,0),IF($X150&lt;30,1,0))</formula>
    </cfRule>
    <cfRule type="expression" priority="1556" dxfId="0">
      <formula>AND(IF($Q150=3,1,IF($Q150=4,1,0)),IF($F150&lt;=85,1,0))</formula>
    </cfRule>
  </conditionalFormatting>
  <conditionalFormatting sqref="AI150">
    <cfRule type="expression" priority="1549" dxfId="3">
      <formula>AND(IF(OR($Q150=1,$Q150=2),1,0),IF($X150&lt;=20,1,0))</formula>
    </cfRule>
    <cfRule type="expression" priority="1550" dxfId="2">
      <formula>AND(IF($Q150=2,1,0),IF($X150&lt;30,1,0))</formula>
    </cfRule>
    <cfRule type="expression" priority="1551" dxfId="1">
      <formula>AND(IF($Q150=3,1,0),IF($X150&lt;30,1,0))</formula>
    </cfRule>
    <cfRule type="expression" priority="1552" dxfId="0">
      <formula>AND(IF($Q150=3,1,IF($Q150=4,1,0)),IF($F150&lt;=85,1,0))</formula>
    </cfRule>
  </conditionalFormatting>
  <conditionalFormatting sqref="AV151">
    <cfRule type="expression" priority="1547" dxfId="23">
      <formula>AV151="X"</formula>
    </cfRule>
    <cfRule type="expression" priority="1548" dxfId="22">
      <formula>AV151="후보"</formula>
    </cfRule>
  </conditionalFormatting>
  <conditionalFormatting sqref="AC15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1">
    <cfRule type="expression" priority="1539" dxfId="3">
      <formula>AND(IF(OR($Q151=1,$Q151=2),1,0),IF($X151&lt;=20,1,0))</formula>
    </cfRule>
    <cfRule type="expression" priority="1540" dxfId="2">
      <formula>AND(IF($Q151=2,1,0),IF($X151&lt;30,1,0))</formula>
    </cfRule>
    <cfRule type="expression" priority="1541" dxfId="1">
      <formula>AND(IF($Q151=3,1,0),IF($X151&lt;30,1,0))</formula>
    </cfRule>
    <cfRule type="expression" priority="1542" dxfId="0">
      <formula>AND(IF($Q151=3,1,IF($Q151=4,1,0)),IF($F151&lt;=85,1,0))</formula>
    </cfRule>
  </conditionalFormatting>
  <conditionalFormatting sqref="X151">
    <cfRule type="expression" priority="1535" dxfId="3">
      <formula>AND(IF(OR($Q151=1,$Q151=2),1,0),IF($X151&lt;=20,1,0))</formula>
    </cfRule>
    <cfRule type="expression" priority="1536" dxfId="2">
      <formula>AND(IF($Q151=2,1,0),IF($X151&lt;30,1,0))</formula>
    </cfRule>
    <cfRule type="expression" priority="1537" dxfId="1">
      <formula>AND(IF($Q151=3,1,0),IF($X151&lt;30,1,0))</formula>
    </cfRule>
    <cfRule type="expression" priority="1538" dxfId="0">
      <formula>AND(IF($Q151=3,1,IF($Q151=4,1,0)),IF($F151&lt;=85,1,0))</formula>
    </cfRule>
  </conditionalFormatting>
  <conditionalFormatting sqref="AI151">
    <cfRule type="expression" priority="1531" dxfId="3">
      <formula>AND(IF(OR($Q151=1,$Q151=2),1,0),IF($X151&lt;=20,1,0))</formula>
    </cfRule>
    <cfRule type="expression" priority="1532" dxfId="2">
      <formula>AND(IF($Q151=2,1,0),IF($X151&lt;30,1,0))</formula>
    </cfRule>
    <cfRule type="expression" priority="1533" dxfId="1">
      <formula>AND(IF($Q151=3,1,0),IF($X151&lt;30,1,0))</formula>
    </cfRule>
    <cfRule type="expression" priority="1534" dxfId="0">
      <formula>AND(IF($Q151=3,1,IF($Q151=4,1,0)),IF($F151&lt;=85,1,0))</formula>
    </cfRule>
  </conditionalFormatting>
  <conditionalFormatting sqref="AV152">
    <cfRule type="expression" priority="1529" dxfId="23">
      <formula>AV152="X"</formula>
    </cfRule>
    <cfRule type="expression" priority="1530" dxfId="22">
      <formula>AV152="후보"</formula>
    </cfRule>
  </conditionalFormatting>
  <conditionalFormatting sqref="AC15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2">
    <cfRule type="expression" priority="1521" dxfId="3">
      <formula>AND(IF(OR($Q152=1,$Q152=2),1,0),IF($X152&lt;=20,1,0))</formula>
    </cfRule>
    <cfRule type="expression" priority="1522" dxfId="2">
      <formula>AND(IF($Q152=2,1,0),IF($X152&lt;30,1,0))</formula>
    </cfRule>
    <cfRule type="expression" priority="1523" dxfId="1">
      <formula>AND(IF($Q152=3,1,0),IF($X152&lt;30,1,0))</formula>
    </cfRule>
    <cfRule type="expression" priority="1524" dxfId="0">
      <formula>AND(IF($Q152=3,1,IF($Q152=4,1,0)),IF($F152&lt;=85,1,0))</formula>
    </cfRule>
  </conditionalFormatting>
  <conditionalFormatting sqref="X152">
    <cfRule type="expression" priority="1517" dxfId="3">
      <formula>AND(IF(OR($Q152=1,$Q152=2),1,0),IF($X152&lt;=20,1,0))</formula>
    </cfRule>
    <cfRule type="expression" priority="1518" dxfId="2">
      <formula>AND(IF($Q152=2,1,0),IF($X152&lt;30,1,0))</formula>
    </cfRule>
    <cfRule type="expression" priority="1519" dxfId="1">
      <formula>AND(IF($Q152=3,1,0),IF($X152&lt;30,1,0))</formula>
    </cfRule>
    <cfRule type="expression" priority="1520" dxfId="0">
      <formula>AND(IF($Q152=3,1,IF($Q152=4,1,0)),IF($F152&lt;=85,1,0))</formula>
    </cfRule>
  </conditionalFormatting>
  <conditionalFormatting sqref="AI152">
    <cfRule type="expression" priority="1513" dxfId="3">
      <formula>AND(IF(OR($Q152=1,$Q152=2),1,0),IF($X152&lt;=20,1,0))</formula>
    </cfRule>
    <cfRule type="expression" priority="1514" dxfId="2">
      <formula>AND(IF($Q152=2,1,0),IF($X152&lt;30,1,0))</formula>
    </cfRule>
    <cfRule type="expression" priority="1515" dxfId="1">
      <formula>AND(IF($Q152=3,1,0),IF($X152&lt;30,1,0))</formula>
    </cfRule>
    <cfRule type="expression" priority="1516" dxfId="0">
      <formula>AND(IF($Q152=3,1,IF($Q152=4,1,0)),IF($F152&lt;=85,1,0))</formula>
    </cfRule>
  </conditionalFormatting>
  <conditionalFormatting sqref="AV153">
    <cfRule type="expression" priority="1511" dxfId="23">
      <formula>AV153="X"</formula>
    </cfRule>
    <cfRule type="expression" priority="1512" dxfId="22">
      <formula>AV153="후보"</formula>
    </cfRule>
  </conditionalFormatting>
  <conditionalFormatting sqref="AC15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5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53">
    <cfRule type="expression" priority="1503" dxfId="3">
      <formula>AND(IF(OR($Q153=1,$Q153=2),1,0),IF($X153&lt;=20,1,0))</formula>
    </cfRule>
    <cfRule type="expression" priority="1504" dxfId="2">
      <formula>AND(IF($Q153=2,1,0),IF($X153&lt;30,1,0))</formula>
    </cfRule>
    <cfRule type="expression" priority="1505" dxfId="1">
      <formula>AND(IF($Q153=3,1,0),IF($X153&lt;30,1,0))</formula>
    </cfRule>
    <cfRule type="expression" priority="1506" dxfId="0">
      <formula>AND(IF($Q153=3,1,IF($Q153=4,1,0)),IF($F153&lt;=85,1,0))</formula>
    </cfRule>
  </conditionalFormatting>
  <conditionalFormatting sqref="X153">
    <cfRule type="expression" priority="1499" dxfId="3">
      <formula>AND(IF(OR($Q153=1,$Q153=2),1,0),IF($X153&lt;=20,1,0))</formula>
    </cfRule>
    <cfRule type="expression" priority="1500" dxfId="2">
      <formula>AND(IF($Q153=2,1,0),IF($X153&lt;30,1,0))</formula>
    </cfRule>
    <cfRule type="expression" priority="1501" dxfId="1">
      <formula>AND(IF($Q153=3,1,0),IF($X153&lt;30,1,0))</formula>
    </cfRule>
    <cfRule type="expression" priority="1502" dxfId="0">
      <formula>AND(IF($Q153=3,1,IF($Q153=4,1,0)),IF($F153&lt;=85,1,0))</formula>
    </cfRule>
  </conditionalFormatting>
  <conditionalFormatting sqref="AI153">
    <cfRule type="expression" priority="1495" dxfId="3">
      <formula>AND(IF(OR($Q153=1,$Q153=2),1,0),IF($X153&lt;=20,1,0))</formula>
    </cfRule>
    <cfRule type="expression" priority="1496" dxfId="2">
      <formula>AND(IF($Q153=2,1,0),IF($X153&lt;30,1,0))</formula>
    </cfRule>
    <cfRule type="expression" priority="1497" dxfId="1">
      <formula>AND(IF($Q153=3,1,0),IF($X153&lt;30,1,0))</formula>
    </cfRule>
    <cfRule type="expression" priority="1498" dxfId="0">
      <formula>AND(IF($Q153=3,1,IF($Q153=4,1,0)),IF($F153&lt;=85,1,0))</formula>
    </cfRule>
  </conditionalFormatting>
  <conditionalFormatting sqref="AV154">
    <cfRule type="expression" priority="1493" dxfId="23">
      <formula>AV154="X"</formula>
    </cfRule>
    <cfRule type="expression" priority="1494" dxfId="22">
      <formula>AV154="후보"</formula>
    </cfRule>
  </conditionalFormatting>
  <conditionalFormatting sqref="AC15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54">
    <cfRule type="expression" priority="1485" dxfId="3">
      <formula>AND(IF(OR($Q154=1,$Q154=2),1,0),IF($X154&lt;=20,1,0))</formula>
    </cfRule>
    <cfRule type="expression" priority="1486" dxfId="2">
      <formula>AND(IF($Q154=2,1,0),IF($X154&lt;30,1,0))</formula>
    </cfRule>
    <cfRule type="expression" priority="1487" dxfId="1">
      <formula>AND(IF($Q154=3,1,0),IF($X154&lt;30,1,0))</formula>
    </cfRule>
    <cfRule type="expression" priority="1488" dxfId="0">
      <formula>AND(IF($Q154=3,1,IF($Q154=4,1,0)),IF($F154&lt;=85,1,0))</formula>
    </cfRule>
  </conditionalFormatting>
  <conditionalFormatting sqref="X154">
    <cfRule type="expression" priority="1481" dxfId="3">
      <formula>AND(IF(OR($Q154=1,$Q154=2),1,0),IF($X154&lt;=20,1,0))</formula>
    </cfRule>
    <cfRule type="expression" priority="1482" dxfId="2">
      <formula>AND(IF($Q154=2,1,0),IF($X154&lt;30,1,0))</formula>
    </cfRule>
    <cfRule type="expression" priority="1483" dxfId="1">
      <formula>AND(IF($Q154=3,1,0),IF($X154&lt;30,1,0))</formula>
    </cfRule>
    <cfRule type="expression" priority="1484" dxfId="0">
      <formula>AND(IF($Q154=3,1,IF($Q154=4,1,0)),IF($F154&lt;=85,1,0))</formula>
    </cfRule>
  </conditionalFormatting>
  <conditionalFormatting sqref="AI154">
    <cfRule type="expression" priority="1477" dxfId="3">
      <formula>AND(IF(OR($Q154=1,$Q154=2),1,0),IF($X154&lt;=20,1,0))</formula>
    </cfRule>
    <cfRule type="expression" priority="1478" dxfId="2">
      <formula>AND(IF($Q154=2,1,0),IF($X154&lt;30,1,0))</formula>
    </cfRule>
    <cfRule type="expression" priority="1479" dxfId="1">
      <formula>AND(IF($Q154=3,1,0),IF($X154&lt;30,1,0))</formula>
    </cfRule>
    <cfRule type="expression" priority="1480" dxfId="0">
      <formula>AND(IF($Q154=3,1,IF($Q154=4,1,0)),IF($F154&lt;=85,1,0))</formula>
    </cfRule>
  </conditionalFormatting>
  <conditionalFormatting sqref="AV155">
    <cfRule type="expression" priority="1475" dxfId="23">
      <formula>AV155="X"</formula>
    </cfRule>
    <cfRule type="expression" priority="1476" dxfId="22">
      <formula>AV155="후보"</formula>
    </cfRule>
  </conditionalFormatting>
  <conditionalFormatting sqref="AC15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5">
    <cfRule type="expression" priority="1467" dxfId="3">
      <formula>AND(IF(OR($Q155=1,$Q155=2),1,0),IF($X155&lt;=20,1,0))</formula>
    </cfRule>
    <cfRule type="expression" priority="1468" dxfId="2">
      <formula>AND(IF($Q155=2,1,0),IF($X155&lt;30,1,0))</formula>
    </cfRule>
    <cfRule type="expression" priority="1469" dxfId="1">
      <formula>AND(IF($Q155=3,1,0),IF($X155&lt;30,1,0))</formula>
    </cfRule>
    <cfRule type="expression" priority="1470" dxfId="0">
      <formula>AND(IF($Q155=3,1,IF($Q155=4,1,0)),IF($F155&lt;=85,1,0))</formula>
    </cfRule>
  </conditionalFormatting>
  <conditionalFormatting sqref="X155">
    <cfRule type="expression" priority="1463" dxfId="3">
      <formula>AND(IF(OR($Q155=1,$Q155=2),1,0),IF($X155&lt;=20,1,0))</formula>
    </cfRule>
    <cfRule type="expression" priority="1464" dxfId="2">
      <formula>AND(IF($Q155=2,1,0),IF($X155&lt;30,1,0))</formula>
    </cfRule>
    <cfRule type="expression" priority="1465" dxfId="1">
      <formula>AND(IF($Q155=3,1,0),IF($X155&lt;30,1,0))</formula>
    </cfRule>
    <cfRule type="expression" priority="1466" dxfId="0">
      <formula>AND(IF($Q155=3,1,IF($Q155=4,1,0)),IF($F155&lt;=85,1,0))</formula>
    </cfRule>
  </conditionalFormatting>
  <conditionalFormatting sqref="AI155">
    <cfRule type="expression" priority="1459" dxfId="3">
      <formula>AND(IF(OR($Q155=1,$Q155=2),1,0),IF($X155&lt;=20,1,0))</formula>
    </cfRule>
    <cfRule type="expression" priority="1460" dxfId="2">
      <formula>AND(IF($Q155=2,1,0),IF($X155&lt;30,1,0))</formula>
    </cfRule>
    <cfRule type="expression" priority="1461" dxfId="1">
      <formula>AND(IF($Q155=3,1,0),IF($X155&lt;30,1,0))</formula>
    </cfRule>
    <cfRule type="expression" priority="1462" dxfId="0">
      <formula>AND(IF($Q155=3,1,IF($Q155=4,1,0)),IF($F155&lt;=85,1,0))</formula>
    </cfRule>
  </conditionalFormatting>
  <conditionalFormatting sqref="AV156">
    <cfRule type="expression" priority="1457" dxfId="23">
      <formula>AV156="X"</formula>
    </cfRule>
    <cfRule type="expression" priority="1458" dxfId="22">
      <formula>AV156="후보"</formula>
    </cfRule>
  </conditionalFormatting>
  <conditionalFormatting sqref="AC15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56">
    <cfRule type="expression" priority="1449" dxfId="3">
      <formula>AND(IF(OR($Q156=1,$Q156=2),1,0),IF($X156&lt;=20,1,0))</formula>
    </cfRule>
    <cfRule type="expression" priority="1450" dxfId="2">
      <formula>AND(IF($Q156=2,1,0),IF($X156&lt;30,1,0))</formula>
    </cfRule>
    <cfRule type="expression" priority="1451" dxfId="1">
      <formula>AND(IF($Q156=3,1,0),IF($X156&lt;30,1,0))</formula>
    </cfRule>
    <cfRule type="expression" priority="1452" dxfId="0">
      <formula>AND(IF($Q156=3,1,IF($Q156=4,1,0)),IF($F156&lt;=85,1,0))</formula>
    </cfRule>
  </conditionalFormatting>
  <conditionalFormatting sqref="X156">
    <cfRule type="expression" priority="1445" dxfId="3">
      <formula>AND(IF(OR($Q156=1,$Q156=2),1,0),IF($X156&lt;=20,1,0))</formula>
    </cfRule>
    <cfRule type="expression" priority="1446" dxfId="2">
      <formula>AND(IF($Q156=2,1,0),IF($X156&lt;30,1,0))</formula>
    </cfRule>
    <cfRule type="expression" priority="1447" dxfId="1">
      <formula>AND(IF($Q156=3,1,0),IF($X156&lt;30,1,0))</formula>
    </cfRule>
    <cfRule type="expression" priority="1448" dxfId="0">
      <formula>AND(IF($Q156=3,1,IF($Q156=4,1,0)),IF($F156&lt;=85,1,0))</formula>
    </cfRule>
  </conditionalFormatting>
  <conditionalFormatting sqref="AI156">
    <cfRule type="expression" priority="1441" dxfId="3">
      <formula>AND(IF(OR($Q156=1,$Q156=2),1,0),IF($X156&lt;=20,1,0))</formula>
    </cfRule>
    <cfRule type="expression" priority="1442" dxfId="2">
      <formula>AND(IF($Q156=2,1,0),IF($X156&lt;30,1,0))</formula>
    </cfRule>
    <cfRule type="expression" priority="1443" dxfId="1">
      <formula>AND(IF($Q156=3,1,0),IF($X156&lt;30,1,0))</formula>
    </cfRule>
    <cfRule type="expression" priority="1444" dxfId="0">
      <formula>AND(IF($Q156=3,1,IF($Q156=4,1,0)),IF($F156&lt;=85,1,0))</formula>
    </cfRule>
  </conditionalFormatting>
  <conditionalFormatting sqref="AV157">
    <cfRule type="expression" priority="1439" dxfId="23">
      <formula>AV157="X"</formula>
    </cfRule>
    <cfRule type="expression" priority="1440" dxfId="22">
      <formula>AV157="후보"</formula>
    </cfRule>
  </conditionalFormatting>
  <conditionalFormatting sqref="AC15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57">
    <cfRule type="expression" priority="1431" dxfId="3">
      <formula>AND(IF(OR($Q157=1,$Q157=2),1,0),IF($X157&lt;=20,1,0))</formula>
    </cfRule>
    <cfRule type="expression" priority="1432" dxfId="2">
      <formula>AND(IF($Q157=2,1,0),IF($X157&lt;30,1,0))</formula>
    </cfRule>
    <cfRule type="expression" priority="1433" dxfId="1">
      <formula>AND(IF($Q157=3,1,0),IF($X157&lt;30,1,0))</formula>
    </cfRule>
    <cfRule type="expression" priority="1434" dxfId="0">
      <formula>AND(IF($Q157=3,1,IF($Q157=4,1,0)),IF($F157&lt;=85,1,0))</formula>
    </cfRule>
  </conditionalFormatting>
  <conditionalFormatting sqref="X157">
    <cfRule type="expression" priority="1427" dxfId="3">
      <formula>AND(IF(OR($Q157=1,$Q157=2),1,0),IF($X157&lt;=20,1,0))</formula>
    </cfRule>
    <cfRule type="expression" priority="1428" dxfId="2">
      <formula>AND(IF($Q157=2,1,0),IF($X157&lt;30,1,0))</formula>
    </cfRule>
    <cfRule type="expression" priority="1429" dxfId="1">
      <formula>AND(IF($Q157=3,1,0),IF($X157&lt;30,1,0))</formula>
    </cfRule>
    <cfRule type="expression" priority="1430" dxfId="0">
      <formula>AND(IF($Q157=3,1,IF($Q157=4,1,0)),IF($F157&lt;=85,1,0))</formula>
    </cfRule>
  </conditionalFormatting>
  <conditionalFormatting sqref="AI157">
    <cfRule type="expression" priority="1423" dxfId="3">
      <formula>AND(IF(OR($Q157=1,$Q157=2),1,0),IF($X157&lt;=20,1,0))</formula>
    </cfRule>
    <cfRule type="expression" priority="1424" dxfId="2">
      <formula>AND(IF($Q157=2,1,0),IF($X157&lt;30,1,0))</formula>
    </cfRule>
    <cfRule type="expression" priority="1425" dxfId="1">
      <formula>AND(IF($Q157=3,1,0),IF($X157&lt;30,1,0))</formula>
    </cfRule>
    <cfRule type="expression" priority="1426" dxfId="0">
      <formula>AND(IF($Q157=3,1,IF($Q157=4,1,0)),IF($F157&lt;=85,1,0))</formula>
    </cfRule>
  </conditionalFormatting>
  <conditionalFormatting sqref="AV158">
    <cfRule type="expression" priority="1421" dxfId="23">
      <formula>AV158="X"</formula>
    </cfRule>
    <cfRule type="expression" priority="1422" dxfId="22">
      <formula>AV158="후보"</formula>
    </cfRule>
  </conditionalFormatting>
  <conditionalFormatting sqref="AC15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58">
    <cfRule type="expression" priority="1413" dxfId="3">
      <formula>AND(IF(OR($Q158=1,$Q158=2),1,0),IF($X158&lt;=20,1,0))</formula>
    </cfRule>
    <cfRule type="expression" priority="1414" dxfId="2">
      <formula>AND(IF($Q158=2,1,0),IF($X158&lt;30,1,0))</formula>
    </cfRule>
    <cfRule type="expression" priority="1415" dxfId="1">
      <formula>AND(IF($Q158=3,1,0),IF($X158&lt;30,1,0))</formula>
    </cfRule>
    <cfRule type="expression" priority="1416" dxfId="0">
      <formula>AND(IF($Q158=3,1,IF($Q158=4,1,0)),IF($F158&lt;=85,1,0))</formula>
    </cfRule>
  </conditionalFormatting>
  <conditionalFormatting sqref="X158">
    <cfRule type="expression" priority="1409" dxfId="3">
      <formula>AND(IF(OR($Q158=1,$Q158=2),1,0),IF($X158&lt;=20,1,0))</formula>
    </cfRule>
    <cfRule type="expression" priority="1410" dxfId="2">
      <formula>AND(IF($Q158=2,1,0),IF($X158&lt;30,1,0))</formula>
    </cfRule>
    <cfRule type="expression" priority="1411" dxfId="1">
      <formula>AND(IF($Q158=3,1,0),IF($X158&lt;30,1,0))</formula>
    </cfRule>
    <cfRule type="expression" priority="1412" dxfId="0">
      <formula>AND(IF($Q158=3,1,IF($Q158=4,1,0)),IF($F158&lt;=85,1,0))</formula>
    </cfRule>
  </conditionalFormatting>
  <conditionalFormatting sqref="AI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AV159">
    <cfRule type="expression" priority="1403" dxfId="23">
      <formula>AV159="X"</formula>
    </cfRule>
    <cfRule type="expression" priority="1404" dxfId="22">
      <formula>AV159="후보"</formula>
    </cfRule>
  </conditionalFormatting>
  <conditionalFormatting sqref="AC15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59">
    <cfRule type="expression" priority="1395" dxfId="3">
      <formula>AND(IF(OR($Q159=1,$Q159=2),1,0),IF($X159&lt;=20,1,0))</formula>
    </cfRule>
    <cfRule type="expression" priority="1396" dxfId="2">
      <formula>AND(IF($Q159=2,1,0),IF($X159&lt;30,1,0))</formula>
    </cfRule>
    <cfRule type="expression" priority="1397" dxfId="1">
      <formula>AND(IF($Q159=3,1,0),IF($X159&lt;30,1,0))</formula>
    </cfRule>
    <cfRule type="expression" priority="1398" dxfId="0">
      <formula>AND(IF($Q159=3,1,IF($Q159=4,1,0)),IF($F159&lt;=85,1,0))</formula>
    </cfRule>
  </conditionalFormatting>
  <conditionalFormatting sqref="X159">
    <cfRule type="expression" priority="1391" dxfId="3">
      <formula>AND(IF(OR($Q159=1,$Q159=2),1,0),IF($X159&lt;=20,1,0))</formula>
    </cfRule>
    <cfRule type="expression" priority="1392" dxfId="2">
      <formula>AND(IF($Q159=2,1,0),IF($X159&lt;30,1,0))</formula>
    </cfRule>
    <cfRule type="expression" priority="1393" dxfId="1">
      <formula>AND(IF($Q159=3,1,0),IF($X159&lt;30,1,0))</formula>
    </cfRule>
    <cfRule type="expression" priority="1394" dxfId="0">
      <formula>AND(IF($Q159=3,1,IF($Q159=4,1,0)),IF($F159&lt;=85,1,0))</formula>
    </cfRule>
  </conditionalFormatting>
  <conditionalFormatting sqref="AI159">
    <cfRule type="expression" priority="1387" dxfId="3">
      <formula>AND(IF(OR($Q159=1,$Q159=2),1,0),IF($X159&lt;=20,1,0))</formula>
    </cfRule>
    <cfRule type="expression" priority="1388" dxfId="2">
      <formula>AND(IF($Q159=2,1,0),IF($X159&lt;30,1,0))</formula>
    </cfRule>
    <cfRule type="expression" priority="1389" dxfId="1">
      <formula>AND(IF($Q159=3,1,0),IF($X159&lt;30,1,0))</formula>
    </cfRule>
    <cfRule type="expression" priority="1390" dxfId="0">
      <formula>AND(IF($Q159=3,1,IF($Q159=4,1,0)),IF($F159&lt;=85,1,0))</formula>
    </cfRule>
  </conditionalFormatting>
  <conditionalFormatting sqref="AV160">
    <cfRule type="expression" priority="1385" dxfId="23">
      <formula>AV160="X"</formula>
    </cfRule>
    <cfRule type="expression" priority="1386" dxfId="22">
      <formula>AV160="후보"</formula>
    </cfRule>
  </conditionalFormatting>
  <conditionalFormatting sqref="AC16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0">
    <cfRule type="expression" priority="1377" dxfId="3">
      <formula>AND(IF(OR($Q160=1,$Q160=2),1,0),IF($X160&lt;=20,1,0))</formula>
    </cfRule>
    <cfRule type="expression" priority="1378" dxfId="2">
      <formula>AND(IF($Q160=2,1,0),IF($X160&lt;30,1,0))</formula>
    </cfRule>
    <cfRule type="expression" priority="1379" dxfId="1">
      <formula>AND(IF($Q160=3,1,0),IF($X160&lt;30,1,0))</formula>
    </cfRule>
    <cfRule type="expression" priority="1380" dxfId="0">
      <formula>AND(IF($Q160=3,1,IF($Q160=4,1,0)),IF($F160&lt;=85,1,0))</formula>
    </cfRule>
  </conditionalFormatting>
  <conditionalFormatting sqref="X160">
    <cfRule type="expression" priority="1373" dxfId="3">
      <formula>AND(IF(OR($Q160=1,$Q160=2),1,0),IF($X160&lt;=20,1,0))</formula>
    </cfRule>
    <cfRule type="expression" priority="1374" dxfId="2">
      <formula>AND(IF($Q160=2,1,0),IF($X160&lt;30,1,0))</formula>
    </cfRule>
    <cfRule type="expression" priority="1375" dxfId="1">
      <formula>AND(IF($Q160=3,1,0),IF($X160&lt;30,1,0))</formula>
    </cfRule>
    <cfRule type="expression" priority="1376" dxfId="0">
      <formula>AND(IF($Q160=3,1,IF($Q160=4,1,0)),IF($F160&lt;=85,1,0))</formula>
    </cfRule>
  </conditionalFormatting>
  <conditionalFormatting sqref="AI160">
    <cfRule type="expression" priority="1369" dxfId="3">
      <formula>AND(IF(OR($Q160=1,$Q160=2),1,0),IF($X160&lt;=20,1,0))</formula>
    </cfRule>
    <cfRule type="expression" priority="1370" dxfId="2">
      <formula>AND(IF($Q160=2,1,0),IF($X160&lt;30,1,0))</formula>
    </cfRule>
    <cfRule type="expression" priority="1371" dxfId="1">
      <formula>AND(IF($Q160=3,1,0),IF($X160&lt;30,1,0))</formula>
    </cfRule>
    <cfRule type="expression" priority="1372" dxfId="0">
      <formula>AND(IF($Q160=3,1,IF($Q160=4,1,0)),IF($F160&lt;=85,1,0))</formula>
    </cfRule>
  </conditionalFormatting>
  <conditionalFormatting sqref="AV161">
    <cfRule type="expression" priority="1367" dxfId="23">
      <formula>AV161="X"</formula>
    </cfRule>
    <cfRule type="expression" priority="1368" dxfId="22">
      <formula>AV161="후보"</formula>
    </cfRule>
  </conditionalFormatting>
  <conditionalFormatting sqref="AC16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1">
    <cfRule type="expression" priority="1359" dxfId="3">
      <formula>AND(IF(OR($Q161=1,$Q161=2),1,0),IF($X161&lt;=20,1,0))</formula>
    </cfRule>
    <cfRule type="expression" priority="1360" dxfId="2">
      <formula>AND(IF($Q161=2,1,0),IF($X161&lt;30,1,0))</formula>
    </cfRule>
    <cfRule type="expression" priority="1361" dxfId="1">
      <formula>AND(IF($Q161=3,1,0),IF($X161&lt;30,1,0))</formula>
    </cfRule>
    <cfRule type="expression" priority="1362" dxfId="0">
      <formula>AND(IF($Q161=3,1,IF($Q161=4,1,0)),IF($F161&lt;=85,1,0))</formula>
    </cfRule>
  </conditionalFormatting>
  <conditionalFormatting sqref="X161">
    <cfRule type="expression" priority="1355" dxfId="3">
      <formula>AND(IF(OR($Q161=1,$Q161=2),1,0),IF($X161&lt;=20,1,0))</formula>
    </cfRule>
    <cfRule type="expression" priority="1356" dxfId="2">
      <formula>AND(IF($Q161=2,1,0),IF($X161&lt;30,1,0))</formula>
    </cfRule>
    <cfRule type="expression" priority="1357" dxfId="1">
      <formula>AND(IF($Q161=3,1,0),IF($X161&lt;30,1,0))</formula>
    </cfRule>
    <cfRule type="expression" priority="1358" dxfId="0">
      <formula>AND(IF($Q161=3,1,IF($Q161=4,1,0)),IF($F161&lt;=85,1,0))</formula>
    </cfRule>
  </conditionalFormatting>
  <conditionalFormatting sqref="AI161">
    <cfRule type="expression" priority="1351" dxfId="3">
      <formula>AND(IF(OR($Q161=1,$Q161=2),1,0),IF($X161&lt;=20,1,0))</formula>
    </cfRule>
    <cfRule type="expression" priority="1352" dxfId="2">
      <formula>AND(IF($Q161=2,1,0),IF($X161&lt;30,1,0))</formula>
    </cfRule>
    <cfRule type="expression" priority="1353" dxfId="1">
      <formula>AND(IF($Q161=3,1,0),IF($X161&lt;30,1,0))</formula>
    </cfRule>
    <cfRule type="expression" priority="1354" dxfId="0">
      <formula>AND(IF($Q161=3,1,IF($Q161=4,1,0)),IF($F161&lt;=85,1,0))</formula>
    </cfRule>
  </conditionalFormatting>
  <conditionalFormatting sqref="AV162">
    <cfRule type="expression" priority="1349" dxfId="23">
      <formula>AV162="X"</formula>
    </cfRule>
    <cfRule type="expression" priority="1350" dxfId="22">
      <formula>AV162="후보"</formula>
    </cfRule>
  </conditionalFormatting>
  <conditionalFormatting sqref="AC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2">
    <cfRule type="expression" priority="1341" dxfId="3">
      <formula>AND(IF(OR($Q162=1,$Q162=2),1,0),IF($X162&lt;=20,1,0))</formula>
    </cfRule>
    <cfRule type="expression" priority="1342" dxfId="2">
      <formula>AND(IF($Q162=2,1,0),IF($X162&lt;30,1,0))</formula>
    </cfRule>
    <cfRule type="expression" priority="1343" dxfId="1">
      <formula>AND(IF($Q162=3,1,0),IF($X162&lt;30,1,0))</formula>
    </cfRule>
    <cfRule type="expression" priority="1344" dxfId="0">
      <formula>AND(IF($Q162=3,1,IF($Q162=4,1,0)),IF($F162&lt;=85,1,0))</formula>
    </cfRule>
  </conditionalFormatting>
  <conditionalFormatting sqref="X162">
    <cfRule type="expression" priority="1337" dxfId="3">
      <formula>AND(IF(OR($Q162=1,$Q162=2),1,0),IF($X162&lt;=20,1,0))</formula>
    </cfRule>
    <cfRule type="expression" priority="1338" dxfId="2">
      <formula>AND(IF($Q162=2,1,0),IF($X162&lt;30,1,0))</formula>
    </cfRule>
    <cfRule type="expression" priority="1339" dxfId="1">
      <formula>AND(IF($Q162=3,1,0),IF($X162&lt;30,1,0))</formula>
    </cfRule>
    <cfRule type="expression" priority="1340" dxfId="0">
      <formula>AND(IF($Q162=3,1,IF($Q162=4,1,0)),IF($F162&lt;=85,1,0))</formula>
    </cfRule>
  </conditionalFormatting>
  <conditionalFormatting sqref="AI162">
    <cfRule type="expression" priority="1333" dxfId="3">
      <formula>AND(IF(OR($Q162=1,$Q162=2),1,0),IF($X162&lt;=20,1,0))</formula>
    </cfRule>
    <cfRule type="expression" priority="1334" dxfId="2">
      <formula>AND(IF($Q162=2,1,0),IF($X162&lt;30,1,0))</formula>
    </cfRule>
    <cfRule type="expression" priority="1335" dxfId="1">
      <formula>AND(IF($Q162=3,1,0),IF($X162&lt;30,1,0))</formula>
    </cfRule>
    <cfRule type="expression" priority="1336" dxfId="0">
      <formula>AND(IF($Q162=3,1,IF($Q162=4,1,0)),IF($F162&lt;=85,1,0))</formula>
    </cfRule>
  </conditionalFormatting>
  <conditionalFormatting sqref="AV163">
    <cfRule type="expression" priority="1331" dxfId="23">
      <formula>AV163="X"</formula>
    </cfRule>
    <cfRule type="expression" priority="1332" dxfId="22">
      <formula>AV163="후보"</formula>
    </cfRule>
  </conditionalFormatting>
  <conditionalFormatting sqref="AC16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63">
    <cfRule type="expression" priority="1323" dxfId="3">
      <formula>AND(IF(OR($Q163=1,$Q163=2),1,0),IF($X163&lt;=20,1,0))</formula>
    </cfRule>
    <cfRule type="expression" priority="1324" dxfId="2">
      <formula>AND(IF($Q163=2,1,0),IF($X163&lt;30,1,0))</formula>
    </cfRule>
    <cfRule type="expression" priority="1325" dxfId="1">
      <formula>AND(IF($Q163=3,1,0),IF($X163&lt;30,1,0))</formula>
    </cfRule>
    <cfRule type="expression" priority="1326" dxfId="0">
      <formula>AND(IF($Q163=3,1,IF($Q163=4,1,0)),IF($F163&lt;=85,1,0))</formula>
    </cfRule>
  </conditionalFormatting>
  <conditionalFormatting sqref="X163">
    <cfRule type="expression" priority="1319" dxfId="3">
      <formula>AND(IF(OR($Q163=1,$Q163=2),1,0),IF($X163&lt;=20,1,0))</formula>
    </cfRule>
    <cfRule type="expression" priority="1320" dxfId="2">
      <formula>AND(IF($Q163=2,1,0),IF($X163&lt;30,1,0))</formula>
    </cfRule>
    <cfRule type="expression" priority="1321" dxfId="1">
      <formula>AND(IF($Q163=3,1,0),IF($X163&lt;30,1,0))</formula>
    </cfRule>
    <cfRule type="expression" priority="1322" dxfId="0">
      <formula>AND(IF($Q163=3,1,IF($Q163=4,1,0)),IF($F163&lt;=85,1,0))</formula>
    </cfRule>
  </conditionalFormatting>
  <conditionalFormatting sqref="AI163">
    <cfRule type="expression" priority="1315" dxfId="3">
      <formula>AND(IF(OR($Q163=1,$Q163=2),1,0),IF($X163&lt;=20,1,0))</formula>
    </cfRule>
    <cfRule type="expression" priority="1316" dxfId="2">
      <formula>AND(IF($Q163=2,1,0),IF($X163&lt;30,1,0))</formula>
    </cfRule>
    <cfRule type="expression" priority="1317" dxfId="1">
      <formula>AND(IF($Q163=3,1,0),IF($X163&lt;30,1,0))</formula>
    </cfRule>
    <cfRule type="expression" priority="1318" dxfId="0">
      <formula>AND(IF($Q163=3,1,IF($Q163=4,1,0)),IF($F163&lt;=85,1,0))</formula>
    </cfRule>
  </conditionalFormatting>
  <conditionalFormatting sqref="AV164">
    <cfRule type="expression" priority="1313" dxfId="23">
      <formula>AV164="X"</formula>
    </cfRule>
    <cfRule type="expression" priority="1314" dxfId="22">
      <formula>AV164="후보"</formula>
    </cfRule>
  </conditionalFormatting>
  <conditionalFormatting sqref="AC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64">
    <cfRule type="expression" priority="1305" dxfId="3">
      <formula>AND(IF(OR($Q164=1,$Q164=2),1,0),IF($X164&lt;=20,1,0))</formula>
    </cfRule>
    <cfRule type="expression" priority="1306" dxfId="2">
      <formula>AND(IF($Q164=2,1,0),IF($X164&lt;30,1,0))</formula>
    </cfRule>
    <cfRule type="expression" priority="1307" dxfId="1">
      <formula>AND(IF($Q164=3,1,0),IF($X164&lt;30,1,0))</formula>
    </cfRule>
    <cfRule type="expression" priority="1308" dxfId="0">
      <formula>AND(IF($Q164=3,1,IF($Q164=4,1,0)),IF($F164&lt;=85,1,0))</formula>
    </cfRule>
  </conditionalFormatting>
  <conditionalFormatting sqref="X164">
    <cfRule type="expression" priority="1301" dxfId="3">
      <formula>AND(IF(OR($Q164=1,$Q164=2),1,0),IF($X164&lt;=20,1,0))</formula>
    </cfRule>
    <cfRule type="expression" priority="1302" dxfId="2">
      <formula>AND(IF($Q164=2,1,0),IF($X164&lt;30,1,0))</formula>
    </cfRule>
    <cfRule type="expression" priority="1303" dxfId="1">
      <formula>AND(IF($Q164=3,1,0),IF($X164&lt;30,1,0))</formula>
    </cfRule>
    <cfRule type="expression" priority="1304" dxfId="0">
      <formula>AND(IF($Q164=3,1,IF($Q164=4,1,0)),IF($F164&lt;=85,1,0))</formula>
    </cfRule>
  </conditionalFormatting>
  <conditionalFormatting sqref="AI164">
    <cfRule type="expression" priority="1297" dxfId="3">
      <formula>AND(IF(OR($Q164=1,$Q164=2),1,0),IF($X164&lt;=20,1,0))</formula>
    </cfRule>
    <cfRule type="expression" priority="1298" dxfId="2">
      <formula>AND(IF($Q164=2,1,0),IF($X164&lt;30,1,0))</formula>
    </cfRule>
    <cfRule type="expression" priority="1299" dxfId="1">
      <formula>AND(IF($Q164=3,1,0),IF($X164&lt;30,1,0))</formula>
    </cfRule>
    <cfRule type="expression" priority="1300" dxfId="0">
      <formula>AND(IF($Q164=3,1,IF($Q164=4,1,0)),IF($F164&lt;=85,1,0))</formula>
    </cfRule>
  </conditionalFormatting>
  <conditionalFormatting sqref="AV165">
    <cfRule type="expression" priority="1295" dxfId="23">
      <formula>AV165="X"</formula>
    </cfRule>
    <cfRule type="expression" priority="1296" dxfId="22">
      <formula>AV165="후보"</formula>
    </cfRule>
  </conditionalFormatting>
  <conditionalFormatting sqref="AC16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65">
    <cfRule type="expression" priority="1287" dxfId="3">
      <formula>AND(IF(OR($Q165=1,$Q165=2),1,0),IF($X165&lt;=20,1,0))</formula>
    </cfRule>
    <cfRule type="expression" priority="1288" dxfId="2">
      <formula>AND(IF($Q165=2,1,0),IF($X165&lt;30,1,0))</formula>
    </cfRule>
    <cfRule type="expression" priority="1289" dxfId="1">
      <formula>AND(IF($Q165=3,1,0),IF($X165&lt;30,1,0))</formula>
    </cfRule>
    <cfRule type="expression" priority="1290" dxfId="0">
      <formula>AND(IF($Q165=3,1,IF($Q165=4,1,0)),IF($F165&lt;=85,1,0))</formula>
    </cfRule>
  </conditionalFormatting>
  <conditionalFormatting sqref="X165">
    <cfRule type="expression" priority="1283" dxfId="3">
      <formula>AND(IF(OR($Q165=1,$Q165=2),1,0),IF($X165&lt;=20,1,0))</formula>
    </cfRule>
    <cfRule type="expression" priority="1284" dxfId="2">
      <formula>AND(IF($Q165=2,1,0),IF($X165&lt;30,1,0))</formula>
    </cfRule>
    <cfRule type="expression" priority="1285" dxfId="1">
      <formula>AND(IF($Q165=3,1,0),IF($X165&lt;30,1,0))</formula>
    </cfRule>
    <cfRule type="expression" priority="1286" dxfId="0">
      <formula>AND(IF($Q165=3,1,IF($Q165=4,1,0)),IF($F165&lt;=85,1,0))</formula>
    </cfRule>
  </conditionalFormatting>
  <conditionalFormatting sqref="AI165">
    <cfRule type="expression" priority="1279" dxfId="3">
      <formula>AND(IF(OR($Q165=1,$Q165=2),1,0),IF($X165&lt;=20,1,0))</formula>
    </cfRule>
    <cfRule type="expression" priority="1280" dxfId="2">
      <formula>AND(IF($Q165=2,1,0),IF($X165&lt;30,1,0))</formula>
    </cfRule>
    <cfRule type="expression" priority="1281" dxfId="1">
      <formula>AND(IF($Q165=3,1,0),IF($X165&lt;30,1,0))</formula>
    </cfRule>
    <cfRule type="expression" priority="1282" dxfId="0">
      <formula>AND(IF($Q165=3,1,IF($Q165=4,1,0)),IF($F165&lt;=85,1,0))</formula>
    </cfRule>
  </conditionalFormatting>
  <conditionalFormatting sqref="AV166">
    <cfRule type="expression" priority="1277" dxfId="23">
      <formula>AV166="X"</formula>
    </cfRule>
    <cfRule type="expression" priority="1278" dxfId="22">
      <formula>AV166="후보"</formula>
    </cfRule>
  </conditionalFormatting>
  <conditionalFormatting sqref="AC16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66">
    <cfRule type="expression" priority="1269" dxfId="3">
      <formula>AND(IF(OR($Q166=1,$Q166=2),1,0),IF($X166&lt;=20,1,0))</formula>
    </cfRule>
    <cfRule type="expression" priority="1270" dxfId="2">
      <formula>AND(IF($Q166=2,1,0),IF($X166&lt;30,1,0))</formula>
    </cfRule>
    <cfRule type="expression" priority="1271" dxfId="1">
      <formula>AND(IF($Q166=3,1,0),IF($X166&lt;30,1,0))</formula>
    </cfRule>
    <cfRule type="expression" priority="1272" dxfId="0">
      <formula>AND(IF($Q166=3,1,IF($Q166=4,1,0)),IF($F166&lt;=85,1,0))</formula>
    </cfRule>
  </conditionalFormatting>
  <conditionalFormatting sqref="X166">
    <cfRule type="expression" priority="1265" dxfId="3">
      <formula>AND(IF(OR($Q166=1,$Q166=2),1,0),IF($X166&lt;=20,1,0))</formula>
    </cfRule>
    <cfRule type="expression" priority="1266" dxfId="2">
      <formula>AND(IF($Q166=2,1,0),IF($X166&lt;30,1,0))</formula>
    </cfRule>
    <cfRule type="expression" priority="1267" dxfId="1">
      <formula>AND(IF($Q166=3,1,0),IF($X166&lt;30,1,0))</formula>
    </cfRule>
    <cfRule type="expression" priority="1268" dxfId="0">
      <formula>AND(IF($Q166=3,1,IF($Q166=4,1,0)),IF($F166&lt;=85,1,0))</formula>
    </cfRule>
  </conditionalFormatting>
  <conditionalFormatting sqref="AI166">
    <cfRule type="expression" priority="1261" dxfId="3">
      <formula>AND(IF(OR($Q166=1,$Q166=2),1,0),IF($X166&lt;=20,1,0))</formula>
    </cfRule>
    <cfRule type="expression" priority="1262" dxfId="2">
      <formula>AND(IF($Q166=2,1,0),IF($X166&lt;30,1,0))</formula>
    </cfRule>
    <cfRule type="expression" priority="1263" dxfId="1">
      <formula>AND(IF($Q166=3,1,0),IF($X166&lt;30,1,0))</formula>
    </cfRule>
    <cfRule type="expression" priority="1264" dxfId="0">
      <formula>AND(IF($Q166=3,1,IF($Q166=4,1,0)),IF($F166&lt;=85,1,0))</formula>
    </cfRule>
  </conditionalFormatting>
  <conditionalFormatting sqref="AV167">
    <cfRule type="expression" priority="1259" dxfId="23">
      <formula>AV167="X"</formula>
    </cfRule>
    <cfRule type="expression" priority="1260" dxfId="22">
      <formula>AV167="후보"</formula>
    </cfRule>
  </conditionalFormatting>
  <conditionalFormatting sqref="AC16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67">
    <cfRule type="expression" priority="1251" dxfId="3">
      <formula>AND(IF(OR($Q167=1,$Q167=2),1,0),IF($X167&lt;=20,1,0))</formula>
    </cfRule>
    <cfRule type="expression" priority="1252" dxfId="2">
      <formula>AND(IF($Q167=2,1,0),IF($X167&lt;30,1,0))</formula>
    </cfRule>
    <cfRule type="expression" priority="1253" dxfId="1">
      <formula>AND(IF($Q167=3,1,0),IF($X167&lt;30,1,0))</formula>
    </cfRule>
    <cfRule type="expression" priority="1254" dxfId="0">
      <formula>AND(IF($Q167=3,1,IF($Q167=4,1,0)),IF($F167&lt;=85,1,0))</formula>
    </cfRule>
  </conditionalFormatting>
  <conditionalFormatting sqref="X167">
    <cfRule type="expression" priority="1247" dxfId="3">
      <formula>AND(IF(OR($Q167=1,$Q167=2),1,0),IF($X167&lt;=20,1,0))</formula>
    </cfRule>
    <cfRule type="expression" priority="1248" dxfId="2">
      <formula>AND(IF($Q167=2,1,0),IF($X167&lt;30,1,0))</formula>
    </cfRule>
    <cfRule type="expression" priority="1249" dxfId="1">
      <formula>AND(IF($Q167=3,1,0),IF($X167&lt;30,1,0))</formula>
    </cfRule>
    <cfRule type="expression" priority="1250" dxfId="0">
      <formula>AND(IF($Q167=3,1,IF($Q167=4,1,0)),IF($F167&lt;=85,1,0))</formula>
    </cfRule>
  </conditionalFormatting>
  <conditionalFormatting sqref="AI167">
    <cfRule type="expression" priority="1243" dxfId="3">
      <formula>AND(IF(OR($Q167=1,$Q167=2),1,0),IF($X167&lt;=20,1,0))</formula>
    </cfRule>
    <cfRule type="expression" priority="1244" dxfId="2">
      <formula>AND(IF($Q167=2,1,0),IF($X167&lt;30,1,0))</formula>
    </cfRule>
    <cfRule type="expression" priority="1245" dxfId="1">
      <formula>AND(IF($Q167=3,1,0),IF($X167&lt;30,1,0))</formula>
    </cfRule>
    <cfRule type="expression" priority="1246" dxfId="0">
      <formula>AND(IF($Q167=3,1,IF($Q167=4,1,0)),IF($F167&lt;=85,1,0))</formula>
    </cfRule>
  </conditionalFormatting>
  <conditionalFormatting sqref="AV168">
    <cfRule type="expression" priority="1241" dxfId="23">
      <formula>AV168="X"</formula>
    </cfRule>
    <cfRule type="expression" priority="1242" dxfId="22">
      <formula>AV168="후보"</formula>
    </cfRule>
  </conditionalFormatting>
  <conditionalFormatting sqref="AC16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8">
    <cfRule type="expression" priority="1233" dxfId="3">
      <formula>AND(IF(OR($Q168=1,$Q168=2),1,0),IF($X168&lt;=20,1,0))</formula>
    </cfRule>
    <cfRule type="expression" priority="1234" dxfId="2">
      <formula>AND(IF($Q168=2,1,0),IF($X168&lt;30,1,0))</formula>
    </cfRule>
    <cfRule type="expression" priority="1235" dxfId="1">
      <formula>AND(IF($Q168=3,1,0),IF($X168&lt;30,1,0))</formula>
    </cfRule>
    <cfRule type="expression" priority="1236" dxfId="0">
      <formula>AND(IF($Q168=3,1,IF($Q168=4,1,0)),IF($F168&lt;=85,1,0))</formula>
    </cfRule>
  </conditionalFormatting>
  <conditionalFormatting sqref="X168">
    <cfRule type="expression" priority="1229" dxfId="3">
      <formula>AND(IF(OR($Q168=1,$Q168=2),1,0),IF($X168&lt;=20,1,0))</formula>
    </cfRule>
    <cfRule type="expression" priority="1230" dxfId="2">
      <formula>AND(IF($Q168=2,1,0),IF($X168&lt;30,1,0))</formula>
    </cfRule>
    <cfRule type="expression" priority="1231" dxfId="1">
      <formula>AND(IF($Q168=3,1,0),IF($X168&lt;30,1,0))</formula>
    </cfRule>
    <cfRule type="expression" priority="1232" dxfId="0">
      <formula>AND(IF($Q168=3,1,IF($Q168=4,1,0)),IF($F168&lt;=85,1,0))</formula>
    </cfRule>
  </conditionalFormatting>
  <conditionalFormatting sqref="AI168">
    <cfRule type="expression" priority="1225" dxfId="3">
      <formula>AND(IF(OR($Q168=1,$Q168=2),1,0),IF($X168&lt;=20,1,0))</formula>
    </cfRule>
    <cfRule type="expression" priority="1226" dxfId="2">
      <formula>AND(IF($Q168=2,1,0),IF($X168&lt;30,1,0))</formula>
    </cfRule>
    <cfRule type="expression" priority="1227" dxfId="1">
      <formula>AND(IF($Q168=3,1,0),IF($X168&lt;30,1,0))</formula>
    </cfRule>
    <cfRule type="expression" priority="1228" dxfId="0">
      <formula>AND(IF($Q168=3,1,IF($Q168=4,1,0)),IF($F168&lt;=85,1,0))</formula>
    </cfRule>
  </conditionalFormatting>
  <conditionalFormatting sqref="AV169">
    <cfRule type="expression" priority="1223" dxfId="23">
      <formula>AV169="X"</formula>
    </cfRule>
    <cfRule type="expression" priority="1224" dxfId="22">
      <formula>AV169="후보"</formula>
    </cfRule>
  </conditionalFormatting>
  <conditionalFormatting sqref="AC16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6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69">
    <cfRule type="expression" priority="1215" dxfId="3">
      <formula>AND(IF(OR($Q169=1,$Q169=2),1,0),IF($X169&lt;=20,1,0))</formula>
    </cfRule>
    <cfRule type="expression" priority="1216" dxfId="2">
      <formula>AND(IF($Q169=2,1,0),IF($X169&lt;30,1,0))</formula>
    </cfRule>
    <cfRule type="expression" priority="1217" dxfId="1">
      <formula>AND(IF($Q169=3,1,0),IF($X169&lt;30,1,0))</formula>
    </cfRule>
    <cfRule type="expression" priority="1218" dxfId="0">
      <formula>AND(IF($Q169=3,1,IF($Q169=4,1,0)),IF($F169&lt;=85,1,0))</formula>
    </cfRule>
  </conditionalFormatting>
  <conditionalFormatting sqref="X169">
    <cfRule type="expression" priority="1211" dxfId="3">
      <formula>AND(IF(OR($Q169=1,$Q169=2),1,0),IF($X169&lt;=20,1,0))</formula>
    </cfRule>
    <cfRule type="expression" priority="1212" dxfId="2">
      <formula>AND(IF($Q169=2,1,0),IF($X169&lt;30,1,0))</formula>
    </cfRule>
    <cfRule type="expression" priority="1213" dxfId="1">
      <formula>AND(IF($Q169=3,1,0),IF($X169&lt;30,1,0))</formula>
    </cfRule>
    <cfRule type="expression" priority="1214" dxfId="0">
      <formula>AND(IF($Q169=3,1,IF($Q169=4,1,0)),IF($F169&lt;=85,1,0))</formula>
    </cfRule>
  </conditionalFormatting>
  <conditionalFormatting sqref="AI169">
    <cfRule type="expression" priority="1207" dxfId="3">
      <formula>AND(IF(OR($Q169=1,$Q169=2),1,0),IF($X169&lt;=20,1,0))</formula>
    </cfRule>
    <cfRule type="expression" priority="1208" dxfId="2">
      <formula>AND(IF($Q169=2,1,0),IF($X169&lt;30,1,0))</formula>
    </cfRule>
    <cfRule type="expression" priority="1209" dxfId="1">
      <formula>AND(IF($Q169=3,1,0),IF($X169&lt;30,1,0))</formula>
    </cfRule>
    <cfRule type="expression" priority="1210" dxfId="0">
      <formula>AND(IF($Q169=3,1,IF($Q169=4,1,0)),IF($F169&lt;=85,1,0))</formula>
    </cfRule>
  </conditionalFormatting>
  <conditionalFormatting sqref="AV170">
    <cfRule type="expression" priority="1205" dxfId="23">
      <formula>AV170="X"</formula>
    </cfRule>
    <cfRule type="expression" priority="1206" dxfId="22">
      <formula>AV170="후보"</formula>
    </cfRule>
  </conditionalFormatting>
  <conditionalFormatting sqref="AC17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0">
    <cfRule type="expression" priority="1197" dxfId="3">
      <formula>AND(IF(OR($Q170=1,$Q170=2),1,0),IF($X170&lt;=20,1,0))</formula>
    </cfRule>
    <cfRule type="expression" priority="1198" dxfId="2">
      <formula>AND(IF($Q170=2,1,0),IF($X170&lt;30,1,0))</formula>
    </cfRule>
    <cfRule type="expression" priority="1199" dxfId="1">
      <formula>AND(IF($Q170=3,1,0),IF($X170&lt;30,1,0))</formula>
    </cfRule>
    <cfRule type="expression" priority="1200" dxfId="0">
      <formula>AND(IF($Q170=3,1,IF($Q170=4,1,0)),IF($F170&lt;=85,1,0))</formula>
    </cfRule>
  </conditionalFormatting>
  <conditionalFormatting sqref="X170">
    <cfRule type="expression" priority="1193" dxfId="3">
      <formula>AND(IF(OR($Q170=1,$Q170=2),1,0),IF($X170&lt;=20,1,0))</formula>
    </cfRule>
    <cfRule type="expression" priority="1194" dxfId="2">
      <formula>AND(IF($Q170=2,1,0),IF($X170&lt;30,1,0))</formula>
    </cfRule>
    <cfRule type="expression" priority="1195" dxfId="1">
      <formula>AND(IF($Q170=3,1,0),IF($X170&lt;30,1,0))</formula>
    </cfRule>
    <cfRule type="expression" priority="1196" dxfId="0">
      <formula>AND(IF($Q170=3,1,IF($Q170=4,1,0)),IF($F170&lt;=85,1,0))</formula>
    </cfRule>
  </conditionalFormatting>
  <conditionalFormatting sqref="AI170">
    <cfRule type="expression" priority="1189" dxfId="3">
      <formula>AND(IF(OR($Q170=1,$Q170=2),1,0),IF($X170&lt;=20,1,0))</formula>
    </cfRule>
    <cfRule type="expression" priority="1190" dxfId="2">
      <formula>AND(IF($Q170=2,1,0),IF($X170&lt;30,1,0))</formula>
    </cfRule>
    <cfRule type="expression" priority="1191" dxfId="1">
      <formula>AND(IF($Q170=3,1,0),IF($X170&lt;30,1,0))</formula>
    </cfRule>
    <cfRule type="expression" priority="1192" dxfId="0">
      <formula>AND(IF($Q170=3,1,IF($Q170=4,1,0)),IF($F170&lt;=85,1,0))</formula>
    </cfRule>
  </conditionalFormatting>
  <conditionalFormatting sqref="AV171">
    <cfRule type="expression" priority="1187" dxfId="23">
      <formula>AV171="X"</formula>
    </cfRule>
    <cfRule type="expression" priority="1188" dxfId="22">
      <formula>AV171="후보"</formula>
    </cfRule>
  </conditionalFormatting>
  <conditionalFormatting sqref="AC17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1">
    <cfRule type="expression" priority="1179" dxfId="3">
      <formula>AND(IF(OR($Q171=1,$Q171=2),1,0),IF($X171&lt;=20,1,0))</formula>
    </cfRule>
    <cfRule type="expression" priority="1180" dxfId="2">
      <formula>AND(IF($Q171=2,1,0),IF($X171&lt;30,1,0))</formula>
    </cfRule>
    <cfRule type="expression" priority="1181" dxfId="1">
      <formula>AND(IF($Q171=3,1,0),IF($X171&lt;30,1,0))</formula>
    </cfRule>
    <cfRule type="expression" priority="1182" dxfId="0">
      <formula>AND(IF($Q171=3,1,IF($Q171=4,1,0)),IF($F171&lt;=85,1,0))</formula>
    </cfRule>
  </conditionalFormatting>
  <conditionalFormatting sqref="X171">
    <cfRule type="expression" priority="1175" dxfId="3">
      <formula>AND(IF(OR($Q171=1,$Q171=2),1,0),IF($X171&lt;=20,1,0))</formula>
    </cfRule>
    <cfRule type="expression" priority="1176" dxfId="2">
      <formula>AND(IF($Q171=2,1,0),IF($X171&lt;30,1,0))</formula>
    </cfRule>
    <cfRule type="expression" priority="1177" dxfId="1">
      <formula>AND(IF($Q171=3,1,0),IF($X171&lt;30,1,0))</formula>
    </cfRule>
    <cfRule type="expression" priority="1178" dxfId="0">
      <formula>AND(IF($Q171=3,1,IF($Q171=4,1,0)),IF($F171&lt;=85,1,0))</formula>
    </cfRule>
  </conditionalFormatting>
  <conditionalFormatting sqref="AI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AV172">
    <cfRule type="expression" priority="1169" dxfId="23">
      <formula>AV172="X"</formula>
    </cfRule>
    <cfRule type="expression" priority="1170" dxfId="22">
      <formula>AV172="후보"</formula>
    </cfRule>
  </conditionalFormatting>
  <conditionalFormatting sqref="AC17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2">
    <cfRule type="expression" priority="1161" dxfId="3">
      <formula>AND(IF(OR($Q172=1,$Q172=2),1,0),IF($X172&lt;=20,1,0))</formula>
    </cfRule>
    <cfRule type="expression" priority="1162" dxfId="2">
      <formula>AND(IF($Q172=2,1,0),IF($X172&lt;30,1,0))</formula>
    </cfRule>
    <cfRule type="expression" priority="1163" dxfId="1">
      <formula>AND(IF($Q172=3,1,0),IF($X172&lt;30,1,0))</formula>
    </cfRule>
    <cfRule type="expression" priority="1164" dxfId="0">
      <formula>AND(IF($Q172=3,1,IF($Q172=4,1,0)),IF($F172&lt;=85,1,0))</formula>
    </cfRule>
  </conditionalFormatting>
  <conditionalFormatting sqref="X172">
    <cfRule type="expression" priority="1157" dxfId="3">
      <formula>AND(IF(OR($Q172=1,$Q172=2),1,0),IF($X172&lt;=20,1,0))</formula>
    </cfRule>
    <cfRule type="expression" priority="1158" dxfId="2">
      <formula>AND(IF($Q172=2,1,0),IF($X172&lt;30,1,0))</formula>
    </cfRule>
    <cfRule type="expression" priority="1159" dxfId="1">
      <formula>AND(IF($Q172=3,1,0),IF($X172&lt;30,1,0))</formula>
    </cfRule>
    <cfRule type="expression" priority="1160" dxfId="0">
      <formula>AND(IF($Q172=3,1,IF($Q172=4,1,0)),IF($F172&lt;=85,1,0))</formula>
    </cfRule>
  </conditionalFormatting>
  <conditionalFormatting sqref="AI172">
    <cfRule type="expression" priority="1153" dxfId="3">
      <formula>AND(IF(OR($Q172=1,$Q172=2),1,0),IF($X172&lt;=20,1,0))</formula>
    </cfRule>
    <cfRule type="expression" priority="1154" dxfId="2">
      <formula>AND(IF($Q172=2,1,0),IF($X172&lt;30,1,0))</formula>
    </cfRule>
    <cfRule type="expression" priority="1155" dxfId="1">
      <formula>AND(IF($Q172=3,1,0),IF($X172&lt;30,1,0))</formula>
    </cfRule>
    <cfRule type="expression" priority="1156" dxfId="0">
      <formula>AND(IF($Q172=3,1,IF($Q172=4,1,0)),IF($F172&lt;=85,1,0))</formula>
    </cfRule>
  </conditionalFormatting>
  <conditionalFormatting sqref="AV173">
    <cfRule type="expression" priority="1151" dxfId="23">
      <formula>AV173="X"</formula>
    </cfRule>
    <cfRule type="expression" priority="1152" dxfId="22">
      <formula>AV173="후보"</formula>
    </cfRule>
  </conditionalFormatting>
  <conditionalFormatting sqref="AC17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7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73">
    <cfRule type="expression" priority="1143" dxfId="3">
      <formula>AND(IF(OR($Q173=1,$Q173=2),1,0),IF($X173&lt;=20,1,0))</formula>
    </cfRule>
    <cfRule type="expression" priority="1144" dxfId="2">
      <formula>AND(IF($Q173=2,1,0),IF($X173&lt;30,1,0))</formula>
    </cfRule>
    <cfRule type="expression" priority="1145" dxfId="1">
      <formula>AND(IF($Q173=3,1,0),IF($X173&lt;30,1,0))</formula>
    </cfRule>
    <cfRule type="expression" priority="1146" dxfId="0">
      <formula>AND(IF($Q173=3,1,IF($Q173=4,1,0)),IF($F173&lt;=85,1,0))</formula>
    </cfRule>
  </conditionalFormatting>
  <conditionalFormatting sqref="X173">
    <cfRule type="expression" priority="1139" dxfId="3">
      <formula>AND(IF(OR($Q173=1,$Q173=2),1,0),IF($X173&lt;=20,1,0))</formula>
    </cfRule>
    <cfRule type="expression" priority="1140" dxfId="2">
      <formula>AND(IF($Q173=2,1,0),IF($X173&lt;30,1,0))</formula>
    </cfRule>
    <cfRule type="expression" priority="1141" dxfId="1">
      <formula>AND(IF($Q173=3,1,0),IF($X173&lt;30,1,0))</formula>
    </cfRule>
    <cfRule type="expression" priority="1142" dxfId="0">
      <formula>AND(IF($Q173=3,1,IF($Q173=4,1,0)),IF($F173&lt;=85,1,0))</formula>
    </cfRule>
  </conditionalFormatting>
  <conditionalFormatting sqref="AI173">
    <cfRule type="expression" priority="1135" dxfId="3">
      <formula>AND(IF(OR($Q173=1,$Q173=2),1,0),IF($X173&lt;=20,1,0))</formula>
    </cfRule>
    <cfRule type="expression" priority="1136" dxfId="2">
      <formula>AND(IF($Q173=2,1,0),IF($X173&lt;30,1,0))</formula>
    </cfRule>
    <cfRule type="expression" priority="1137" dxfId="1">
      <formula>AND(IF($Q173=3,1,0),IF($X173&lt;30,1,0))</formula>
    </cfRule>
    <cfRule type="expression" priority="1138" dxfId="0">
      <formula>AND(IF($Q173=3,1,IF($Q173=4,1,0)),IF($F173&lt;=85,1,0))</formula>
    </cfRule>
  </conditionalFormatting>
  <conditionalFormatting sqref="AV174">
    <cfRule type="expression" priority="1133" dxfId="23">
      <formula>AV174="X"</formula>
    </cfRule>
    <cfRule type="expression" priority="1134" dxfId="22">
      <formula>AV174="후보"</formula>
    </cfRule>
  </conditionalFormatting>
  <conditionalFormatting sqref="AC17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7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74">
    <cfRule type="expression" priority="1125" dxfId="3">
      <formula>AND(IF(OR($Q174=1,$Q174=2),1,0),IF($X174&lt;=20,1,0))</formula>
    </cfRule>
    <cfRule type="expression" priority="1126" dxfId="2">
      <formula>AND(IF($Q174=2,1,0),IF($X174&lt;30,1,0))</formula>
    </cfRule>
    <cfRule type="expression" priority="1127" dxfId="1">
      <formula>AND(IF($Q174=3,1,0),IF($X174&lt;30,1,0))</formula>
    </cfRule>
    <cfRule type="expression" priority="1128" dxfId="0">
      <formula>AND(IF($Q174=3,1,IF($Q174=4,1,0)),IF($F174&lt;=85,1,0))</formula>
    </cfRule>
  </conditionalFormatting>
  <conditionalFormatting sqref="X174">
    <cfRule type="expression" priority="1121" dxfId="3">
      <formula>AND(IF(OR($Q174=1,$Q174=2),1,0),IF($X174&lt;=20,1,0))</formula>
    </cfRule>
    <cfRule type="expression" priority="1122" dxfId="2">
      <formula>AND(IF($Q174=2,1,0),IF($X174&lt;30,1,0))</formula>
    </cfRule>
    <cfRule type="expression" priority="1123" dxfId="1">
      <formula>AND(IF($Q174=3,1,0),IF($X174&lt;30,1,0))</formula>
    </cfRule>
    <cfRule type="expression" priority="1124" dxfId="0">
      <formula>AND(IF($Q174=3,1,IF($Q174=4,1,0)),IF($F174&lt;=85,1,0))</formula>
    </cfRule>
  </conditionalFormatting>
  <conditionalFormatting sqref="AI174">
    <cfRule type="expression" priority="1117" dxfId="3">
      <formula>AND(IF(OR($Q174=1,$Q174=2),1,0),IF($X174&lt;=20,1,0))</formula>
    </cfRule>
    <cfRule type="expression" priority="1118" dxfId="2">
      <formula>AND(IF($Q174=2,1,0),IF($X174&lt;30,1,0))</formula>
    </cfRule>
    <cfRule type="expression" priority="1119" dxfId="1">
      <formula>AND(IF($Q174=3,1,0),IF($X174&lt;30,1,0))</formula>
    </cfRule>
    <cfRule type="expression" priority="1120" dxfId="0">
      <formula>AND(IF($Q174=3,1,IF($Q174=4,1,0)),IF($F174&lt;=85,1,0))</formula>
    </cfRule>
  </conditionalFormatting>
  <conditionalFormatting sqref="AV175">
    <cfRule type="expression" priority="1115" dxfId="23">
      <formula>AV175="X"</formula>
    </cfRule>
    <cfRule type="expression" priority="1116" dxfId="22">
      <formula>AV175="후보"</formula>
    </cfRule>
  </conditionalFormatting>
  <conditionalFormatting sqref="AC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7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75">
    <cfRule type="expression" priority="1107" dxfId="3">
      <formula>AND(IF(OR($Q175=1,$Q175=2),1,0),IF($X175&lt;=20,1,0))</formula>
    </cfRule>
    <cfRule type="expression" priority="1108" dxfId="2">
      <formula>AND(IF($Q175=2,1,0),IF($X175&lt;30,1,0))</formula>
    </cfRule>
    <cfRule type="expression" priority="1109" dxfId="1">
      <formula>AND(IF($Q175=3,1,0),IF($X175&lt;30,1,0))</formula>
    </cfRule>
    <cfRule type="expression" priority="1110" dxfId="0">
      <formula>AND(IF($Q175=3,1,IF($Q175=4,1,0)),IF($F175&lt;=85,1,0))</formula>
    </cfRule>
  </conditionalFormatting>
  <conditionalFormatting sqref="X175">
    <cfRule type="expression" priority="1103" dxfId="3">
      <formula>AND(IF(OR($Q175=1,$Q175=2),1,0),IF($X175&lt;=20,1,0))</formula>
    </cfRule>
    <cfRule type="expression" priority="1104" dxfId="2">
      <formula>AND(IF($Q175=2,1,0),IF($X175&lt;30,1,0))</formula>
    </cfRule>
    <cfRule type="expression" priority="1105" dxfId="1">
      <formula>AND(IF($Q175=3,1,0),IF($X175&lt;30,1,0))</formula>
    </cfRule>
    <cfRule type="expression" priority="1106" dxfId="0">
      <formula>AND(IF($Q175=3,1,IF($Q175=4,1,0)),IF($F175&lt;=85,1,0))</formula>
    </cfRule>
  </conditionalFormatting>
  <conditionalFormatting sqref="AI175">
    <cfRule type="expression" priority="1099" dxfId="3">
      <formula>AND(IF(OR($Q175=1,$Q175=2),1,0),IF($X175&lt;=20,1,0))</formula>
    </cfRule>
    <cfRule type="expression" priority="1100" dxfId="2">
      <formula>AND(IF($Q175=2,1,0),IF($X175&lt;30,1,0))</formula>
    </cfRule>
    <cfRule type="expression" priority="1101" dxfId="1">
      <formula>AND(IF($Q175=3,1,0),IF($X175&lt;30,1,0))</formula>
    </cfRule>
    <cfRule type="expression" priority="1102" dxfId="0">
      <formula>AND(IF($Q175=3,1,IF($Q175=4,1,0)),IF($F175&lt;=85,1,0))</formula>
    </cfRule>
  </conditionalFormatting>
  <conditionalFormatting sqref="AV176">
    <cfRule type="expression" priority="1097" dxfId="23">
      <formula>AV176="X"</formula>
    </cfRule>
    <cfRule type="expression" priority="1098" dxfId="22">
      <formula>AV176="후보"</formula>
    </cfRule>
  </conditionalFormatting>
  <conditionalFormatting sqref="AC17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7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76">
    <cfRule type="expression" priority="1089" dxfId="3">
      <formula>AND(IF(OR($Q176=1,$Q176=2),1,0),IF($X176&lt;=20,1,0))</formula>
    </cfRule>
    <cfRule type="expression" priority="1090" dxfId="2">
      <formula>AND(IF($Q176=2,1,0),IF($X176&lt;30,1,0))</formula>
    </cfRule>
    <cfRule type="expression" priority="1091" dxfId="1">
      <formula>AND(IF($Q176=3,1,0),IF($X176&lt;30,1,0))</formula>
    </cfRule>
    <cfRule type="expression" priority="1092" dxfId="0">
      <formula>AND(IF($Q176=3,1,IF($Q176=4,1,0)),IF($F176&lt;=85,1,0))</formula>
    </cfRule>
  </conditionalFormatting>
  <conditionalFormatting sqref="X176">
    <cfRule type="expression" priority="1085" dxfId="3">
      <formula>AND(IF(OR($Q176=1,$Q176=2),1,0),IF($X176&lt;=20,1,0))</formula>
    </cfRule>
    <cfRule type="expression" priority="1086" dxfId="2">
      <formula>AND(IF($Q176=2,1,0),IF($X176&lt;30,1,0))</formula>
    </cfRule>
    <cfRule type="expression" priority="1087" dxfId="1">
      <formula>AND(IF($Q176=3,1,0),IF($X176&lt;30,1,0))</formula>
    </cfRule>
    <cfRule type="expression" priority="1088" dxfId="0">
      <formula>AND(IF($Q176=3,1,IF($Q176=4,1,0)),IF($F176&lt;=85,1,0))</formula>
    </cfRule>
  </conditionalFormatting>
  <conditionalFormatting sqref="AI176">
    <cfRule type="expression" priority="1081" dxfId="3">
      <formula>AND(IF(OR($Q176=1,$Q176=2),1,0),IF($X176&lt;=20,1,0))</formula>
    </cfRule>
    <cfRule type="expression" priority="1082" dxfId="2">
      <formula>AND(IF($Q176=2,1,0),IF($X176&lt;30,1,0))</formula>
    </cfRule>
    <cfRule type="expression" priority="1083" dxfId="1">
      <formula>AND(IF($Q176=3,1,0),IF($X176&lt;30,1,0))</formula>
    </cfRule>
    <cfRule type="expression" priority="1084" dxfId="0">
      <formula>AND(IF($Q176=3,1,IF($Q176=4,1,0)),IF($F176&lt;=85,1,0))</formula>
    </cfRule>
  </conditionalFormatting>
  <conditionalFormatting sqref="AV177">
    <cfRule type="expression" priority="1079" dxfId="23">
      <formula>AV177="X"</formula>
    </cfRule>
    <cfRule type="expression" priority="1080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7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78">
    <cfRule type="expression" priority="1053" dxfId="3">
      <formula>AND(IF(OR($Q178=1,$Q178=2),1,0),IF($X178&lt;=20,1,0))</formula>
    </cfRule>
    <cfRule type="expression" priority="1054" dxfId="2">
      <formula>AND(IF($Q178=2,1,0),IF($X178&lt;30,1,0))</formula>
    </cfRule>
    <cfRule type="expression" priority="1055" dxfId="1">
      <formula>AND(IF($Q178=3,1,0),IF($X178&lt;30,1,0))</formula>
    </cfRule>
    <cfRule type="expression" priority="1056" dxfId="0">
      <formula>AND(IF($Q178=3,1,IF($Q178=4,1,0)),IF($F178&lt;=85,1,0))</formula>
    </cfRule>
  </conditionalFormatting>
  <conditionalFormatting sqref="X178">
    <cfRule type="expression" priority="1049" dxfId="3">
      <formula>AND(IF(OR($Q178=1,$Q178=2),1,0),IF($X178&lt;=20,1,0))</formula>
    </cfRule>
    <cfRule type="expression" priority="1050" dxfId="2">
      <formula>AND(IF($Q178=2,1,0),IF($X178&lt;30,1,0))</formula>
    </cfRule>
    <cfRule type="expression" priority="1051" dxfId="1">
      <formula>AND(IF($Q178=3,1,0),IF($X178&lt;30,1,0))</formula>
    </cfRule>
    <cfRule type="expression" priority="1052" dxfId="0">
      <formula>AND(IF($Q178=3,1,IF($Q178=4,1,0)),IF($F178&lt;=85,1,0))</formula>
    </cfRule>
  </conditionalFormatting>
  <conditionalFormatting sqref="AI178">
    <cfRule type="expression" priority="1045" dxfId="3">
      <formula>AND(IF(OR($Q178=1,$Q178=2),1,0),IF($X178&lt;=20,1,0))</formula>
    </cfRule>
    <cfRule type="expression" priority="1046" dxfId="2">
      <formula>AND(IF($Q178=2,1,0),IF($X178&lt;30,1,0))</formula>
    </cfRule>
    <cfRule type="expression" priority="1047" dxfId="1">
      <formula>AND(IF($Q178=3,1,0),IF($X178&lt;30,1,0))</formula>
    </cfRule>
    <cfRule type="expression" priority="1048" dxfId="0">
      <formula>AND(IF($Q178=3,1,IF($Q178=4,1,0)),IF($F178&lt;=85,1,0))</formula>
    </cfRule>
  </conditionalFormatting>
  <conditionalFormatting sqref="AV179">
    <cfRule type="expression" priority="1043" dxfId="23">
      <formula>AV179="X"</formula>
    </cfRule>
    <cfRule type="expression" priority="1044" dxfId="22">
      <formula>AV179="후보"</formula>
    </cfRule>
  </conditionalFormatting>
  <conditionalFormatting sqref="AC17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79">
    <cfRule type="expression" priority="1035" dxfId="3">
      <formula>AND(IF(OR($Q179=1,$Q179=2),1,0),IF($X179&lt;=20,1,0))</formula>
    </cfRule>
    <cfRule type="expression" priority="1036" dxfId="2">
      <formula>AND(IF($Q179=2,1,0),IF($X179&lt;30,1,0))</formula>
    </cfRule>
    <cfRule type="expression" priority="1037" dxfId="1">
      <formula>AND(IF($Q179=3,1,0),IF($X179&lt;30,1,0))</formula>
    </cfRule>
    <cfRule type="expression" priority="1038" dxfId="0">
      <formula>AND(IF($Q179=3,1,IF($Q179=4,1,0)),IF($F179&lt;=85,1,0))</formula>
    </cfRule>
  </conditionalFormatting>
  <conditionalFormatting sqref="X179">
    <cfRule type="expression" priority="1031" dxfId="3">
      <formula>AND(IF(OR($Q179=1,$Q179=2),1,0),IF($X179&lt;=20,1,0))</formula>
    </cfRule>
    <cfRule type="expression" priority="1032" dxfId="2">
      <formula>AND(IF($Q179=2,1,0),IF($X179&lt;30,1,0))</formula>
    </cfRule>
    <cfRule type="expression" priority="1033" dxfId="1">
      <formula>AND(IF($Q179=3,1,0),IF($X179&lt;30,1,0))</formula>
    </cfRule>
    <cfRule type="expression" priority="1034" dxfId="0">
      <formula>AND(IF($Q179=3,1,IF($Q179=4,1,0)),IF($F179&lt;=85,1,0))</formula>
    </cfRule>
  </conditionalFormatting>
  <conditionalFormatting sqref="AI179">
    <cfRule type="expression" priority="1027" dxfId="3">
      <formula>AND(IF(OR($Q179=1,$Q179=2),1,0),IF($X179&lt;=20,1,0))</formula>
    </cfRule>
    <cfRule type="expression" priority="1028" dxfId="2">
      <formula>AND(IF($Q179=2,1,0),IF($X179&lt;30,1,0))</formula>
    </cfRule>
    <cfRule type="expression" priority="1029" dxfId="1">
      <formula>AND(IF($Q179=3,1,0),IF($X179&lt;30,1,0))</formula>
    </cfRule>
    <cfRule type="expression" priority="1030" dxfId="0">
      <formula>AND(IF($Q179=3,1,IF($Q179=4,1,0)),IF($F179&lt;=85,1,0))</formula>
    </cfRule>
  </conditionalFormatting>
  <conditionalFormatting sqref="AV180">
    <cfRule type="expression" priority="1025" dxfId="23">
      <formula>AV180="X"</formula>
    </cfRule>
    <cfRule type="expression" priority="1026" dxfId="22">
      <formula>AV180="후보"</formula>
    </cfRule>
  </conditionalFormatting>
  <conditionalFormatting sqref="AC18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0">
    <cfRule type="expression" priority="1017" dxfId="3">
      <formula>AND(IF(OR($Q180=1,$Q180=2),1,0),IF($X180&lt;=20,1,0))</formula>
    </cfRule>
    <cfRule type="expression" priority="1018" dxfId="2">
      <formula>AND(IF($Q180=2,1,0),IF($X180&lt;30,1,0))</formula>
    </cfRule>
    <cfRule type="expression" priority="1019" dxfId="1">
      <formula>AND(IF($Q180=3,1,0),IF($X180&lt;30,1,0))</formula>
    </cfRule>
    <cfRule type="expression" priority="1020" dxfId="0">
      <formula>AND(IF($Q180=3,1,IF($Q180=4,1,0)),IF($F180&lt;=85,1,0))</formula>
    </cfRule>
  </conditionalFormatting>
  <conditionalFormatting sqref="X180">
    <cfRule type="expression" priority="1013" dxfId="3">
      <formula>AND(IF(OR($Q180=1,$Q180=2),1,0),IF($X180&lt;=20,1,0))</formula>
    </cfRule>
    <cfRule type="expression" priority="1014" dxfId="2">
      <formula>AND(IF($Q180=2,1,0),IF($X180&lt;30,1,0))</formula>
    </cfRule>
    <cfRule type="expression" priority="1015" dxfId="1">
      <formula>AND(IF($Q180=3,1,0),IF($X180&lt;30,1,0))</formula>
    </cfRule>
    <cfRule type="expression" priority="1016" dxfId="0">
      <formula>AND(IF($Q180=3,1,IF($Q180=4,1,0)),IF($F180&lt;=85,1,0))</formula>
    </cfRule>
  </conditionalFormatting>
  <conditionalFormatting sqref="AI180">
    <cfRule type="expression" priority="1009" dxfId="3">
      <formula>AND(IF(OR($Q180=1,$Q180=2),1,0),IF($X180&lt;=20,1,0))</formula>
    </cfRule>
    <cfRule type="expression" priority="1010" dxfId="2">
      <formula>AND(IF($Q180=2,1,0),IF($X180&lt;30,1,0))</formula>
    </cfRule>
    <cfRule type="expression" priority="1011" dxfId="1">
      <formula>AND(IF($Q180=3,1,0),IF($X180&lt;30,1,0))</formula>
    </cfRule>
    <cfRule type="expression" priority="1012" dxfId="0">
      <formula>AND(IF($Q180=3,1,IF($Q180=4,1,0)),IF($F180&lt;=85,1,0))</formula>
    </cfRule>
  </conditionalFormatting>
  <conditionalFormatting sqref="AV181">
    <cfRule type="expression" priority="1007" dxfId="23">
      <formula>AV181="X"</formula>
    </cfRule>
    <cfRule type="expression" priority="1008" dxfId="22">
      <formula>AV181="후보"</formula>
    </cfRule>
  </conditionalFormatting>
  <conditionalFormatting sqref="AC18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1">
    <cfRule type="expression" priority="999" dxfId="3">
      <formula>AND(IF(OR($Q181=1,$Q181=2),1,0),IF($X181&lt;=20,1,0))</formula>
    </cfRule>
    <cfRule type="expression" priority="1000" dxfId="2">
      <formula>AND(IF($Q181=2,1,0),IF($X181&lt;30,1,0))</formula>
    </cfRule>
    <cfRule type="expression" priority="1001" dxfId="1">
      <formula>AND(IF($Q181=3,1,0),IF($X181&lt;30,1,0))</formula>
    </cfRule>
    <cfRule type="expression" priority="1002" dxfId="0">
      <formula>AND(IF($Q181=3,1,IF($Q181=4,1,0)),IF($F181&lt;=85,1,0))</formula>
    </cfRule>
  </conditionalFormatting>
  <conditionalFormatting sqref="X181">
    <cfRule type="expression" priority="995" dxfId="3">
      <formula>AND(IF(OR($Q181=1,$Q181=2),1,0),IF($X181&lt;=20,1,0))</formula>
    </cfRule>
    <cfRule type="expression" priority="996" dxfId="2">
      <formula>AND(IF($Q181=2,1,0),IF($X181&lt;30,1,0))</formula>
    </cfRule>
    <cfRule type="expression" priority="997" dxfId="1">
      <formula>AND(IF($Q181=3,1,0),IF($X181&lt;30,1,0))</formula>
    </cfRule>
    <cfRule type="expression" priority="998" dxfId="0">
      <formula>AND(IF($Q181=3,1,IF($Q181=4,1,0)),IF($F181&lt;=85,1,0))</formula>
    </cfRule>
  </conditionalFormatting>
  <conditionalFormatting sqref="AI181">
    <cfRule type="expression" priority="991" dxfId="3">
      <formula>AND(IF(OR($Q181=1,$Q181=2),1,0),IF($X181&lt;=20,1,0))</formula>
    </cfRule>
    <cfRule type="expression" priority="992" dxfId="2">
      <formula>AND(IF($Q181=2,1,0),IF($X181&lt;30,1,0))</formula>
    </cfRule>
    <cfRule type="expression" priority="993" dxfId="1">
      <formula>AND(IF($Q181=3,1,0),IF($X181&lt;30,1,0))</formula>
    </cfRule>
    <cfRule type="expression" priority="994" dxfId="0">
      <formula>AND(IF($Q181=3,1,IF($Q181=4,1,0)),IF($F181&lt;=85,1,0))</formula>
    </cfRule>
  </conditionalFormatting>
  <conditionalFormatting sqref="AV182">
    <cfRule type="expression" priority="989" dxfId="23">
      <formula>AV182="X"</formula>
    </cfRule>
    <cfRule type="expression" priority="990" dxfId="22">
      <formula>AV182="후보"</formula>
    </cfRule>
  </conditionalFormatting>
  <conditionalFormatting sqref="AC18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2">
    <cfRule type="expression" priority="981" dxfId="3">
      <formula>AND(IF(OR($Q182=1,$Q182=2),1,0),IF($X182&lt;=20,1,0))</formula>
    </cfRule>
    <cfRule type="expression" priority="982" dxfId="2">
      <formula>AND(IF($Q182=2,1,0),IF($X182&lt;30,1,0))</formula>
    </cfRule>
    <cfRule type="expression" priority="983" dxfId="1">
      <formula>AND(IF($Q182=3,1,0),IF($X182&lt;30,1,0))</formula>
    </cfRule>
    <cfRule type="expression" priority="984" dxfId="0">
      <formula>AND(IF($Q182=3,1,IF($Q182=4,1,0)),IF($F182&lt;=85,1,0))</formula>
    </cfRule>
  </conditionalFormatting>
  <conditionalFormatting sqref="X182">
    <cfRule type="expression" priority="977" dxfId="3">
      <formula>AND(IF(OR($Q182=1,$Q182=2),1,0),IF($X182&lt;=20,1,0))</formula>
    </cfRule>
    <cfRule type="expression" priority="978" dxfId="2">
      <formula>AND(IF($Q182=2,1,0),IF($X182&lt;30,1,0))</formula>
    </cfRule>
    <cfRule type="expression" priority="979" dxfId="1">
      <formula>AND(IF($Q182=3,1,0),IF($X182&lt;30,1,0))</formula>
    </cfRule>
    <cfRule type="expression" priority="980" dxfId="0">
      <formula>AND(IF($Q182=3,1,IF($Q182=4,1,0)),IF($F182&lt;=85,1,0))</formula>
    </cfRule>
  </conditionalFormatting>
  <conditionalFormatting sqref="AI182">
    <cfRule type="expression" priority="973" dxfId="3">
      <formula>AND(IF(OR($Q182=1,$Q182=2),1,0),IF($X182&lt;=20,1,0))</formula>
    </cfRule>
    <cfRule type="expression" priority="974" dxfId="2">
      <formula>AND(IF($Q182=2,1,0),IF($X182&lt;30,1,0))</formula>
    </cfRule>
    <cfRule type="expression" priority="975" dxfId="1">
      <formula>AND(IF($Q182=3,1,0),IF($X182&lt;30,1,0))</formula>
    </cfRule>
    <cfRule type="expression" priority="976" dxfId="0">
      <formula>AND(IF($Q182=3,1,IF($Q182=4,1,0)),IF($F182&lt;=85,1,0))</formula>
    </cfRule>
  </conditionalFormatting>
  <conditionalFormatting sqref="AV183">
    <cfRule type="expression" priority="971" dxfId="23">
      <formula>AV183="X"</formula>
    </cfRule>
    <cfRule type="expression" priority="972" dxfId="22">
      <formula>AV183="후보"</formula>
    </cfRule>
  </conditionalFormatting>
  <conditionalFormatting sqref="AC18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8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83">
    <cfRule type="expression" priority="963" dxfId="3">
      <formula>AND(IF(OR($Q183=1,$Q183=2),1,0),IF($X183&lt;=20,1,0))</formula>
    </cfRule>
    <cfRule type="expression" priority="964" dxfId="2">
      <formula>AND(IF($Q183=2,1,0),IF($X183&lt;30,1,0))</formula>
    </cfRule>
    <cfRule type="expression" priority="965" dxfId="1">
      <formula>AND(IF($Q183=3,1,0),IF($X183&lt;30,1,0))</formula>
    </cfRule>
    <cfRule type="expression" priority="966" dxfId="0">
      <formula>AND(IF($Q183=3,1,IF($Q183=4,1,0)),IF($F183&lt;=85,1,0))</formula>
    </cfRule>
  </conditionalFormatting>
  <conditionalFormatting sqref="X183">
    <cfRule type="expression" priority="959" dxfId="3">
      <formula>AND(IF(OR($Q183=1,$Q183=2),1,0),IF($X183&lt;=20,1,0))</formula>
    </cfRule>
    <cfRule type="expression" priority="960" dxfId="2">
      <formula>AND(IF($Q183=2,1,0),IF($X183&lt;30,1,0))</formula>
    </cfRule>
    <cfRule type="expression" priority="961" dxfId="1">
      <formula>AND(IF($Q183=3,1,0),IF($X183&lt;30,1,0))</formula>
    </cfRule>
    <cfRule type="expression" priority="962" dxfId="0">
      <formula>AND(IF($Q183=3,1,IF($Q183=4,1,0)),IF($F183&lt;=85,1,0))</formula>
    </cfRule>
  </conditionalFormatting>
  <conditionalFormatting sqref="AI183">
    <cfRule type="expression" priority="955" dxfId="3">
      <formula>AND(IF(OR($Q183=1,$Q183=2),1,0),IF($X183&lt;=20,1,0))</formula>
    </cfRule>
    <cfRule type="expression" priority="956" dxfId="2">
      <formula>AND(IF($Q183=2,1,0),IF($X183&lt;30,1,0))</formula>
    </cfRule>
    <cfRule type="expression" priority="957" dxfId="1">
      <formula>AND(IF($Q183=3,1,0),IF($X183&lt;30,1,0))</formula>
    </cfRule>
    <cfRule type="expression" priority="958" dxfId="0">
      <formula>AND(IF($Q183=3,1,IF($Q183=4,1,0)),IF($F183&lt;=85,1,0))</formula>
    </cfRule>
  </conditionalFormatting>
  <conditionalFormatting sqref="AV184">
    <cfRule type="expression" priority="953" dxfId="23">
      <formula>AV184="X"</formula>
    </cfRule>
    <cfRule type="expression" priority="954" dxfId="22">
      <formula>AV184="후보"</formula>
    </cfRule>
  </conditionalFormatting>
  <conditionalFormatting sqref="AC18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84">
    <cfRule type="expression" priority="945" dxfId="3">
      <formula>AND(IF(OR($Q184=1,$Q184=2),1,0),IF($X184&lt;=20,1,0))</formula>
    </cfRule>
    <cfRule type="expression" priority="946" dxfId="2">
      <formula>AND(IF($Q184=2,1,0),IF($X184&lt;30,1,0))</formula>
    </cfRule>
    <cfRule type="expression" priority="947" dxfId="1">
      <formula>AND(IF($Q184=3,1,0),IF($X184&lt;30,1,0))</formula>
    </cfRule>
    <cfRule type="expression" priority="948" dxfId="0">
      <formula>AND(IF($Q184=3,1,IF($Q184=4,1,0)),IF($F184&lt;=85,1,0))</formula>
    </cfRule>
  </conditionalFormatting>
  <conditionalFormatting sqref="X184">
    <cfRule type="expression" priority="941" dxfId="3">
      <formula>AND(IF(OR($Q184=1,$Q184=2),1,0),IF($X184&lt;=20,1,0))</formula>
    </cfRule>
    <cfRule type="expression" priority="942" dxfId="2">
      <formula>AND(IF($Q184=2,1,0),IF($X184&lt;30,1,0))</formula>
    </cfRule>
    <cfRule type="expression" priority="943" dxfId="1">
      <formula>AND(IF($Q184=3,1,0),IF($X184&lt;30,1,0))</formula>
    </cfRule>
    <cfRule type="expression" priority="944" dxfId="0">
      <formula>AND(IF($Q184=3,1,IF($Q184=4,1,0)),IF($F184&lt;=85,1,0))</formula>
    </cfRule>
  </conditionalFormatting>
  <conditionalFormatting sqref="AI184">
    <cfRule type="expression" priority="937" dxfId="3">
      <formula>AND(IF(OR($Q184=1,$Q184=2),1,0),IF($X184&lt;=20,1,0))</formula>
    </cfRule>
    <cfRule type="expression" priority="938" dxfId="2">
      <formula>AND(IF($Q184=2,1,0),IF($X184&lt;30,1,0))</formula>
    </cfRule>
    <cfRule type="expression" priority="939" dxfId="1">
      <formula>AND(IF($Q184=3,1,0),IF($X184&lt;30,1,0))</formula>
    </cfRule>
    <cfRule type="expression" priority="940" dxfId="0">
      <formula>AND(IF($Q184=3,1,IF($Q184=4,1,0)),IF($F184&lt;=85,1,0))</formula>
    </cfRule>
  </conditionalFormatting>
  <conditionalFormatting sqref="AV185">
    <cfRule type="expression" priority="935" dxfId="23">
      <formula>AV185="X"</formula>
    </cfRule>
    <cfRule type="expression" priority="936" dxfId="22">
      <formula>AV185="후보"</formula>
    </cfRule>
  </conditionalFormatting>
  <conditionalFormatting sqref="AC18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85">
    <cfRule type="expression" priority="927" dxfId="3">
      <formula>AND(IF(OR($Q185=1,$Q185=2),1,0),IF($X185&lt;=20,1,0))</formula>
    </cfRule>
    <cfRule type="expression" priority="928" dxfId="2">
      <formula>AND(IF($Q185=2,1,0),IF($X185&lt;30,1,0))</formula>
    </cfRule>
    <cfRule type="expression" priority="929" dxfId="1">
      <formula>AND(IF($Q185=3,1,0),IF($X185&lt;30,1,0))</formula>
    </cfRule>
    <cfRule type="expression" priority="930" dxfId="0">
      <formula>AND(IF($Q185=3,1,IF($Q185=4,1,0)),IF($F185&lt;=85,1,0))</formula>
    </cfRule>
  </conditionalFormatting>
  <conditionalFormatting sqref="X185">
    <cfRule type="expression" priority="923" dxfId="3">
      <formula>AND(IF(OR($Q185=1,$Q185=2),1,0),IF($X185&lt;=20,1,0))</formula>
    </cfRule>
    <cfRule type="expression" priority="924" dxfId="2">
      <formula>AND(IF($Q185=2,1,0),IF($X185&lt;30,1,0))</formula>
    </cfRule>
    <cfRule type="expression" priority="925" dxfId="1">
      <formula>AND(IF($Q185=3,1,0),IF($X185&lt;30,1,0))</formula>
    </cfRule>
    <cfRule type="expression" priority="926" dxfId="0">
      <formula>AND(IF($Q185=3,1,IF($Q185=4,1,0)),IF($F185&lt;=85,1,0))</formula>
    </cfRule>
  </conditionalFormatting>
  <conditionalFormatting sqref="AI185">
    <cfRule type="expression" priority="919" dxfId="3">
      <formula>AND(IF(OR($Q185=1,$Q185=2),1,0),IF($X185&lt;=20,1,0))</formula>
    </cfRule>
    <cfRule type="expression" priority="920" dxfId="2">
      <formula>AND(IF($Q185=2,1,0),IF($X185&lt;30,1,0))</formula>
    </cfRule>
    <cfRule type="expression" priority="921" dxfId="1">
      <formula>AND(IF($Q185=3,1,0),IF($X185&lt;30,1,0))</formula>
    </cfRule>
    <cfRule type="expression" priority="922" dxfId="0">
      <formula>AND(IF($Q185=3,1,IF($Q185=4,1,0)),IF($F185&lt;=85,1,0))</formula>
    </cfRule>
  </conditionalFormatting>
  <conditionalFormatting sqref="AV186">
    <cfRule type="expression" priority="917" dxfId="23">
      <formula>AV186="X"</formula>
    </cfRule>
    <cfRule type="expression" priority="918" dxfId="22">
      <formula>AV186="후보"</formula>
    </cfRule>
  </conditionalFormatting>
  <conditionalFormatting sqref="AC18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6">
    <cfRule type="expression" priority="909" dxfId="3">
      <formula>AND(IF(OR($Q186=1,$Q186=2),1,0),IF($X186&lt;=20,1,0))</formula>
    </cfRule>
    <cfRule type="expression" priority="910" dxfId="2">
      <formula>AND(IF($Q186=2,1,0),IF($X186&lt;30,1,0))</formula>
    </cfRule>
    <cfRule type="expression" priority="911" dxfId="1">
      <formula>AND(IF($Q186=3,1,0),IF($X186&lt;30,1,0))</formula>
    </cfRule>
    <cfRule type="expression" priority="912" dxfId="0">
      <formula>AND(IF($Q186=3,1,IF($Q186=4,1,0)),IF($F186&lt;=85,1,0))</formula>
    </cfRule>
  </conditionalFormatting>
  <conditionalFormatting sqref="X186">
    <cfRule type="expression" priority="905" dxfId="3">
      <formula>AND(IF(OR($Q186=1,$Q186=2),1,0),IF($X186&lt;=20,1,0))</formula>
    </cfRule>
    <cfRule type="expression" priority="906" dxfId="2">
      <formula>AND(IF($Q186=2,1,0),IF($X186&lt;30,1,0))</formula>
    </cfRule>
    <cfRule type="expression" priority="907" dxfId="1">
      <formula>AND(IF($Q186=3,1,0),IF($X186&lt;30,1,0))</formula>
    </cfRule>
    <cfRule type="expression" priority="908" dxfId="0">
      <formula>AND(IF($Q186=3,1,IF($Q186=4,1,0)),IF($F186&lt;=85,1,0))</formula>
    </cfRule>
  </conditionalFormatting>
  <conditionalFormatting sqref="AI186">
    <cfRule type="expression" priority="901" dxfId="3">
      <formula>AND(IF(OR($Q186=1,$Q186=2),1,0),IF($X186&lt;=20,1,0))</formula>
    </cfRule>
    <cfRule type="expression" priority="902" dxfId="2">
      <formula>AND(IF($Q186=2,1,0),IF($X186&lt;30,1,0))</formula>
    </cfRule>
    <cfRule type="expression" priority="903" dxfId="1">
      <formula>AND(IF($Q186=3,1,0),IF($X186&lt;30,1,0))</formula>
    </cfRule>
    <cfRule type="expression" priority="904" dxfId="0">
      <formula>AND(IF($Q186=3,1,IF($Q186=4,1,0)),IF($F186&lt;=85,1,0))</formula>
    </cfRule>
  </conditionalFormatting>
  <conditionalFormatting sqref="AV187">
    <cfRule type="expression" priority="899" dxfId="23">
      <formula>AV187="X"</formula>
    </cfRule>
    <cfRule type="expression" priority="900" dxfId="22">
      <formula>AV187="후보"</formula>
    </cfRule>
  </conditionalFormatting>
  <conditionalFormatting sqref="AC18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87">
    <cfRule type="expression" priority="891" dxfId="3">
      <formula>AND(IF(OR($Q187=1,$Q187=2),1,0),IF($X187&lt;=20,1,0))</formula>
    </cfRule>
    <cfRule type="expression" priority="892" dxfId="2">
      <formula>AND(IF($Q187=2,1,0),IF($X187&lt;30,1,0))</formula>
    </cfRule>
    <cfRule type="expression" priority="893" dxfId="1">
      <formula>AND(IF($Q187=3,1,0),IF($X187&lt;30,1,0))</formula>
    </cfRule>
    <cfRule type="expression" priority="894" dxfId="0">
      <formula>AND(IF($Q187=3,1,IF($Q187=4,1,0)),IF($F187&lt;=85,1,0))</formula>
    </cfRule>
  </conditionalFormatting>
  <conditionalFormatting sqref="X187">
    <cfRule type="expression" priority="887" dxfId="3">
      <formula>AND(IF(OR($Q187=1,$Q187=2),1,0),IF($X187&lt;=20,1,0))</formula>
    </cfRule>
    <cfRule type="expression" priority="888" dxfId="2">
      <formula>AND(IF($Q187=2,1,0),IF($X187&lt;30,1,0))</formula>
    </cfRule>
    <cfRule type="expression" priority="889" dxfId="1">
      <formula>AND(IF($Q187=3,1,0),IF($X187&lt;30,1,0))</formula>
    </cfRule>
    <cfRule type="expression" priority="890" dxfId="0">
      <formula>AND(IF($Q187=3,1,IF($Q187=4,1,0)),IF($F187&lt;=85,1,0))</formula>
    </cfRule>
  </conditionalFormatting>
  <conditionalFormatting sqref="AI187">
    <cfRule type="expression" priority="883" dxfId="3">
      <formula>AND(IF(OR($Q187=1,$Q187=2),1,0),IF($X187&lt;=20,1,0))</formula>
    </cfRule>
    <cfRule type="expression" priority="884" dxfId="2">
      <formula>AND(IF($Q187=2,1,0),IF($X187&lt;30,1,0))</formula>
    </cfRule>
    <cfRule type="expression" priority="885" dxfId="1">
      <formula>AND(IF($Q187=3,1,0),IF($X187&lt;30,1,0))</formula>
    </cfRule>
    <cfRule type="expression" priority="886" dxfId="0">
      <formula>AND(IF($Q187=3,1,IF($Q187=4,1,0)),IF($F187&lt;=85,1,0))</formula>
    </cfRule>
  </conditionalFormatting>
  <conditionalFormatting sqref="AV188">
    <cfRule type="expression" priority="881" dxfId="23">
      <formula>AV188="X"</formula>
    </cfRule>
    <cfRule type="expression" priority="882" dxfId="22">
      <formula>AV188="후보"</formula>
    </cfRule>
  </conditionalFormatting>
  <conditionalFormatting sqref="AC18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88">
    <cfRule type="expression" priority="873" dxfId="3">
      <formula>AND(IF(OR($Q188=1,$Q188=2),1,0),IF($X188&lt;=20,1,0))</formula>
    </cfRule>
    <cfRule type="expression" priority="874" dxfId="2">
      <formula>AND(IF($Q188=2,1,0),IF($X188&lt;30,1,0))</formula>
    </cfRule>
    <cfRule type="expression" priority="875" dxfId="1">
      <formula>AND(IF($Q188=3,1,0),IF($X188&lt;30,1,0))</formula>
    </cfRule>
    <cfRule type="expression" priority="876" dxfId="0">
      <formula>AND(IF($Q188=3,1,IF($Q188=4,1,0)),IF($F188&lt;=85,1,0))</formula>
    </cfRule>
  </conditionalFormatting>
  <conditionalFormatting sqref="X188">
    <cfRule type="expression" priority="869" dxfId="3">
      <formula>AND(IF(OR($Q188=1,$Q188=2),1,0),IF($X188&lt;=20,1,0))</formula>
    </cfRule>
    <cfRule type="expression" priority="870" dxfId="2">
      <formula>AND(IF($Q188=2,1,0),IF($X188&lt;30,1,0))</formula>
    </cfRule>
    <cfRule type="expression" priority="871" dxfId="1">
      <formula>AND(IF($Q188=3,1,0),IF($X188&lt;30,1,0))</formula>
    </cfRule>
    <cfRule type="expression" priority="872" dxfId="0">
      <formula>AND(IF($Q188=3,1,IF($Q188=4,1,0)),IF($F188&lt;=85,1,0))</formula>
    </cfRule>
  </conditionalFormatting>
  <conditionalFormatting sqref="AI188">
    <cfRule type="expression" priority="865" dxfId="3">
      <formula>AND(IF(OR($Q188=1,$Q188=2),1,0),IF($X188&lt;=20,1,0))</formula>
    </cfRule>
    <cfRule type="expression" priority="866" dxfId="2">
      <formula>AND(IF($Q188=2,1,0),IF($X188&lt;30,1,0))</formula>
    </cfRule>
    <cfRule type="expression" priority="867" dxfId="1">
      <formula>AND(IF($Q188=3,1,0),IF($X188&lt;30,1,0))</formula>
    </cfRule>
    <cfRule type="expression" priority="868" dxfId="0">
      <formula>AND(IF($Q188=3,1,IF($Q188=4,1,0)),IF($F188&lt;=85,1,0))</formula>
    </cfRule>
  </conditionalFormatting>
  <conditionalFormatting sqref="AV189">
    <cfRule type="expression" priority="863" dxfId="23">
      <formula>AV189="X"</formula>
    </cfRule>
    <cfRule type="expression" priority="864" dxfId="22">
      <formula>AV189="후보"</formula>
    </cfRule>
  </conditionalFormatting>
  <conditionalFormatting sqref="AC18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89">
    <cfRule type="expression" priority="855" dxfId="3">
      <formula>AND(IF(OR($Q189=1,$Q189=2),1,0),IF($X189&lt;=20,1,0))</formula>
    </cfRule>
    <cfRule type="expression" priority="856" dxfId="2">
      <formula>AND(IF($Q189=2,1,0),IF($X189&lt;30,1,0))</formula>
    </cfRule>
    <cfRule type="expression" priority="857" dxfId="1">
      <formula>AND(IF($Q189=3,1,0),IF($X189&lt;30,1,0))</formula>
    </cfRule>
    <cfRule type="expression" priority="858" dxfId="0">
      <formula>AND(IF($Q189=3,1,IF($Q189=4,1,0)),IF($F189&lt;=85,1,0))</formula>
    </cfRule>
  </conditionalFormatting>
  <conditionalFormatting sqref="X189">
    <cfRule type="expression" priority="851" dxfId="3">
      <formula>AND(IF(OR($Q189=1,$Q189=2),1,0),IF($X189&lt;=20,1,0))</formula>
    </cfRule>
    <cfRule type="expression" priority="852" dxfId="2">
      <formula>AND(IF($Q189=2,1,0),IF($X189&lt;30,1,0))</formula>
    </cfRule>
    <cfRule type="expression" priority="853" dxfId="1">
      <formula>AND(IF($Q189=3,1,0),IF($X189&lt;30,1,0))</formula>
    </cfRule>
    <cfRule type="expression" priority="854" dxfId="0">
      <formula>AND(IF($Q189=3,1,IF($Q189=4,1,0)),IF($F189&lt;=85,1,0))</formula>
    </cfRule>
  </conditionalFormatting>
  <conditionalFormatting sqref="AI189">
    <cfRule type="expression" priority="847" dxfId="3">
      <formula>AND(IF(OR($Q189=1,$Q189=2),1,0),IF($X189&lt;=20,1,0))</formula>
    </cfRule>
    <cfRule type="expression" priority="848" dxfId="2">
      <formula>AND(IF($Q189=2,1,0),IF($X189&lt;30,1,0))</formula>
    </cfRule>
    <cfRule type="expression" priority="849" dxfId="1">
      <formula>AND(IF($Q189=3,1,0),IF($X189&lt;30,1,0))</formula>
    </cfRule>
    <cfRule type="expression" priority="850" dxfId="0">
      <formula>AND(IF($Q189=3,1,IF($Q189=4,1,0)),IF($F189&lt;=85,1,0))</formula>
    </cfRule>
  </conditionalFormatting>
  <conditionalFormatting sqref="AV190">
    <cfRule type="expression" priority="845" dxfId="23">
      <formula>AV190="X"</formula>
    </cfRule>
    <cfRule type="expression" priority="846" dxfId="22">
      <formula>AV190="후보"</formula>
    </cfRule>
  </conditionalFormatting>
  <conditionalFormatting sqref="AC19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0">
    <cfRule type="expression" priority="837" dxfId="3">
      <formula>AND(IF(OR($Q190=1,$Q190=2),1,0),IF($X190&lt;=20,1,0))</formula>
    </cfRule>
    <cfRule type="expression" priority="838" dxfId="2">
      <formula>AND(IF($Q190=2,1,0),IF($X190&lt;30,1,0))</formula>
    </cfRule>
    <cfRule type="expression" priority="839" dxfId="1">
      <formula>AND(IF($Q190=3,1,0),IF($X190&lt;30,1,0))</formula>
    </cfRule>
    <cfRule type="expression" priority="840" dxfId="0">
      <formula>AND(IF($Q190=3,1,IF($Q190=4,1,0)),IF($F190&lt;=85,1,0))</formula>
    </cfRule>
  </conditionalFormatting>
  <conditionalFormatting sqref="X190">
    <cfRule type="expression" priority="833" dxfId="3">
      <formula>AND(IF(OR($Q190=1,$Q190=2),1,0),IF($X190&lt;=20,1,0))</formula>
    </cfRule>
    <cfRule type="expression" priority="834" dxfId="2">
      <formula>AND(IF($Q190=2,1,0),IF($X190&lt;30,1,0))</formula>
    </cfRule>
    <cfRule type="expression" priority="835" dxfId="1">
      <formula>AND(IF($Q190=3,1,0),IF($X190&lt;30,1,0))</formula>
    </cfRule>
    <cfRule type="expression" priority="836" dxfId="0">
      <formula>AND(IF($Q190=3,1,IF($Q190=4,1,0)),IF($F190&lt;=85,1,0))</formula>
    </cfRule>
  </conditionalFormatting>
  <conditionalFormatting sqref="AI190">
    <cfRule type="expression" priority="829" dxfId="3">
      <formula>AND(IF(OR($Q190=1,$Q190=2),1,0),IF($X190&lt;=20,1,0))</formula>
    </cfRule>
    <cfRule type="expression" priority="830" dxfId="2">
      <formula>AND(IF($Q190=2,1,0),IF($X190&lt;30,1,0))</formula>
    </cfRule>
    <cfRule type="expression" priority="831" dxfId="1">
      <formula>AND(IF($Q190=3,1,0),IF($X190&lt;30,1,0))</formula>
    </cfRule>
    <cfRule type="expression" priority="832" dxfId="0">
      <formula>AND(IF($Q190=3,1,IF($Q190=4,1,0)),IF($F190&lt;=85,1,0))</formula>
    </cfRule>
  </conditionalFormatting>
  <conditionalFormatting sqref="AV191">
    <cfRule type="expression" priority="827" dxfId="23">
      <formula>AV191="X"</formula>
    </cfRule>
    <cfRule type="expression" priority="828" dxfId="22">
      <formula>AV191="후보"</formula>
    </cfRule>
  </conditionalFormatting>
  <conditionalFormatting sqref="AC19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1">
    <cfRule type="expression" priority="819" dxfId="3">
      <formula>AND(IF(OR($Q191=1,$Q191=2),1,0),IF($X191&lt;=20,1,0))</formula>
    </cfRule>
    <cfRule type="expression" priority="820" dxfId="2">
      <formula>AND(IF($Q191=2,1,0),IF($X191&lt;30,1,0))</formula>
    </cfRule>
    <cfRule type="expression" priority="821" dxfId="1">
      <formula>AND(IF($Q191=3,1,0),IF($X191&lt;30,1,0))</formula>
    </cfRule>
    <cfRule type="expression" priority="822" dxfId="0">
      <formula>AND(IF($Q191=3,1,IF($Q191=4,1,0)),IF($F191&lt;=85,1,0))</formula>
    </cfRule>
  </conditionalFormatting>
  <conditionalFormatting sqref="X191">
    <cfRule type="expression" priority="815" dxfId="3">
      <formula>AND(IF(OR($Q191=1,$Q191=2),1,0),IF($X191&lt;=20,1,0))</formula>
    </cfRule>
    <cfRule type="expression" priority="816" dxfId="2">
      <formula>AND(IF($Q191=2,1,0),IF($X191&lt;30,1,0))</formula>
    </cfRule>
    <cfRule type="expression" priority="817" dxfId="1">
      <formula>AND(IF($Q191=3,1,0),IF($X191&lt;30,1,0))</formula>
    </cfRule>
    <cfRule type="expression" priority="818" dxfId="0">
      <formula>AND(IF($Q191=3,1,IF($Q191=4,1,0)),IF($F191&lt;=85,1,0))</formula>
    </cfRule>
  </conditionalFormatting>
  <conditionalFormatting sqref="AI191">
    <cfRule type="expression" priority="811" dxfId="3">
      <formula>AND(IF(OR($Q191=1,$Q191=2),1,0),IF($X191&lt;=20,1,0))</formula>
    </cfRule>
    <cfRule type="expression" priority="812" dxfId="2">
      <formula>AND(IF($Q191=2,1,0),IF($X191&lt;30,1,0))</formula>
    </cfRule>
    <cfRule type="expression" priority="813" dxfId="1">
      <formula>AND(IF($Q191=3,1,0),IF($X191&lt;30,1,0))</formula>
    </cfRule>
    <cfRule type="expression" priority="814" dxfId="0">
      <formula>AND(IF($Q191=3,1,IF($Q191=4,1,0)),IF($F191&lt;=85,1,0))</formula>
    </cfRule>
  </conditionalFormatting>
  <conditionalFormatting sqref="AV192">
    <cfRule type="expression" priority="809" dxfId="23">
      <formula>AV192="X"</formula>
    </cfRule>
    <cfRule type="expression" priority="810" dxfId="22">
      <formula>AV192="후보"</formula>
    </cfRule>
  </conditionalFormatting>
  <conditionalFormatting sqref="AC19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2">
    <cfRule type="expression" priority="801" dxfId="3">
      <formula>AND(IF(OR($Q192=1,$Q192=2),1,0),IF($X192&lt;=20,1,0))</formula>
    </cfRule>
    <cfRule type="expression" priority="802" dxfId="2">
      <formula>AND(IF($Q192=2,1,0),IF($X192&lt;30,1,0))</formula>
    </cfRule>
    <cfRule type="expression" priority="803" dxfId="1">
      <formula>AND(IF($Q192=3,1,0),IF($X192&lt;30,1,0))</formula>
    </cfRule>
    <cfRule type="expression" priority="804" dxfId="0">
      <formula>AND(IF($Q192=3,1,IF($Q192=4,1,0)),IF($F192&lt;=85,1,0))</formula>
    </cfRule>
  </conditionalFormatting>
  <conditionalFormatting sqref="X192">
    <cfRule type="expression" priority="797" dxfId="3">
      <formula>AND(IF(OR($Q192=1,$Q192=2),1,0),IF($X192&lt;=20,1,0))</formula>
    </cfRule>
    <cfRule type="expression" priority="798" dxfId="2">
      <formula>AND(IF($Q192=2,1,0),IF($X192&lt;30,1,0))</formula>
    </cfRule>
    <cfRule type="expression" priority="799" dxfId="1">
      <formula>AND(IF($Q192=3,1,0),IF($X192&lt;30,1,0))</formula>
    </cfRule>
    <cfRule type="expression" priority="800" dxfId="0">
      <formula>AND(IF($Q192=3,1,IF($Q192=4,1,0)),IF($F192&lt;=85,1,0))</formula>
    </cfRule>
  </conditionalFormatting>
  <conditionalFormatting sqref="AI192">
    <cfRule type="expression" priority="793" dxfId="3">
      <formula>AND(IF(OR($Q192=1,$Q192=2),1,0),IF($X192&lt;=20,1,0))</formula>
    </cfRule>
    <cfRule type="expression" priority="794" dxfId="2">
      <formula>AND(IF($Q192=2,1,0),IF($X192&lt;30,1,0))</formula>
    </cfRule>
    <cfRule type="expression" priority="795" dxfId="1">
      <formula>AND(IF($Q192=3,1,0),IF($X192&lt;30,1,0))</formula>
    </cfRule>
    <cfRule type="expression" priority="796" dxfId="0">
      <formula>AND(IF($Q192=3,1,IF($Q192=4,1,0)),IF($F192&lt;=85,1,0))</formula>
    </cfRule>
  </conditionalFormatting>
  <conditionalFormatting sqref="AV193">
    <cfRule type="expression" priority="791" dxfId="23">
      <formula>AV193="X"</formula>
    </cfRule>
    <cfRule type="expression" priority="792" dxfId="22">
      <formula>AV193="후보"</formula>
    </cfRule>
  </conditionalFormatting>
  <conditionalFormatting sqref="AC19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93">
    <cfRule type="expression" priority="783" dxfId="3">
      <formula>AND(IF(OR($Q193=1,$Q193=2),1,0),IF($X193&lt;=20,1,0))</formula>
    </cfRule>
    <cfRule type="expression" priority="784" dxfId="2">
      <formula>AND(IF($Q193=2,1,0),IF($X193&lt;30,1,0))</formula>
    </cfRule>
    <cfRule type="expression" priority="785" dxfId="1">
      <formula>AND(IF($Q193=3,1,0),IF($X193&lt;30,1,0))</formula>
    </cfRule>
    <cfRule type="expression" priority="786" dxfId="0">
      <formula>AND(IF($Q193=3,1,IF($Q193=4,1,0)),IF($F193&lt;=85,1,0))</formula>
    </cfRule>
  </conditionalFormatting>
  <conditionalFormatting sqref="X193">
    <cfRule type="expression" priority="779" dxfId="3">
      <formula>AND(IF(OR($Q193=1,$Q193=2),1,0),IF($X193&lt;=20,1,0))</formula>
    </cfRule>
    <cfRule type="expression" priority="780" dxfId="2">
      <formula>AND(IF($Q193=2,1,0),IF($X193&lt;30,1,0))</formula>
    </cfRule>
    <cfRule type="expression" priority="781" dxfId="1">
      <formula>AND(IF($Q193=3,1,0),IF($X193&lt;30,1,0))</formula>
    </cfRule>
    <cfRule type="expression" priority="782" dxfId="0">
      <formula>AND(IF($Q193=3,1,IF($Q193=4,1,0)),IF($F193&lt;=85,1,0))</formula>
    </cfRule>
  </conditionalFormatting>
  <conditionalFormatting sqref="AI193">
    <cfRule type="expression" priority="775" dxfId="3">
      <formula>AND(IF(OR($Q193=1,$Q193=2),1,0),IF($X193&lt;=20,1,0))</formula>
    </cfRule>
    <cfRule type="expression" priority="776" dxfId="2">
      <formula>AND(IF($Q193=2,1,0),IF($X193&lt;30,1,0))</formula>
    </cfRule>
    <cfRule type="expression" priority="777" dxfId="1">
      <formula>AND(IF($Q193=3,1,0),IF($X193&lt;30,1,0))</formula>
    </cfRule>
    <cfRule type="expression" priority="778" dxfId="0">
      <formula>AND(IF($Q193=3,1,IF($Q193=4,1,0)),IF($F193&lt;=85,1,0))</formula>
    </cfRule>
  </conditionalFormatting>
  <conditionalFormatting sqref="AV194">
    <cfRule type="expression" priority="773" dxfId="23">
      <formula>AV194="X"</formula>
    </cfRule>
    <cfRule type="expression" priority="774" dxfId="22">
      <formula>AV194="후보"</formula>
    </cfRule>
  </conditionalFormatting>
  <conditionalFormatting sqref="AC19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94">
    <cfRule type="expression" priority="765" dxfId="3">
      <formula>AND(IF(OR($Q194=1,$Q194=2),1,0),IF($X194&lt;=20,1,0))</formula>
    </cfRule>
    <cfRule type="expression" priority="766" dxfId="2">
      <formula>AND(IF($Q194=2,1,0),IF($X194&lt;30,1,0))</formula>
    </cfRule>
    <cfRule type="expression" priority="767" dxfId="1">
      <formula>AND(IF($Q194=3,1,0),IF($X194&lt;30,1,0))</formula>
    </cfRule>
    <cfRule type="expression" priority="768" dxfId="0">
      <formula>AND(IF($Q194=3,1,IF($Q194=4,1,0)),IF($F194&lt;=85,1,0))</formula>
    </cfRule>
  </conditionalFormatting>
  <conditionalFormatting sqref="X194">
    <cfRule type="expression" priority="761" dxfId="3">
      <formula>AND(IF(OR($Q194=1,$Q194=2),1,0),IF($X194&lt;=20,1,0))</formula>
    </cfRule>
    <cfRule type="expression" priority="762" dxfId="2">
      <formula>AND(IF($Q194=2,1,0),IF($X194&lt;30,1,0))</formula>
    </cfRule>
    <cfRule type="expression" priority="763" dxfId="1">
      <formula>AND(IF($Q194=3,1,0),IF($X194&lt;30,1,0))</formula>
    </cfRule>
    <cfRule type="expression" priority="764" dxfId="0">
      <formula>AND(IF($Q194=3,1,IF($Q194=4,1,0)),IF($F194&lt;=85,1,0))</formula>
    </cfRule>
  </conditionalFormatting>
  <conditionalFormatting sqref="AI194">
    <cfRule type="expression" priority="757" dxfId="3">
      <formula>AND(IF(OR($Q194=1,$Q194=2),1,0),IF($X194&lt;=20,1,0))</formula>
    </cfRule>
    <cfRule type="expression" priority="758" dxfId="2">
      <formula>AND(IF($Q194=2,1,0),IF($X194&lt;30,1,0))</formula>
    </cfRule>
    <cfRule type="expression" priority="759" dxfId="1">
      <formula>AND(IF($Q194=3,1,0),IF($X194&lt;30,1,0))</formula>
    </cfRule>
    <cfRule type="expression" priority="760" dxfId="0">
      <formula>AND(IF($Q194=3,1,IF($Q194=4,1,0)),IF($F194&lt;=85,1,0))</formula>
    </cfRule>
  </conditionalFormatting>
  <conditionalFormatting sqref="AV195">
    <cfRule type="expression" priority="755" dxfId="23">
      <formula>AV195="X"</formula>
    </cfRule>
    <cfRule type="expression" priority="756" dxfId="22">
      <formula>AV195="후보"</formula>
    </cfRule>
  </conditionalFormatting>
  <conditionalFormatting sqref="AC19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95">
    <cfRule type="expression" priority="747" dxfId="3">
      <formula>AND(IF(OR($Q195=1,$Q195=2),1,0),IF($X195&lt;=20,1,0))</formula>
    </cfRule>
    <cfRule type="expression" priority="748" dxfId="2">
      <formula>AND(IF($Q195=2,1,0),IF($X195&lt;30,1,0))</formula>
    </cfRule>
    <cfRule type="expression" priority="749" dxfId="1">
      <formula>AND(IF($Q195=3,1,0),IF($X195&lt;30,1,0))</formula>
    </cfRule>
    <cfRule type="expression" priority="750" dxfId="0">
      <formula>AND(IF($Q195=3,1,IF($Q195=4,1,0)),IF($F195&lt;=85,1,0))</formula>
    </cfRule>
  </conditionalFormatting>
  <conditionalFormatting sqref="X195">
    <cfRule type="expression" priority="743" dxfId="3">
      <formula>AND(IF(OR($Q195=1,$Q195=2),1,0),IF($X195&lt;=20,1,0))</formula>
    </cfRule>
    <cfRule type="expression" priority="744" dxfId="2">
      <formula>AND(IF($Q195=2,1,0),IF($X195&lt;30,1,0))</formula>
    </cfRule>
    <cfRule type="expression" priority="745" dxfId="1">
      <formula>AND(IF($Q195=3,1,0),IF($X195&lt;30,1,0))</formula>
    </cfRule>
    <cfRule type="expression" priority="746" dxfId="0">
      <formula>AND(IF($Q195=3,1,IF($Q195=4,1,0)),IF($F195&lt;=85,1,0))</formula>
    </cfRule>
  </conditionalFormatting>
  <conditionalFormatting sqref="AI195">
    <cfRule type="expression" priority="739" dxfId="3">
      <formula>AND(IF(OR($Q195=1,$Q195=2),1,0),IF($X195&lt;=20,1,0))</formula>
    </cfRule>
    <cfRule type="expression" priority="740" dxfId="2">
      <formula>AND(IF($Q195=2,1,0),IF($X195&lt;30,1,0))</formula>
    </cfRule>
    <cfRule type="expression" priority="741" dxfId="1">
      <formula>AND(IF($Q195=3,1,0),IF($X195&lt;30,1,0))</formula>
    </cfRule>
    <cfRule type="expression" priority="742" dxfId="0">
      <formula>AND(IF($Q195=3,1,IF($Q195=4,1,0)),IF($F195&lt;=85,1,0))</formula>
    </cfRule>
  </conditionalFormatting>
  <conditionalFormatting sqref="AV196">
    <cfRule type="expression" priority="737" dxfId="23">
      <formula>AV196="X"</formula>
    </cfRule>
    <cfRule type="expression" priority="738" dxfId="22">
      <formula>AV196="후보"</formula>
    </cfRule>
  </conditionalFormatting>
  <conditionalFormatting sqref="AC19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96">
    <cfRule type="expression" priority="729" dxfId="3">
      <formula>AND(IF(OR($Q196=1,$Q196=2),1,0),IF($X196&lt;=20,1,0))</formula>
    </cfRule>
    <cfRule type="expression" priority="730" dxfId="2">
      <formula>AND(IF($Q196=2,1,0),IF($X196&lt;30,1,0))</formula>
    </cfRule>
    <cfRule type="expression" priority="731" dxfId="1">
      <formula>AND(IF($Q196=3,1,0),IF($X196&lt;30,1,0))</formula>
    </cfRule>
    <cfRule type="expression" priority="732" dxfId="0">
      <formula>AND(IF($Q196=3,1,IF($Q196=4,1,0)),IF($F196&lt;=85,1,0))</formula>
    </cfRule>
  </conditionalFormatting>
  <conditionalFormatting sqref="X196">
    <cfRule type="expression" priority="725" dxfId="3">
      <formula>AND(IF(OR($Q196=1,$Q196=2),1,0),IF($X196&lt;=20,1,0))</formula>
    </cfRule>
    <cfRule type="expression" priority="726" dxfId="2">
      <formula>AND(IF($Q196=2,1,0),IF($X196&lt;30,1,0))</formula>
    </cfRule>
    <cfRule type="expression" priority="727" dxfId="1">
      <formula>AND(IF($Q196=3,1,0),IF($X196&lt;30,1,0))</formula>
    </cfRule>
    <cfRule type="expression" priority="728" dxfId="0">
      <formula>AND(IF($Q196=3,1,IF($Q196=4,1,0)),IF($F196&lt;=85,1,0))</formula>
    </cfRule>
  </conditionalFormatting>
  <conditionalFormatting sqref="AI196">
    <cfRule type="expression" priority="721" dxfId="3">
      <formula>AND(IF(OR($Q196=1,$Q196=2),1,0),IF($X196&lt;=20,1,0))</formula>
    </cfRule>
    <cfRule type="expression" priority="722" dxfId="2">
      <formula>AND(IF($Q196=2,1,0),IF($X196&lt;30,1,0))</formula>
    </cfRule>
    <cfRule type="expression" priority="723" dxfId="1">
      <formula>AND(IF($Q196=3,1,0),IF($X196&lt;30,1,0))</formula>
    </cfRule>
    <cfRule type="expression" priority="724" dxfId="0">
      <formula>AND(IF($Q196=3,1,IF($Q196=4,1,0)),IF($F196&lt;=85,1,0))</formula>
    </cfRule>
  </conditionalFormatting>
  <conditionalFormatting sqref="AV197">
    <cfRule type="expression" priority="719" dxfId="23">
      <formula>AV197="X"</formula>
    </cfRule>
    <cfRule type="expression" priority="720" dxfId="22">
      <formula>AV197="후보"</formula>
    </cfRule>
  </conditionalFormatting>
  <conditionalFormatting sqref="AC19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97">
    <cfRule type="expression" priority="711" dxfId="3">
      <formula>AND(IF(OR($Q197=1,$Q197=2),1,0),IF($X197&lt;=20,1,0))</formula>
    </cfRule>
    <cfRule type="expression" priority="712" dxfId="2">
      <formula>AND(IF($Q197=2,1,0),IF($X197&lt;30,1,0))</formula>
    </cfRule>
    <cfRule type="expression" priority="713" dxfId="1">
      <formula>AND(IF($Q197=3,1,0),IF($X197&lt;30,1,0))</formula>
    </cfRule>
    <cfRule type="expression" priority="714" dxfId="0">
      <formula>AND(IF($Q197=3,1,IF($Q197=4,1,0)),IF($F197&lt;=85,1,0))</formula>
    </cfRule>
  </conditionalFormatting>
  <conditionalFormatting sqref="X197">
    <cfRule type="expression" priority="707" dxfId="3">
      <formula>AND(IF(OR($Q197=1,$Q197=2),1,0),IF($X197&lt;=20,1,0))</formula>
    </cfRule>
    <cfRule type="expression" priority="708" dxfId="2">
      <formula>AND(IF($Q197=2,1,0),IF($X197&lt;30,1,0))</formula>
    </cfRule>
    <cfRule type="expression" priority="709" dxfId="1">
      <formula>AND(IF($Q197=3,1,0),IF($X197&lt;30,1,0))</formula>
    </cfRule>
    <cfRule type="expression" priority="710" dxfId="0">
      <formula>AND(IF($Q197=3,1,IF($Q197=4,1,0)),IF($F197&lt;=85,1,0))</formula>
    </cfRule>
  </conditionalFormatting>
  <conditionalFormatting sqref="AI197">
    <cfRule type="expression" priority="703" dxfId="3">
      <formula>AND(IF(OR($Q197=1,$Q197=2),1,0),IF($X197&lt;=20,1,0))</formula>
    </cfRule>
    <cfRule type="expression" priority="704" dxfId="2">
      <formula>AND(IF($Q197=2,1,0),IF($X197&lt;30,1,0))</formula>
    </cfRule>
    <cfRule type="expression" priority="705" dxfId="1">
      <formula>AND(IF($Q197=3,1,0),IF($X197&lt;30,1,0))</formula>
    </cfRule>
    <cfRule type="expression" priority="706" dxfId="0">
      <formula>AND(IF($Q197=3,1,IF($Q197=4,1,0)),IF($F197&lt;=85,1,0))</formula>
    </cfRule>
  </conditionalFormatting>
  <conditionalFormatting sqref="AV198">
    <cfRule type="expression" priority="701" dxfId="23">
      <formula>AV198="X"</formula>
    </cfRule>
    <cfRule type="expression" priority="702" dxfId="22">
      <formula>AV198="후보"</formula>
    </cfRule>
  </conditionalFormatting>
  <conditionalFormatting sqref="AC19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98">
    <cfRule type="expression" priority="693" dxfId="3">
      <formula>AND(IF(OR($Q198=1,$Q198=2),1,0),IF($X198&lt;=20,1,0))</formula>
    </cfRule>
    <cfRule type="expression" priority="694" dxfId="2">
      <formula>AND(IF($Q198=2,1,0),IF($X198&lt;30,1,0))</formula>
    </cfRule>
    <cfRule type="expression" priority="695" dxfId="1">
      <formula>AND(IF($Q198=3,1,0),IF($X198&lt;30,1,0))</formula>
    </cfRule>
    <cfRule type="expression" priority="696" dxfId="0">
      <formula>AND(IF($Q198=3,1,IF($Q198=4,1,0)),IF($F198&lt;=85,1,0))</formula>
    </cfRule>
  </conditionalFormatting>
  <conditionalFormatting sqref="X198">
    <cfRule type="expression" priority="689" dxfId="3">
      <formula>AND(IF(OR($Q198=1,$Q198=2),1,0),IF($X198&lt;=20,1,0))</formula>
    </cfRule>
    <cfRule type="expression" priority="690" dxfId="2">
      <formula>AND(IF($Q198=2,1,0),IF($X198&lt;30,1,0))</formula>
    </cfRule>
    <cfRule type="expression" priority="691" dxfId="1">
      <formula>AND(IF($Q198=3,1,0),IF($X198&lt;30,1,0))</formula>
    </cfRule>
    <cfRule type="expression" priority="692" dxfId="0">
      <formula>AND(IF($Q198=3,1,IF($Q198=4,1,0)),IF($F198&lt;=85,1,0))</formula>
    </cfRule>
  </conditionalFormatting>
  <conditionalFormatting sqref="AI198">
    <cfRule type="expression" priority="685" dxfId="3">
      <formula>AND(IF(OR($Q198=1,$Q198=2),1,0),IF($X198&lt;=20,1,0))</formula>
    </cfRule>
    <cfRule type="expression" priority="686" dxfId="2">
      <formula>AND(IF($Q198=2,1,0),IF($X198&lt;30,1,0))</formula>
    </cfRule>
    <cfRule type="expression" priority="687" dxfId="1">
      <formula>AND(IF($Q198=3,1,0),IF($X198&lt;30,1,0))</formula>
    </cfRule>
    <cfRule type="expression" priority="688" dxfId="0">
      <formula>AND(IF($Q198=3,1,IF($Q198=4,1,0)),IF($F198&lt;=85,1,0))</formula>
    </cfRule>
  </conditionalFormatting>
  <conditionalFormatting sqref="AV199">
    <cfRule type="expression" priority="683" dxfId="23">
      <formula>AV199="X"</formula>
    </cfRule>
    <cfRule type="expression" priority="684" dxfId="22">
      <formula>AV199="후보"</formula>
    </cfRule>
  </conditionalFormatting>
  <conditionalFormatting sqref="AC1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99">
    <cfRule type="expression" priority="675" dxfId="3">
      <formula>AND(IF(OR($Q199=1,$Q199=2),1,0),IF($X199&lt;=20,1,0))</formula>
    </cfRule>
    <cfRule type="expression" priority="676" dxfId="2">
      <formula>AND(IF($Q199=2,1,0),IF($X199&lt;30,1,0))</formula>
    </cfRule>
    <cfRule type="expression" priority="677" dxfId="1">
      <formula>AND(IF($Q199=3,1,0),IF($X199&lt;30,1,0))</formula>
    </cfRule>
    <cfRule type="expression" priority="678" dxfId="0">
      <formula>AND(IF($Q199=3,1,IF($Q199=4,1,0)),IF($F199&lt;=85,1,0))</formula>
    </cfRule>
  </conditionalFormatting>
  <conditionalFormatting sqref="X199">
    <cfRule type="expression" priority="671" dxfId="3">
      <formula>AND(IF(OR($Q199=1,$Q199=2),1,0),IF($X199&lt;=20,1,0))</formula>
    </cfRule>
    <cfRule type="expression" priority="672" dxfId="2">
      <formula>AND(IF($Q199=2,1,0),IF($X199&lt;30,1,0))</formula>
    </cfRule>
    <cfRule type="expression" priority="673" dxfId="1">
      <formula>AND(IF($Q199=3,1,0),IF($X199&lt;30,1,0))</formula>
    </cfRule>
    <cfRule type="expression" priority="674" dxfId="0">
      <formula>AND(IF($Q199=3,1,IF($Q199=4,1,0)),IF($F199&lt;=85,1,0))</formula>
    </cfRule>
  </conditionalFormatting>
  <conditionalFormatting sqref="AI199">
    <cfRule type="expression" priority="667" dxfId="3">
      <formula>AND(IF(OR($Q199=1,$Q199=2),1,0),IF($X199&lt;=20,1,0))</formula>
    </cfRule>
    <cfRule type="expression" priority="668" dxfId="2">
      <formula>AND(IF($Q199=2,1,0),IF($X199&lt;30,1,0))</formula>
    </cfRule>
    <cfRule type="expression" priority="669" dxfId="1">
      <formula>AND(IF($Q199=3,1,0),IF($X199&lt;30,1,0))</formula>
    </cfRule>
    <cfRule type="expression" priority="670" dxfId="0">
      <formula>AND(IF($Q199=3,1,IF($Q199=4,1,0)),IF($F199&lt;=85,1,0))</formula>
    </cfRule>
  </conditionalFormatting>
  <conditionalFormatting sqref="AV200">
    <cfRule type="expression" priority="665" dxfId="23">
      <formula>AV200="X"</formula>
    </cfRule>
    <cfRule type="expression" priority="666" dxfId="22">
      <formula>AV200="후보"</formula>
    </cfRule>
  </conditionalFormatting>
  <conditionalFormatting sqref="AC20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0">
    <cfRule type="expression" priority="657" dxfId="3">
      <formula>AND(IF(OR($Q200=1,$Q200=2),1,0),IF($X200&lt;=20,1,0))</formula>
    </cfRule>
    <cfRule type="expression" priority="658" dxfId="2">
      <formula>AND(IF($Q200=2,1,0),IF($X200&lt;30,1,0))</formula>
    </cfRule>
    <cfRule type="expression" priority="659" dxfId="1">
      <formula>AND(IF($Q200=3,1,0),IF($X200&lt;30,1,0))</formula>
    </cfRule>
    <cfRule type="expression" priority="660" dxfId="0">
      <formula>AND(IF($Q200=3,1,IF($Q200=4,1,0)),IF($F200&lt;=85,1,0))</formula>
    </cfRule>
  </conditionalFormatting>
  <conditionalFormatting sqref="X200">
    <cfRule type="expression" priority="653" dxfId="3">
      <formula>AND(IF(OR($Q200=1,$Q200=2),1,0),IF($X200&lt;=20,1,0))</formula>
    </cfRule>
    <cfRule type="expression" priority="654" dxfId="2">
      <formula>AND(IF($Q200=2,1,0),IF($X200&lt;30,1,0))</formula>
    </cfRule>
    <cfRule type="expression" priority="655" dxfId="1">
      <formula>AND(IF($Q200=3,1,0),IF($X200&lt;30,1,0))</formula>
    </cfRule>
    <cfRule type="expression" priority="656" dxfId="0">
      <formula>AND(IF($Q200=3,1,IF($Q200=4,1,0)),IF($F200&lt;=85,1,0))</formula>
    </cfRule>
  </conditionalFormatting>
  <conditionalFormatting sqref="AI200">
    <cfRule type="expression" priority="649" dxfId="3">
      <formula>AND(IF(OR($Q200=1,$Q200=2),1,0),IF($X200&lt;=20,1,0))</formula>
    </cfRule>
    <cfRule type="expression" priority="650" dxfId="2">
      <formula>AND(IF($Q200=2,1,0),IF($X200&lt;30,1,0))</formula>
    </cfRule>
    <cfRule type="expression" priority="651" dxfId="1">
      <formula>AND(IF($Q200=3,1,0),IF($X200&lt;30,1,0))</formula>
    </cfRule>
    <cfRule type="expression" priority="652" dxfId="0">
      <formula>AND(IF($Q200=3,1,IF($Q200=4,1,0)),IF($F200&lt;=85,1,0))</formula>
    </cfRule>
  </conditionalFormatting>
  <conditionalFormatting sqref="AV201">
    <cfRule type="expression" priority="647" dxfId="23">
      <formula>AV201="X"</formula>
    </cfRule>
    <cfRule type="expression" priority="648" dxfId="22">
      <formula>AV201="후보"</formula>
    </cfRule>
  </conditionalFormatting>
  <conditionalFormatting sqref="AC20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1">
    <cfRule type="expression" priority="639" dxfId="3">
      <formula>AND(IF(OR($Q201=1,$Q201=2),1,0),IF($X201&lt;=20,1,0))</formula>
    </cfRule>
    <cfRule type="expression" priority="640" dxfId="2">
      <formula>AND(IF($Q201=2,1,0),IF($X201&lt;30,1,0))</formula>
    </cfRule>
    <cfRule type="expression" priority="641" dxfId="1">
      <formula>AND(IF($Q201=3,1,0),IF($X201&lt;30,1,0))</formula>
    </cfRule>
    <cfRule type="expression" priority="642" dxfId="0">
      <formula>AND(IF($Q201=3,1,IF($Q201=4,1,0)),IF($F201&lt;=85,1,0))</formula>
    </cfRule>
  </conditionalFormatting>
  <conditionalFormatting sqref="X201">
    <cfRule type="expression" priority="635" dxfId="3">
      <formula>AND(IF(OR($Q201=1,$Q201=2),1,0),IF($X201&lt;=20,1,0))</formula>
    </cfRule>
    <cfRule type="expression" priority="636" dxfId="2">
      <formula>AND(IF($Q201=2,1,0),IF($X201&lt;30,1,0))</formula>
    </cfRule>
    <cfRule type="expression" priority="637" dxfId="1">
      <formula>AND(IF($Q201=3,1,0),IF($X201&lt;30,1,0))</formula>
    </cfRule>
    <cfRule type="expression" priority="638" dxfId="0">
      <formula>AND(IF($Q201=3,1,IF($Q201=4,1,0)),IF($F201&lt;=85,1,0))</formula>
    </cfRule>
  </conditionalFormatting>
  <conditionalFormatting sqref="AI201">
    <cfRule type="expression" priority="631" dxfId="3">
      <formula>AND(IF(OR($Q201=1,$Q201=2),1,0),IF($X201&lt;=20,1,0))</formula>
    </cfRule>
    <cfRule type="expression" priority="632" dxfId="2">
      <formula>AND(IF($Q201=2,1,0),IF($X201&lt;30,1,0))</formula>
    </cfRule>
    <cfRule type="expression" priority="633" dxfId="1">
      <formula>AND(IF($Q201=3,1,0),IF($X201&lt;30,1,0))</formula>
    </cfRule>
    <cfRule type="expression" priority="634" dxfId="0">
      <formula>AND(IF($Q201=3,1,IF($Q201=4,1,0)),IF($F201&lt;=85,1,0))</formula>
    </cfRule>
  </conditionalFormatting>
  <conditionalFormatting sqref="AV202">
    <cfRule type="expression" priority="629" dxfId="23">
      <formula>AV202="X"</formula>
    </cfRule>
    <cfRule type="expression" priority="630" dxfId="22">
      <formula>AV202="후보"</formula>
    </cfRule>
  </conditionalFormatting>
  <conditionalFormatting sqref="AC20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2">
    <cfRule type="expression" priority="621" dxfId="3">
      <formula>AND(IF(OR($Q202=1,$Q202=2),1,0),IF($X202&lt;=20,1,0))</formula>
    </cfRule>
    <cfRule type="expression" priority="622" dxfId="2">
      <formula>AND(IF($Q202=2,1,0),IF($X202&lt;30,1,0))</formula>
    </cfRule>
    <cfRule type="expression" priority="623" dxfId="1">
      <formula>AND(IF($Q202=3,1,0),IF($X202&lt;30,1,0))</formula>
    </cfRule>
    <cfRule type="expression" priority="624" dxfId="0">
      <formula>AND(IF($Q202=3,1,IF($Q202=4,1,0)),IF($F202&lt;=85,1,0))</formula>
    </cfRule>
  </conditionalFormatting>
  <conditionalFormatting sqref="X202">
    <cfRule type="expression" priority="617" dxfId="3">
      <formula>AND(IF(OR($Q202=1,$Q202=2),1,0),IF($X202&lt;=20,1,0))</formula>
    </cfRule>
    <cfRule type="expression" priority="618" dxfId="2">
      <formula>AND(IF($Q202=2,1,0),IF($X202&lt;30,1,0))</formula>
    </cfRule>
    <cfRule type="expression" priority="619" dxfId="1">
      <formula>AND(IF($Q202=3,1,0),IF($X202&lt;30,1,0))</formula>
    </cfRule>
    <cfRule type="expression" priority="620" dxfId="0">
      <formula>AND(IF($Q202=3,1,IF($Q202=4,1,0)),IF($F202&lt;=85,1,0))</formula>
    </cfRule>
  </conditionalFormatting>
  <conditionalFormatting sqref="AI202">
    <cfRule type="expression" priority="613" dxfId="3">
      <formula>AND(IF(OR($Q202=1,$Q202=2),1,0),IF($X202&lt;=20,1,0))</formula>
    </cfRule>
    <cfRule type="expression" priority="614" dxfId="2">
      <formula>AND(IF($Q202=2,1,0),IF($X202&lt;30,1,0))</formula>
    </cfRule>
    <cfRule type="expression" priority="615" dxfId="1">
      <formula>AND(IF($Q202=3,1,0),IF($X202&lt;30,1,0))</formula>
    </cfRule>
    <cfRule type="expression" priority="616" dxfId="0">
      <formula>AND(IF($Q202=3,1,IF($Q202=4,1,0)),IF($F202&lt;=85,1,0))</formula>
    </cfRule>
  </conditionalFormatting>
  <conditionalFormatting sqref="AV203">
    <cfRule type="expression" priority="611" dxfId="23">
      <formula>AV203="X"</formula>
    </cfRule>
    <cfRule type="expression" priority="612" dxfId="22">
      <formula>AV203="후보"</formula>
    </cfRule>
  </conditionalFormatting>
  <conditionalFormatting sqref="AC20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03">
    <cfRule type="expression" priority="603" dxfId="3">
      <formula>AND(IF(OR($Q203=1,$Q203=2),1,0),IF($X203&lt;=20,1,0))</formula>
    </cfRule>
    <cfRule type="expression" priority="604" dxfId="2">
      <formula>AND(IF($Q203=2,1,0),IF($X203&lt;30,1,0))</formula>
    </cfRule>
    <cfRule type="expression" priority="605" dxfId="1">
      <formula>AND(IF($Q203=3,1,0),IF($X203&lt;30,1,0))</formula>
    </cfRule>
    <cfRule type="expression" priority="606" dxfId="0">
      <formula>AND(IF($Q203=3,1,IF($Q203=4,1,0)),IF($F203&lt;=85,1,0))</formula>
    </cfRule>
  </conditionalFormatting>
  <conditionalFormatting sqref="X203">
    <cfRule type="expression" priority="599" dxfId="3">
      <formula>AND(IF(OR($Q203=1,$Q203=2),1,0),IF($X203&lt;=20,1,0))</formula>
    </cfRule>
    <cfRule type="expression" priority="600" dxfId="2">
      <formula>AND(IF($Q203=2,1,0),IF($X203&lt;30,1,0))</formula>
    </cfRule>
    <cfRule type="expression" priority="601" dxfId="1">
      <formula>AND(IF($Q203=3,1,0),IF($X203&lt;30,1,0))</formula>
    </cfRule>
    <cfRule type="expression" priority="602" dxfId="0">
      <formula>AND(IF($Q203=3,1,IF($Q203=4,1,0)),IF($F203&lt;=85,1,0))</formula>
    </cfRule>
  </conditionalFormatting>
  <conditionalFormatting sqref="AI203">
    <cfRule type="expression" priority="595" dxfId="3">
      <formula>AND(IF(OR($Q203=1,$Q203=2),1,0),IF($X203&lt;=20,1,0))</formula>
    </cfRule>
    <cfRule type="expression" priority="596" dxfId="2">
      <formula>AND(IF($Q203=2,1,0),IF($X203&lt;30,1,0))</formula>
    </cfRule>
    <cfRule type="expression" priority="597" dxfId="1">
      <formula>AND(IF($Q203=3,1,0),IF($X203&lt;30,1,0))</formula>
    </cfRule>
    <cfRule type="expression" priority="598" dxfId="0">
      <formula>AND(IF($Q203=3,1,IF($Q203=4,1,0)),IF($F203&lt;=85,1,0))</formula>
    </cfRule>
  </conditionalFormatting>
  <conditionalFormatting sqref="AV204">
    <cfRule type="expression" priority="593" dxfId="23">
      <formula>AV204="X"</formula>
    </cfRule>
    <cfRule type="expression" priority="594" dxfId="22">
      <formula>AV204="후보"</formula>
    </cfRule>
  </conditionalFormatting>
  <conditionalFormatting sqref="AC20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4">
    <cfRule type="expression" priority="585" dxfId="3">
      <formula>AND(IF(OR($Q204=1,$Q204=2),1,0),IF($X204&lt;=20,1,0))</formula>
    </cfRule>
    <cfRule type="expression" priority="586" dxfId="2">
      <formula>AND(IF($Q204=2,1,0),IF($X204&lt;30,1,0))</formula>
    </cfRule>
    <cfRule type="expression" priority="587" dxfId="1">
      <formula>AND(IF($Q204=3,1,0),IF($X204&lt;30,1,0))</formula>
    </cfRule>
    <cfRule type="expression" priority="588" dxfId="0">
      <formula>AND(IF($Q204=3,1,IF($Q204=4,1,0)),IF($F204&lt;=85,1,0))</formula>
    </cfRule>
  </conditionalFormatting>
  <conditionalFormatting sqref="X204">
    <cfRule type="expression" priority="581" dxfId="3">
      <formula>AND(IF(OR($Q204=1,$Q204=2),1,0),IF($X204&lt;=20,1,0))</formula>
    </cfRule>
    <cfRule type="expression" priority="582" dxfId="2">
      <formula>AND(IF($Q204=2,1,0),IF($X204&lt;30,1,0))</formula>
    </cfRule>
    <cfRule type="expression" priority="583" dxfId="1">
      <formula>AND(IF($Q204=3,1,0),IF($X204&lt;30,1,0))</formula>
    </cfRule>
    <cfRule type="expression" priority="584" dxfId="0">
      <formula>AND(IF($Q204=3,1,IF($Q204=4,1,0)),IF($F204&lt;=85,1,0))</formula>
    </cfRule>
  </conditionalFormatting>
  <conditionalFormatting sqref="AI204">
    <cfRule type="expression" priority="577" dxfId="3">
      <formula>AND(IF(OR($Q204=1,$Q204=2),1,0),IF($X204&lt;=20,1,0))</formula>
    </cfRule>
    <cfRule type="expression" priority="578" dxfId="2">
      <formula>AND(IF($Q204=2,1,0),IF($X204&lt;30,1,0))</formula>
    </cfRule>
    <cfRule type="expression" priority="579" dxfId="1">
      <formula>AND(IF($Q204=3,1,0),IF($X204&lt;30,1,0))</formula>
    </cfRule>
    <cfRule type="expression" priority="580" dxfId="0">
      <formula>AND(IF($Q204=3,1,IF($Q204=4,1,0)),IF($F204&lt;=85,1,0))</formula>
    </cfRule>
  </conditionalFormatting>
  <conditionalFormatting sqref="AV205">
    <cfRule type="expression" priority="575" dxfId="23">
      <formula>AV205="X"</formula>
    </cfRule>
    <cfRule type="expression" priority="576" dxfId="22">
      <formula>AV205="후보"</formula>
    </cfRule>
  </conditionalFormatting>
  <conditionalFormatting sqref="AC2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05">
    <cfRule type="expression" priority="567" dxfId="3">
      <formula>AND(IF(OR($Q205=1,$Q205=2),1,0),IF($X205&lt;=20,1,0))</formula>
    </cfRule>
    <cfRule type="expression" priority="568" dxfId="2">
      <formula>AND(IF($Q205=2,1,0),IF($X205&lt;30,1,0))</formula>
    </cfRule>
    <cfRule type="expression" priority="569" dxfId="1">
      <formula>AND(IF($Q205=3,1,0),IF($X205&lt;30,1,0))</formula>
    </cfRule>
    <cfRule type="expression" priority="570" dxfId="0">
      <formula>AND(IF($Q205=3,1,IF($Q205=4,1,0)),IF($F205&lt;=85,1,0))</formula>
    </cfRule>
  </conditionalFormatting>
  <conditionalFormatting sqref="X205">
    <cfRule type="expression" priority="563" dxfId="3">
      <formula>AND(IF(OR($Q205=1,$Q205=2),1,0),IF($X205&lt;=20,1,0))</formula>
    </cfRule>
    <cfRule type="expression" priority="564" dxfId="2">
      <formula>AND(IF($Q205=2,1,0),IF($X205&lt;30,1,0))</formula>
    </cfRule>
    <cfRule type="expression" priority="565" dxfId="1">
      <formula>AND(IF($Q205=3,1,0),IF($X205&lt;30,1,0))</formula>
    </cfRule>
    <cfRule type="expression" priority="566" dxfId="0">
      <formula>AND(IF($Q205=3,1,IF($Q205=4,1,0)),IF($F205&lt;=85,1,0))</formula>
    </cfRule>
  </conditionalFormatting>
  <conditionalFormatting sqref="AI205">
    <cfRule type="expression" priority="559" dxfId="3">
      <formula>AND(IF(OR($Q205=1,$Q205=2),1,0),IF($X205&lt;=20,1,0))</formula>
    </cfRule>
    <cfRule type="expression" priority="560" dxfId="2">
      <formula>AND(IF($Q205=2,1,0),IF($X205&lt;30,1,0))</formula>
    </cfRule>
    <cfRule type="expression" priority="561" dxfId="1">
      <formula>AND(IF($Q205=3,1,0),IF($X205&lt;30,1,0))</formula>
    </cfRule>
    <cfRule type="expression" priority="562" dxfId="0">
      <formula>AND(IF($Q205=3,1,IF($Q205=4,1,0)),IF($F205&lt;=85,1,0))</formula>
    </cfRule>
  </conditionalFormatting>
  <conditionalFormatting sqref="AV206">
    <cfRule type="expression" priority="557" dxfId="23">
      <formula>AV206="X"</formula>
    </cfRule>
    <cfRule type="expression" priority="558" dxfId="22">
      <formula>AV206="후보"</formula>
    </cfRule>
  </conditionalFormatting>
  <conditionalFormatting sqref="AC20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6">
    <cfRule type="expression" priority="549" dxfId="3">
      <formula>AND(IF(OR($Q206=1,$Q206=2),1,0),IF($X206&lt;=20,1,0))</formula>
    </cfRule>
    <cfRule type="expression" priority="550" dxfId="2">
      <formula>AND(IF($Q206=2,1,0),IF($X206&lt;30,1,0))</formula>
    </cfRule>
    <cfRule type="expression" priority="551" dxfId="1">
      <formula>AND(IF($Q206=3,1,0),IF($X206&lt;30,1,0))</formula>
    </cfRule>
    <cfRule type="expression" priority="552" dxfId="0">
      <formula>AND(IF($Q206=3,1,IF($Q206=4,1,0)),IF($F206&lt;=85,1,0))</formula>
    </cfRule>
  </conditionalFormatting>
  <conditionalFormatting sqref="X206">
    <cfRule type="expression" priority="545" dxfId="3">
      <formula>AND(IF(OR($Q206=1,$Q206=2),1,0),IF($X206&lt;=20,1,0))</formula>
    </cfRule>
    <cfRule type="expression" priority="546" dxfId="2">
      <formula>AND(IF($Q206=2,1,0),IF($X206&lt;30,1,0))</formula>
    </cfRule>
    <cfRule type="expression" priority="547" dxfId="1">
      <formula>AND(IF($Q206=3,1,0),IF($X206&lt;30,1,0))</formula>
    </cfRule>
    <cfRule type="expression" priority="548" dxfId="0">
      <formula>AND(IF($Q206=3,1,IF($Q206=4,1,0)),IF($F206&lt;=85,1,0))</formula>
    </cfRule>
  </conditionalFormatting>
  <conditionalFormatting sqref="AI206">
    <cfRule type="expression" priority="541" dxfId="3">
      <formula>AND(IF(OR($Q206=1,$Q206=2),1,0),IF($X206&lt;=20,1,0))</formula>
    </cfRule>
    <cfRule type="expression" priority="542" dxfId="2">
      <formula>AND(IF($Q206=2,1,0),IF($X206&lt;30,1,0))</formula>
    </cfRule>
    <cfRule type="expression" priority="543" dxfId="1">
      <formula>AND(IF($Q206=3,1,0),IF($X206&lt;30,1,0))</formula>
    </cfRule>
    <cfRule type="expression" priority="544" dxfId="0">
      <formula>AND(IF($Q206=3,1,IF($Q206=4,1,0)),IF($F206&lt;=85,1,0))</formula>
    </cfRule>
  </conditionalFormatting>
  <conditionalFormatting sqref="AV207">
    <cfRule type="expression" priority="539" dxfId="23">
      <formula>AV207="X"</formula>
    </cfRule>
    <cfRule type="expression" priority="540" dxfId="22">
      <formula>AV207="후보"</formula>
    </cfRule>
  </conditionalFormatting>
  <conditionalFormatting sqref="AC20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07">
    <cfRule type="expression" priority="531" dxfId="3">
      <formula>AND(IF(OR($Q207=1,$Q207=2),1,0),IF($X207&lt;=20,1,0))</formula>
    </cfRule>
    <cfRule type="expression" priority="532" dxfId="2">
      <formula>AND(IF($Q207=2,1,0),IF($X207&lt;30,1,0))</formula>
    </cfRule>
    <cfRule type="expression" priority="533" dxfId="1">
      <formula>AND(IF($Q207=3,1,0),IF($X207&lt;30,1,0))</formula>
    </cfRule>
    <cfRule type="expression" priority="534" dxfId="0">
      <formula>AND(IF($Q207=3,1,IF($Q207=4,1,0)),IF($F207&lt;=85,1,0))</formula>
    </cfRule>
  </conditionalFormatting>
  <conditionalFormatting sqref="X207">
    <cfRule type="expression" priority="527" dxfId="3">
      <formula>AND(IF(OR($Q207=1,$Q207=2),1,0),IF($X207&lt;=20,1,0))</formula>
    </cfRule>
    <cfRule type="expression" priority="528" dxfId="2">
      <formula>AND(IF($Q207=2,1,0),IF($X207&lt;30,1,0))</formula>
    </cfRule>
    <cfRule type="expression" priority="529" dxfId="1">
      <formula>AND(IF($Q207=3,1,0),IF($X207&lt;30,1,0))</formula>
    </cfRule>
    <cfRule type="expression" priority="530" dxfId="0">
      <formula>AND(IF($Q207=3,1,IF($Q207=4,1,0)),IF($F207&lt;=85,1,0))</formula>
    </cfRule>
  </conditionalFormatting>
  <conditionalFormatting sqref="AI207">
    <cfRule type="expression" priority="523" dxfId="3">
      <formula>AND(IF(OR($Q207=1,$Q207=2),1,0),IF($X207&lt;=20,1,0))</formula>
    </cfRule>
    <cfRule type="expression" priority="524" dxfId="2">
      <formula>AND(IF($Q207=2,1,0),IF($X207&lt;30,1,0))</formula>
    </cfRule>
    <cfRule type="expression" priority="525" dxfId="1">
      <formula>AND(IF($Q207=3,1,0),IF($X207&lt;30,1,0))</formula>
    </cfRule>
    <cfRule type="expression" priority="526" dxfId="0">
      <formula>AND(IF($Q207=3,1,IF($Q207=4,1,0)),IF($F207&lt;=85,1,0))</formula>
    </cfRule>
  </conditionalFormatting>
  <conditionalFormatting sqref="AV208">
    <cfRule type="expression" priority="521" dxfId="23">
      <formula>AV208="X"</formula>
    </cfRule>
    <cfRule type="expression" priority="522" dxfId="22">
      <formula>AV208="후보"</formula>
    </cfRule>
  </conditionalFormatting>
  <conditionalFormatting sqref="AC20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0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08">
    <cfRule type="expression" priority="513" dxfId="3">
      <formula>AND(IF(OR($Q208=1,$Q208=2),1,0),IF($X208&lt;=20,1,0))</formula>
    </cfRule>
    <cfRule type="expression" priority="514" dxfId="2">
      <formula>AND(IF($Q208=2,1,0),IF($X208&lt;30,1,0))</formula>
    </cfRule>
    <cfRule type="expression" priority="515" dxfId="1">
      <formula>AND(IF($Q208=3,1,0),IF($X208&lt;30,1,0))</formula>
    </cfRule>
    <cfRule type="expression" priority="516" dxfId="0">
      <formula>AND(IF($Q208=3,1,IF($Q208=4,1,0)),IF($F208&lt;=85,1,0))</formula>
    </cfRule>
  </conditionalFormatting>
  <conditionalFormatting sqref="X208">
    <cfRule type="expression" priority="509" dxfId="3">
      <formula>AND(IF(OR($Q208=1,$Q208=2),1,0),IF($X208&lt;=20,1,0))</formula>
    </cfRule>
    <cfRule type="expression" priority="510" dxfId="2">
      <formula>AND(IF($Q208=2,1,0),IF($X208&lt;30,1,0))</formula>
    </cfRule>
    <cfRule type="expression" priority="511" dxfId="1">
      <formula>AND(IF($Q208=3,1,0),IF($X208&lt;30,1,0))</formula>
    </cfRule>
    <cfRule type="expression" priority="512" dxfId="0">
      <formula>AND(IF($Q208=3,1,IF($Q208=4,1,0)),IF($F208&lt;=85,1,0))</formula>
    </cfRule>
  </conditionalFormatting>
  <conditionalFormatting sqref="AI208">
    <cfRule type="expression" priority="505" dxfId="3">
      <formula>AND(IF(OR($Q208=1,$Q208=2),1,0),IF($X208&lt;=20,1,0))</formula>
    </cfRule>
    <cfRule type="expression" priority="506" dxfId="2">
      <formula>AND(IF($Q208=2,1,0),IF($X208&lt;30,1,0))</formula>
    </cfRule>
    <cfRule type="expression" priority="507" dxfId="1">
      <formula>AND(IF($Q208=3,1,0),IF($X208&lt;30,1,0))</formula>
    </cfRule>
    <cfRule type="expression" priority="508" dxfId="0">
      <formula>AND(IF($Q208=3,1,IF($Q208=4,1,0)),IF($F208&lt;=85,1,0))</formula>
    </cfRule>
  </conditionalFormatting>
  <conditionalFormatting sqref="AV209">
    <cfRule type="expression" priority="503" dxfId="23">
      <formula>AV209="X"</formula>
    </cfRule>
    <cfRule type="expression" priority="504" dxfId="22">
      <formula>AV209="후보"</formula>
    </cfRule>
  </conditionalFormatting>
  <conditionalFormatting sqref="AC20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9">
    <cfRule type="expression" priority="495" dxfId="3">
      <formula>AND(IF(OR($Q209=1,$Q209=2),1,0),IF($X209&lt;=20,1,0))</formula>
    </cfRule>
    <cfRule type="expression" priority="496" dxfId="2">
      <formula>AND(IF($Q209=2,1,0),IF($X209&lt;30,1,0))</formula>
    </cfRule>
    <cfRule type="expression" priority="497" dxfId="1">
      <formula>AND(IF($Q209=3,1,0),IF($X209&lt;30,1,0))</formula>
    </cfRule>
    <cfRule type="expression" priority="498" dxfId="0">
      <formula>AND(IF($Q209=3,1,IF($Q209=4,1,0)),IF($F209&lt;=85,1,0))</formula>
    </cfRule>
  </conditionalFormatting>
  <conditionalFormatting sqref="X209">
    <cfRule type="expression" priority="491" dxfId="3">
      <formula>AND(IF(OR($Q209=1,$Q209=2),1,0),IF($X209&lt;=20,1,0))</formula>
    </cfRule>
    <cfRule type="expression" priority="492" dxfId="2">
      <formula>AND(IF($Q209=2,1,0),IF($X209&lt;30,1,0))</formula>
    </cfRule>
    <cfRule type="expression" priority="493" dxfId="1">
      <formula>AND(IF($Q209=3,1,0),IF($X209&lt;30,1,0))</formula>
    </cfRule>
    <cfRule type="expression" priority="494" dxfId="0">
      <formula>AND(IF($Q209=3,1,IF($Q209=4,1,0)),IF($F209&lt;=85,1,0))</formula>
    </cfRule>
  </conditionalFormatting>
  <conditionalFormatting sqref="AI209">
    <cfRule type="expression" priority="487" dxfId="3">
      <formula>AND(IF(OR($Q209=1,$Q209=2),1,0),IF($X209&lt;=20,1,0))</formula>
    </cfRule>
    <cfRule type="expression" priority="488" dxfId="2">
      <formula>AND(IF($Q209=2,1,0),IF($X209&lt;30,1,0))</formula>
    </cfRule>
    <cfRule type="expression" priority="489" dxfId="1">
      <formula>AND(IF($Q209=3,1,0),IF($X209&lt;30,1,0))</formula>
    </cfRule>
    <cfRule type="expression" priority="490" dxfId="0">
      <formula>AND(IF($Q209=3,1,IF($Q209=4,1,0)),IF($F209&lt;=85,1,0))</formula>
    </cfRule>
  </conditionalFormatting>
  <conditionalFormatting sqref="AV210">
    <cfRule type="expression" priority="485" dxfId="23">
      <formula>AV210="X"</formula>
    </cfRule>
    <cfRule type="expression" priority="486" dxfId="22">
      <formula>AV210="후보"</formula>
    </cfRule>
  </conditionalFormatting>
  <conditionalFormatting sqref="AC21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0">
    <cfRule type="expression" priority="477" dxfId="3">
      <formula>AND(IF(OR($Q210=1,$Q210=2),1,0),IF($X210&lt;=20,1,0))</formula>
    </cfRule>
    <cfRule type="expression" priority="478" dxfId="2">
      <formula>AND(IF($Q210=2,1,0),IF($X210&lt;30,1,0))</formula>
    </cfRule>
    <cfRule type="expression" priority="479" dxfId="1">
      <formula>AND(IF($Q210=3,1,0),IF($X210&lt;30,1,0))</formula>
    </cfRule>
    <cfRule type="expression" priority="480" dxfId="0">
      <formula>AND(IF($Q210=3,1,IF($Q210=4,1,0)),IF($F210&lt;=85,1,0))</formula>
    </cfRule>
  </conditionalFormatting>
  <conditionalFormatting sqref="X210">
    <cfRule type="expression" priority="473" dxfId="3">
      <formula>AND(IF(OR($Q210=1,$Q210=2),1,0),IF($X210&lt;=20,1,0))</formula>
    </cfRule>
    <cfRule type="expression" priority="474" dxfId="2">
      <formula>AND(IF($Q210=2,1,0),IF($X210&lt;30,1,0))</formula>
    </cfRule>
    <cfRule type="expression" priority="475" dxfId="1">
      <formula>AND(IF($Q210=3,1,0),IF($X210&lt;30,1,0))</formula>
    </cfRule>
    <cfRule type="expression" priority="476" dxfId="0">
      <formula>AND(IF($Q210=3,1,IF($Q210=4,1,0)),IF($F210&lt;=85,1,0))</formula>
    </cfRule>
  </conditionalFormatting>
  <conditionalFormatting sqref="AI210">
    <cfRule type="expression" priority="469" dxfId="3">
      <formula>AND(IF(OR($Q210=1,$Q210=2),1,0),IF($X210&lt;=20,1,0))</formula>
    </cfRule>
    <cfRule type="expression" priority="470" dxfId="2">
      <formula>AND(IF($Q210=2,1,0),IF($X210&lt;30,1,0))</formula>
    </cfRule>
    <cfRule type="expression" priority="471" dxfId="1">
      <formula>AND(IF($Q210=3,1,0),IF($X210&lt;30,1,0))</formula>
    </cfRule>
    <cfRule type="expression" priority="472" dxfId="0">
      <formula>AND(IF($Q210=3,1,IF($Q210=4,1,0)),IF($F210&lt;=85,1,0))</formula>
    </cfRule>
  </conditionalFormatting>
  <conditionalFormatting sqref="AV211">
    <cfRule type="expression" priority="467" dxfId="23">
      <formula>AV211="X"</formula>
    </cfRule>
    <cfRule type="expression" priority="468" dxfId="22">
      <formula>AV211="후보"</formula>
    </cfRule>
  </conditionalFormatting>
  <conditionalFormatting sqref="AC2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1">
    <cfRule type="expression" priority="459" dxfId="3">
      <formula>AND(IF(OR($Q211=1,$Q211=2),1,0),IF($X211&lt;=20,1,0))</formula>
    </cfRule>
    <cfRule type="expression" priority="460" dxfId="2">
      <formula>AND(IF($Q211=2,1,0),IF($X211&lt;30,1,0))</formula>
    </cfRule>
    <cfRule type="expression" priority="461" dxfId="1">
      <formula>AND(IF($Q211=3,1,0),IF($X211&lt;30,1,0))</formula>
    </cfRule>
    <cfRule type="expression" priority="462" dxfId="0">
      <formula>AND(IF($Q211=3,1,IF($Q211=4,1,0)),IF($F211&lt;=85,1,0))</formula>
    </cfRule>
  </conditionalFormatting>
  <conditionalFormatting sqref="X211">
    <cfRule type="expression" priority="455" dxfId="3">
      <formula>AND(IF(OR($Q211=1,$Q211=2),1,0),IF($X211&lt;=20,1,0))</formula>
    </cfRule>
    <cfRule type="expression" priority="456" dxfId="2">
      <formula>AND(IF($Q211=2,1,0),IF($X211&lt;30,1,0))</formula>
    </cfRule>
    <cfRule type="expression" priority="457" dxfId="1">
      <formula>AND(IF($Q211=3,1,0),IF($X211&lt;30,1,0))</formula>
    </cfRule>
    <cfRule type="expression" priority="458" dxfId="0">
      <formula>AND(IF($Q211=3,1,IF($Q211=4,1,0)),IF($F211&lt;=85,1,0))</formula>
    </cfRule>
  </conditionalFormatting>
  <conditionalFormatting sqref="AI211">
    <cfRule type="expression" priority="451" dxfId="3">
      <formula>AND(IF(OR($Q211=1,$Q211=2),1,0),IF($X211&lt;=20,1,0))</formula>
    </cfRule>
    <cfRule type="expression" priority="452" dxfId="2">
      <formula>AND(IF($Q211=2,1,0),IF($X211&lt;30,1,0))</formula>
    </cfRule>
    <cfRule type="expression" priority="453" dxfId="1">
      <formula>AND(IF($Q211=3,1,0),IF($X211&lt;30,1,0))</formula>
    </cfRule>
    <cfRule type="expression" priority="454" dxfId="0">
      <formula>AND(IF($Q211=3,1,IF($Q211=4,1,0)),IF($F211&lt;=85,1,0))</formula>
    </cfRule>
  </conditionalFormatting>
  <conditionalFormatting sqref="AV212">
    <cfRule type="expression" priority="449" dxfId="23">
      <formula>AV212="X"</formula>
    </cfRule>
    <cfRule type="expression" priority="450" dxfId="22">
      <formula>AV212="후보"</formula>
    </cfRule>
  </conditionalFormatting>
  <conditionalFormatting sqref="AC21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2">
    <cfRule type="expression" priority="441" dxfId="3">
      <formula>AND(IF(OR($Q212=1,$Q212=2),1,0),IF($X212&lt;=20,1,0))</formula>
    </cfRule>
    <cfRule type="expression" priority="442" dxfId="2">
      <formula>AND(IF($Q212=2,1,0),IF($X212&lt;30,1,0))</formula>
    </cfRule>
    <cfRule type="expression" priority="443" dxfId="1">
      <formula>AND(IF($Q212=3,1,0),IF($X212&lt;30,1,0))</formula>
    </cfRule>
    <cfRule type="expression" priority="444" dxfId="0">
      <formula>AND(IF($Q212=3,1,IF($Q212=4,1,0)),IF($F212&lt;=85,1,0))</formula>
    </cfRule>
  </conditionalFormatting>
  <conditionalFormatting sqref="X212">
    <cfRule type="expression" priority="437" dxfId="3">
      <formula>AND(IF(OR($Q212=1,$Q212=2),1,0),IF($X212&lt;=20,1,0))</formula>
    </cfRule>
    <cfRule type="expression" priority="438" dxfId="2">
      <formula>AND(IF($Q212=2,1,0),IF($X212&lt;30,1,0))</formula>
    </cfRule>
    <cfRule type="expression" priority="439" dxfId="1">
      <formula>AND(IF($Q212=3,1,0),IF($X212&lt;30,1,0))</formula>
    </cfRule>
    <cfRule type="expression" priority="440" dxfId="0">
      <formula>AND(IF($Q212=3,1,IF($Q212=4,1,0)),IF($F212&lt;=85,1,0))</formula>
    </cfRule>
  </conditionalFormatting>
  <conditionalFormatting sqref="AI212">
    <cfRule type="expression" priority="433" dxfId="3">
      <formula>AND(IF(OR($Q212=1,$Q212=2),1,0),IF($X212&lt;=20,1,0))</formula>
    </cfRule>
    <cfRule type="expression" priority="434" dxfId="2">
      <formula>AND(IF($Q212=2,1,0),IF($X212&lt;30,1,0))</formula>
    </cfRule>
    <cfRule type="expression" priority="435" dxfId="1">
      <formula>AND(IF($Q212=3,1,0),IF($X212&lt;30,1,0))</formula>
    </cfRule>
    <cfRule type="expression" priority="436" dxfId="0">
      <formula>AND(IF($Q212=3,1,IF($Q212=4,1,0)),IF($F212&lt;=85,1,0))</formula>
    </cfRule>
  </conditionalFormatting>
  <conditionalFormatting sqref="AV213">
    <cfRule type="expression" priority="431" dxfId="23">
      <formula>AV213="X"</formula>
    </cfRule>
    <cfRule type="expression" priority="432" dxfId="22">
      <formula>AV213="후보"</formula>
    </cfRule>
  </conditionalFormatting>
  <conditionalFormatting sqref="AC2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3">
    <cfRule type="expression" priority="423" dxfId="3">
      <formula>AND(IF(OR($Q213=1,$Q213=2),1,0),IF($X213&lt;=20,1,0))</formula>
    </cfRule>
    <cfRule type="expression" priority="424" dxfId="2">
      <formula>AND(IF($Q213=2,1,0),IF($X213&lt;30,1,0))</formula>
    </cfRule>
    <cfRule type="expression" priority="425" dxfId="1">
      <formula>AND(IF($Q213=3,1,0),IF($X213&lt;30,1,0))</formula>
    </cfRule>
    <cfRule type="expression" priority="426" dxfId="0">
      <formula>AND(IF($Q213=3,1,IF($Q213=4,1,0)),IF($F213&lt;=85,1,0))</formula>
    </cfRule>
  </conditionalFormatting>
  <conditionalFormatting sqref="X213">
    <cfRule type="expression" priority="419" dxfId="3">
      <formula>AND(IF(OR($Q213=1,$Q213=2),1,0),IF($X213&lt;=20,1,0))</formula>
    </cfRule>
    <cfRule type="expression" priority="420" dxfId="2">
      <formula>AND(IF($Q213=2,1,0),IF($X213&lt;30,1,0))</formula>
    </cfRule>
    <cfRule type="expression" priority="421" dxfId="1">
      <formula>AND(IF($Q213=3,1,0),IF($X213&lt;30,1,0))</formula>
    </cfRule>
    <cfRule type="expression" priority="422" dxfId="0">
      <formula>AND(IF($Q213=3,1,IF($Q213=4,1,0)),IF($F213&lt;=85,1,0))</formula>
    </cfRule>
  </conditionalFormatting>
  <conditionalFormatting sqref="AI213">
    <cfRule type="expression" priority="415" dxfId="3">
      <formula>AND(IF(OR($Q213=1,$Q213=2),1,0),IF($X213&lt;=20,1,0))</formula>
    </cfRule>
    <cfRule type="expression" priority="416" dxfId="2">
      <formula>AND(IF($Q213=2,1,0),IF($X213&lt;30,1,0))</formula>
    </cfRule>
    <cfRule type="expression" priority="417" dxfId="1">
      <formula>AND(IF($Q213=3,1,0),IF($X213&lt;30,1,0))</formula>
    </cfRule>
    <cfRule type="expression" priority="418" dxfId="0">
      <formula>AND(IF($Q213=3,1,IF($Q213=4,1,0)),IF($F213&lt;=85,1,0))</formula>
    </cfRule>
  </conditionalFormatting>
  <conditionalFormatting sqref="AV214">
    <cfRule type="expression" priority="413" dxfId="23">
      <formula>AV214="X"</formula>
    </cfRule>
    <cfRule type="expression" priority="414" dxfId="22">
      <formula>AV214="후보"</formula>
    </cfRule>
  </conditionalFormatting>
  <conditionalFormatting sqref="AC21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4">
    <cfRule type="expression" priority="405" dxfId="3">
      <formula>AND(IF(OR($Q214=1,$Q214=2),1,0),IF($X214&lt;=20,1,0))</formula>
    </cfRule>
    <cfRule type="expression" priority="406" dxfId="2">
      <formula>AND(IF($Q214=2,1,0),IF($X214&lt;30,1,0))</formula>
    </cfRule>
    <cfRule type="expression" priority="407" dxfId="1">
      <formula>AND(IF($Q214=3,1,0),IF($X214&lt;30,1,0))</formula>
    </cfRule>
    <cfRule type="expression" priority="408" dxfId="0">
      <formula>AND(IF($Q214=3,1,IF($Q214=4,1,0)),IF($F214&lt;=85,1,0))</formula>
    </cfRule>
  </conditionalFormatting>
  <conditionalFormatting sqref="X214">
    <cfRule type="expression" priority="401" dxfId="3">
      <formula>AND(IF(OR($Q214=1,$Q214=2),1,0),IF($X214&lt;=20,1,0))</formula>
    </cfRule>
    <cfRule type="expression" priority="402" dxfId="2">
      <formula>AND(IF($Q214=2,1,0),IF($X214&lt;30,1,0))</formula>
    </cfRule>
    <cfRule type="expression" priority="403" dxfId="1">
      <formula>AND(IF($Q214=3,1,0),IF($X214&lt;30,1,0))</formula>
    </cfRule>
    <cfRule type="expression" priority="404" dxfId="0">
      <formula>AND(IF($Q214=3,1,IF($Q214=4,1,0)),IF($F214&lt;=85,1,0))</formula>
    </cfRule>
  </conditionalFormatting>
  <conditionalFormatting sqref="AI214">
    <cfRule type="expression" priority="397" dxfId="3">
      <formula>AND(IF(OR($Q214=1,$Q214=2),1,0),IF($X214&lt;=20,1,0))</formula>
    </cfRule>
    <cfRule type="expression" priority="398" dxfId="2">
      <formula>AND(IF($Q214=2,1,0),IF($X214&lt;30,1,0))</formula>
    </cfRule>
    <cfRule type="expression" priority="399" dxfId="1">
      <formula>AND(IF($Q214=3,1,0),IF($X214&lt;30,1,0))</formula>
    </cfRule>
    <cfRule type="expression" priority="400" dxfId="0">
      <formula>AND(IF($Q214=3,1,IF($Q214=4,1,0)),IF($F214&lt;=85,1,0))</formula>
    </cfRule>
  </conditionalFormatting>
  <conditionalFormatting sqref="AV215">
    <cfRule type="expression" priority="395" dxfId="23">
      <formula>AV215="X"</formula>
    </cfRule>
    <cfRule type="expression" priority="396" dxfId="22">
      <formula>AV215="후보"</formula>
    </cfRule>
  </conditionalFormatting>
  <conditionalFormatting sqref="AC21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15">
    <cfRule type="expression" priority="387" dxfId="3">
      <formula>AND(IF(OR($Q215=1,$Q215=2),1,0),IF($X215&lt;=20,1,0))</formula>
    </cfRule>
    <cfRule type="expression" priority="388" dxfId="2">
      <formula>AND(IF($Q215=2,1,0),IF($X215&lt;30,1,0))</formula>
    </cfRule>
    <cfRule type="expression" priority="389" dxfId="1">
      <formula>AND(IF($Q215=3,1,0),IF($X215&lt;30,1,0))</formula>
    </cfRule>
    <cfRule type="expression" priority="390" dxfId="0">
      <formula>AND(IF($Q215=3,1,IF($Q215=4,1,0)),IF($F215&lt;=85,1,0))</formula>
    </cfRule>
  </conditionalFormatting>
  <conditionalFormatting sqref="X215">
    <cfRule type="expression" priority="383" dxfId="3">
      <formula>AND(IF(OR($Q215=1,$Q215=2),1,0),IF($X215&lt;=20,1,0))</formula>
    </cfRule>
    <cfRule type="expression" priority="384" dxfId="2">
      <formula>AND(IF($Q215=2,1,0),IF($X215&lt;30,1,0))</formula>
    </cfRule>
    <cfRule type="expression" priority="385" dxfId="1">
      <formula>AND(IF($Q215=3,1,0),IF($X215&lt;30,1,0))</formula>
    </cfRule>
    <cfRule type="expression" priority="386" dxfId="0">
      <formula>AND(IF($Q215=3,1,IF($Q215=4,1,0)),IF($F215&lt;=85,1,0))</formula>
    </cfRule>
  </conditionalFormatting>
  <conditionalFormatting sqref="AI215">
    <cfRule type="expression" priority="379" dxfId="3">
      <formula>AND(IF(OR($Q215=1,$Q215=2),1,0),IF($X215&lt;=20,1,0))</formula>
    </cfRule>
    <cfRule type="expression" priority="380" dxfId="2">
      <formula>AND(IF($Q215=2,1,0),IF($X215&lt;30,1,0))</formula>
    </cfRule>
    <cfRule type="expression" priority="381" dxfId="1">
      <formula>AND(IF($Q215=3,1,0),IF($X215&lt;30,1,0))</formula>
    </cfRule>
    <cfRule type="expression" priority="382" dxfId="0">
      <formula>AND(IF($Q215=3,1,IF($Q215=4,1,0)),IF($F215&lt;=85,1,0))</formula>
    </cfRule>
  </conditionalFormatting>
  <conditionalFormatting sqref="AV216">
    <cfRule type="expression" priority="377" dxfId="23">
      <formula>AV216="X"</formula>
    </cfRule>
    <cfRule type="expression" priority="378" dxfId="22">
      <formula>AV216="후보"</formula>
    </cfRule>
  </conditionalFormatting>
  <conditionalFormatting sqref="AC2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1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16">
    <cfRule type="expression" priority="369" dxfId="3">
      <formula>AND(IF(OR($Q216=1,$Q216=2),1,0),IF($X216&lt;=20,1,0))</formula>
    </cfRule>
    <cfRule type="expression" priority="370" dxfId="2">
      <formula>AND(IF($Q216=2,1,0),IF($X216&lt;30,1,0))</formula>
    </cfRule>
    <cfRule type="expression" priority="371" dxfId="1">
      <formula>AND(IF($Q216=3,1,0),IF($X216&lt;30,1,0))</formula>
    </cfRule>
    <cfRule type="expression" priority="372" dxfId="0">
      <formula>AND(IF($Q216=3,1,IF($Q216=4,1,0)),IF($F216&lt;=85,1,0))</formula>
    </cfRule>
  </conditionalFormatting>
  <conditionalFormatting sqref="X216">
    <cfRule type="expression" priority="365" dxfId="3">
      <formula>AND(IF(OR($Q216=1,$Q216=2),1,0),IF($X216&lt;=20,1,0))</formula>
    </cfRule>
    <cfRule type="expression" priority="366" dxfId="2">
      <formula>AND(IF($Q216=2,1,0),IF($X216&lt;30,1,0))</formula>
    </cfRule>
    <cfRule type="expression" priority="367" dxfId="1">
      <formula>AND(IF($Q216=3,1,0),IF($X216&lt;30,1,0))</formula>
    </cfRule>
    <cfRule type="expression" priority="368" dxfId="0">
      <formula>AND(IF($Q216=3,1,IF($Q216=4,1,0)),IF($F216&lt;=85,1,0))</formula>
    </cfRule>
  </conditionalFormatting>
  <conditionalFormatting sqref="AI216">
    <cfRule type="expression" priority="361" dxfId="3">
      <formula>AND(IF(OR($Q216=1,$Q216=2),1,0),IF($X216&lt;=20,1,0))</formula>
    </cfRule>
    <cfRule type="expression" priority="362" dxfId="2">
      <formula>AND(IF($Q216=2,1,0),IF($X216&lt;30,1,0))</formula>
    </cfRule>
    <cfRule type="expression" priority="363" dxfId="1">
      <formula>AND(IF($Q216=3,1,0),IF($X216&lt;30,1,0))</formula>
    </cfRule>
    <cfRule type="expression" priority="364" dxfId="0">
      <formula>AND(IF($Q216=3,1,IF($Q216=4,1,0)),IF($F216&lt;=85,1,0))</formula>
    </cfRule>
  </conditionalFormatting>
  <conditionalFormatting sqref="AV217">
    <cfRule type="expression" priority="359" dxfId="23">
      <formula>AV217="X"</formula>
    </cfRule>
    <cfRule type="expression" priority="360" dxfId="22">
      <formula>AV217="후보"</formula>
    </cfRule>
  </conditionalFormatting>
  <conditionalFormatting sqref="AC21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1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17">
    <cfRule type="expression" priority="351" dxfId="3">
      <formula>AND(IF(OR($Q217=1,$Q217=2),1,0),IF($X217&lt;=20,1,0))</formula>
    </cfRule>
    <cfRule type="expression" priority="352" dxfId="2">
      <formula>AND(IF($Q217=2,1,0),IF($X217&lt;30,1,0))</formula>
    </cfRule>
    <cfRule type="expression" priority="353" dxfId="1">
      <formula>AND(IF($Q217=3,1,0),IF($X217&lt;30,1,0))</formula>
    </cfRule>
    <cfRule type="expression" priority="354" dxfId="0">
      <formula>AND(IF($Q217=3,1,IF($Q217=4,1,0)),IF($F217&lt;=85,1,0))</formula>
    </cfRule>
  </conditionalFormatting>
  <conditionalFormatting sqref="X217">
    <cfRule type="expression" priority="347" dxfId="3">
      <formula>AND(IF(OR($Q217=1,$Q217=2),1,0),IF($X217&lt;=20,1,0))</formula>
    </cfRule>
    <cfRule type="expression" priority="348" dxfId="2">
      <formula>AND(IF($Q217=2,1,0),IF($X217&lt;30,1,0))</formula>
    </cfRule>
    <cfRule type="expression" priority="349" dxfId="1">
      <formula>AND(IF($Q217=3,1,0),IF($X217&lt;30,1,0))</formula>
    </cfRule>
    <cfRule type="expression" priority="350" dxfId="0">
      <formula>AND(IF($Q217=3,1,IF($Q217=4,1,0)),IF($F217&lt;=85,1,0))</formula>
    </cfRule>
  </conditionalFormatting>
  <conditionalFormatting sqref="AI217">
    <cfRule type="expression" priority="343" dxfId="3">
      <formula>AND(IF(OR($Q217=1,$Q217=2),1,0),IF($X217&lt;=20,1,0))</formula>
    </cfRule>
    <cfRule type="expression" priority="344" dxfId="2">
      <formula>AND(IF($Q217=2,1,0),IF($X217&lt;30,1,0))</formula>
    </cfRule>
    <cfRule type="expression" priority="345" dxfId="1">
      <formula>AND(IF($Q217=3,1,0),IF($X217&lt;30,1,0))</formula>
    </cfRule>
    <cfRule type="expression" priority="346" dxfId="0">
      <formula>AND(IF($Q217=3,1,IF($Q217=4,1,0)),IF($F217&lt;=85,1,0))</formula>
    </cfRule>
  </conditionalFormatting>
  <conditionalFormatting sqref="AV218">
    <cfRule type="expression" priority="341" dxfId="23">
      <formula>AV218="X"</formula>
    </cfRule>
    <cfRule type="expression" priority="342" dxfId="22">
      <formula>AV218="후보"</formula>
    </cfRule>
  </conditionalFormatting>
  <conditionalFormatting sqref="AC2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18">
    <cfRule type="expression" priority="333" dxfId="3">
      <formula>AND(IF(OR($Q218=1,$Q218=2),1,0),IF($X218&lt;=20,1,0))</formula>
    </cfRule>
    <cfRule type="expression" priority="334" dxfId="2">
      <formula>AND(IF($Q218=2,1,0),IF($X218&lt;30,1,0))</formula>
    </cfRule>
    <cfRule type="expression" priority="335" dxfId="1">
      <formula>AND(IF($Q218=3,1,0),IF($X218&lt;30,1,0))</formula>
    </cfRule>
    <cfRule type="expression" priority="336" dxfId="0">
      <formula>AND(IF($Q218=3,1,IF($Q218=4,1,0)),IF($F218&lt;=85,1,0))</formula>
    </cfRule>
  </conditionalFormatting>
  <conditionalFormatting sqref="X218">
    <cfRule type="expression" priority="329" dxfId="3">
      <formula>AND(IF(OR($Q218=1,$Q218=2),1,0),IF($X218&lt;=20,1,0))</formula>
    </cfRule>
    <cfRule type="expression" priority="330" dxfId="2">
      <formula>AND(IF($Q218=2,1,0),IF($X218&lt;30,1,0))</formula>
    </cfRule>
    <cfRule type="expression" priority="331" dxfId="1">
      <formula>AND(IF($Q218=3,1,0),IF($X218&lt;30,1,0))</formula>
    </cfRule>
    <cfRule type="expression" priority="332" dxfId="0">
      <formula>AND(IF($Q218=3,1,IF($Q218=4,1,0)),IF($F218&lt;=85,1,0))</formula>
    </cfRule>
  </conditionalFormatting>
  <conditionalFormatting sqref="AI218">
    <cfRule type="expression" priority="325" dxfId="3">
      <formula>AND(IF(OR($Q218=1,$Q218=2),1,0),IF($X218&lt;=20,1,0))</formula>
    </cfRule>
    <cfRule type="expression" priority="326" dxfId="2">
      <formula>AND(IF($Q218=2,1,0),IF($X218&lt;30,1,0))</formula>
    </cfRule>
    <cfRule type="expression" priority="327" dxfId="1">
      <formula>AND(IF($Q218=3,1,0),IF($X218&lt;30,1,0))</formula>
    </cfRule>
    <cfRule type="expression" priority="328" dxfId="0">
      <formula>AND(IF($Q218=3,1,IF($Q218=4,1,0)),IF($F218&lt;=85,1,0))</formula>
    </cfRule>
  </conditionalFormatting>
  <conditionalFormatting sqref="AV219">
    <cfRule type="expression" priority="323" dxfId="23">
      <formula>AV219="X"</formula>
    </cfRule>
    <cfRule type="expression" priority="324" dxfId="22">
      <formula>AV219="후보"</formula>
    </cfRule>
  </conditionalFormatting>
  <conditionalFormatting sqref="AC21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1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19">
    <cfRule type="expression" priority="315" dxfId="3">
      <formula>AND(IF(OR($Q219=1,$Q219=2),1,0),IF($X219&lt;=20,1,0))</formula>
    </cfRule>
    <cfRule type="expression" priority="316" dxfId="2">
      <formula>AND(IF($Q219=2,1,0),IF($X219&lt;30,1,0))</formula>
    </cfRule>
    <cfRule type="expression" priority="317" dxfId="1">
      <formula>AND(IF($Q219=3,1,0),IF($X219&lt;30,1,0))</formula>
    </cfRule>
    <cfRule type="expression" priority="318" dxfId="0">
      <formula>AND(IF($Q219=3,1,IF($Q219=4,1,0)),IF($F219&lt;=85,1,0))</formula>
    </cfRule>
  </conditionalFormatting>
  <conditionalFormatting sqref="X219">
    <cfRule type="expression" priority="311" dxfId="3">
      <formula>AND(IF(OR($Q219=1,$Q219=2),1,0),IF($X219&lt;=20,1,0))</formula>
    </cfRule>
    <cfRule type="expression" priority="312" dxfId="2">
      <formula>AND(IF($Q219=2,1,0),IF($X219&lt;30,1,0))</formula>
    </cfRule>
    <cfRule type="expression" priority="313" dxfId="1">
      <formula>AND(IF($Q219=3,1,0),IF($X219&lt;30,1,0))</formula>
    </cfRule>
    <cfRule type="expression" priority="314" dxfId="0">
      <formula>AND(IF($Q219=3,1,IF($Q219=4,1,0)),IF($F219&lt;=85,1,0))</formula>
    </cfRule>
  </conditionalFormatting>
  <conditionalFormatting sqref="AI219">
    <cfRule type="expression" priority="307" dxfId="3">
      <formula>AND(IF(OR($Q219=1,$Q219=2),1,0),IF($X219&lt;=20,1,0))</formula>
    </cfRule>
    <cfRule type="expression" priority="308" dxfId="2">
      <formula>AND(IF($Q219=2,1,0),IF($X219&lt;30,1,0))</formula>
    </cfRule>
    <cfRule type="expression" priority="309" dxfId="1">
      <formula>AND(IF($Q219=3,1,0),IF($X219&lt;30,1,0))</formula>
    </cfRule>
    <cfRule type="expression" priority="310" dxfId="0">
      <formula>AND(IF($Q219=3,1,IF($Q219=4,1,0)),IF($F219&lt;=85,1,0))</formula>
    </cfRule>
  </conditionalFormatting>
  <conditionalFormatting sqref="AV220">
    <cfRule type="expression" priority="305" dxfId="23">
      <formula>AV220="X"</formula>
    </cfRule>
    <cfRule type="expression" priority="306" dxfId="22">
      <formula>AV220="후보"</formula>
    </cfRule>
  </conditionalFormatting>
  <conditionalFormatting sqref="AC2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0">
    <cfRule type="expression" priority="297" dxfId="3">
      <formula>AND(IF(OR($Q220=1,$Q220=2),1,0),IF($X220&lt;=20,1,0))</formula>
    </cfRule>
    <cfRule type="expression" priority="298" dxfId="2">
      <formula>AND(IF($Q220=2,1,0),IF($X220&lt;30,1,0))</formula>
    </cfRule>
    <cfRule type="expression" priority="299" dxfId="1">
      <formula>AND(IF($Q220=3,1,0),IF($X220&lt;30,1,0))</formula>
    </cfRule>
    <cfRule type="expression" priority="300" dxfId="0">
      <formula>AND(IF($Q220=3,1,IF($Q220=4,1,0)),IF($F220&lt;=85,1,0))</formula>
    </cfRule>
  </conditionalFormatting>
  <conditionalFormatting sqref="X220">
    <cfRule type="expression" priority="293" dxfId="3">
      <formula>AND(IF(OR($Q220=1,$Q220=2),1,0),IF($X220&lt;=20,1,0))</formula>
    </cfRule>
    <cfRule type="expression" priority="294" dxfId="2">
      <formula>AND(IF($Q220=2,1,0),IF($X220&lt;30,1,0))</formula>
    </cfRule>
    <cfRule type="expression" priority="295" dxfId="1">
      <formula>AND(IF($Q220=3,1,0),IF($X220&lt;30,1,0))</formula>
    </cfRule>
    <cfRule type="expression" priority="296" dxfId="0">
      <formula>AND(IF($Q220=3,1,IF($Q220=4,1,0)),IF($F220&lt;=85,1,0))</formula>
    </cfRule>
  </conditionalFormatting>
  <conditionalFormatting sqref="AI220">
    <cfRule type="expression" priority="289" dxfId="3">
      <formula>AND(IF(OR($Q220=1,$Q220=2),1,0),IF($X220&lt;=20,1,0))</formula>
    </cfRule>
    <cfRule type="expression" priority="290" dxfId="2">
      <formula>AND(IF($Q220=2,1,0),IF($X220&lt;30,1,0))</formula>
    </cfRule>
    <cfRule type="expression" priority="291" dxfId="1">
      <formula>AND(IF($Q220=3,1,0),IF($X220&lt;30,1,0))</formula>
    </cfRule>
    <cfRule type="expression" priority="292" dxfId="0">
      <formula>AND(IF($Q220=3,1,IF($Q220=4,1,0)),IF($F220&lt;=85,1,0))</formula>
    </cfRule>
  </conditionalFormatting>
  <conditionalFormatting sqref="AV221">
    <cfRule type="expression" priority="287" dxfId="23">
      <formula>AV221="X"</formula>
    </cfRule>
    <cfRule type="expression" priority="288" dxfId="22">
      <formula>AV221="후보"</formula>
    </cfRule>
  </conditionalFormatting>
  <conditionalFormatting sqref="AC22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1">
    <cfRule type="expression" priority="279" dxfId="3">
      <formula>AND(IF(OR($Q221=1,$Q221=2),1,0),IF($X221&lt;=20,1,0))</formula>
    </cfRule>
    <cfRule type="expression" priority="280" dxfId="2">
      <formula>AND(IF($Q221=2,1,0),IF($X221&lt;30,1,0))</formula>
    </cfRule>
    <cfRule type="expression" priority="281" dxfId="1">
      <formula>AND(IF($Q221=3,1,0),IF($X221&lt;30,1,0))</formula>
    </cfRule>
    <cfRule type="expression" priority="282" dxfId="0">
      <formula>AND(IF($Q221=3,1,IF($Q221=4,1,0)),IF($F221&lt;=85,1,0))</formula>
    </cfRule>
  </conditionalFormatting>
  <conditionalFormatting sqref="X221">
    <cfRule type="expression" priority="275" dxfId="3">
      <formula>AND(IF(OR($Q221=1,$Q221=2),1,0),IF($X221&lt;=20,1,0))</formula>
    </cfRule>
    <cfRule type="expression" priority="276" dxfId="2">
      <formula>AND(IF($Q221=2,1,0),IF($X221&lt;30,1,0))</formula>
    </cfRule>
    <cfRule type="expression" priority="277" dxfId="1">
      <formula>AND(IF($Q221=3,1,0),IF($X221&lt;30,1,0))</formula>
    </cfRule>
    <cfRule type="expression" priority="278" dxfId="0">
      <formula>AND(IF($Q221=3,1,IF($Q221=4,1,0)),IF($F221&lt;=85,1,0))</formula>
    </cfRule>
  </conditionalFormatting>
  <conditionalFormatting sqref="AI221">
    <cfRule type="expression" priority="271" dxfId="3">
      <formula>AND(IF(OR($Q221=1,$Q221=2),1,0),IF($X221&lt;=20,1,0))</formula>
    </cfRule>
    <cfRule type="expression" priority="272" dxfId="2">
      <formula>AND(IF($Q221=2,1,0),IF($X221&lt;30,1,0))</formula>
    </cfRule>
    <cfRule type="expression" priority="273" dxfId="1">
      <formula>AND(IF($Q221=3,1,0),IF($X221&lt;30,1,0))</formula>
    </cfRule>
    <cfRule type="expression" priority="274" dxfId="0">
      <formula>AND(IF($Q221=3,1,IF($Q221=4,1,0)),IF($F221&lt;=85,1,0))</formula>
    </cfRule>
  </conditionalFormatting>
  <conditionalFormatting sqref="AV222">
    <cfRule type="expression" priority="269" dxfId="23">
      <formula>AV222="X"</formula>
    </cfRule>
    <cfRule type="expression" priority="270" dxfId="22">
      <formula>AV222="후보"</formula>
    </cfRule>
  </conditionalFormatting>
  <conditionalFormatting sqref="AC2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2">
    <cfRule type="expression" priority="261" dxfId="3">
      <formula>AND(IF(OR($Q222=1,$Q222=2),1,0),IF($X222&lt;=20,1,0))</formula>
    </cfRule>
    <cfRule type="expression" priority="262" dxfId="2">
      <formula>AND(IF($Q222=2,1,0),IF($X222&lt;30,1,0))</formula>
    </cfRule>
    <cfRule type="expression" priority="263" dxfId="1">
      <formula>AND(IF($Q222=3,1,0),IF($X222&lt;30,1,0))</formula>
    </cfRule>
    <cfRule type="expression" priority="264" dxfId="0">
      <formula>AND(IF($Q222=3,1,IF($Q222=4,1,0)),IF($F222&lt;=85,1,0))</formula>
    </cfRule>
  </conditionalFormatting>
  <conditionalFormatting sqref="X222">
    <cfRule type="expression" priority="257" dxfId="3">
      <formula>AND(IF(OR($Q222=1,$Q222=2),1,0),IF($X222&lt;=20,1,0))</formula>
    </cfRule>
    <cfRule type="expression" priority="258" dxfId="2">
      <formula>AND(IF($Q222=2,1,0),IF($X222&lt;30,1,0))</formula>
    </cfRule>
    <cfRule type="expression" priority="259" dxfId="1">
      <formula>AND(IF($Q222=3,1,0),IF($X222&lt;30,1,0))</formula>
    </cfRule>
    <cfRule type="expression" priority="260" dxfId="0">
      <formula>AND(IF($Q222=3,1,IF($Q222=4,1,0)),IF($F222&lt;=85,1,0))</formula>
    </cfRule>
  </conditionalFormatting>
  <conditionalFormatting sqref="AI222">
    <cfRule type="expression" priority="253" dxfId="3">
      <formula>AND(IF(OR($Q222=1,$Q222=2),1,0),IF($X222&lt;=20,1,0))</formula>
    </cfRule>
    <cfRule type="expression" priority="254" dxfId="2">
      <formula>AND(IF($Q222=2,1,0),IF($X222&lt;30,1,0))</formula>
    </cfRule>
    <cfRule type="expression" priority="255" dxfId="1">
      <formula>AND(IF($Q222=3,1,0),IF($X222&lt;30,1,0))</formula>
    </cfRule>
    <cfRule type="expression" priority="256" dxfId="0">
      <formula>AND(IF($Q222=3,1,IF($Q222=4,1,0)),IF($F222&lt;=85,1,0))</formula>
    </cfRule>
  </conditionalFormatting>
  <conditionalFormatting sqref="AV223">
    <cfRule type="expression" priority="251" dxfId="23">
      <formula>AV223="X"</formula>
    </cfRule>
    <cfRule type="expression" priority="252" dxfId="22">
      <formula>AV223="후보"</formula>
    </cfRule>
  </conditionalFormatting>
  <conditionalFormatting sqref="AC22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2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23">
    <cfRule type="expression" priority="243" dxfId="3">
      <formula>AND(IF(OR($Q223=1,$Q223=2),1,0),IF($X223&lt;=20,1,0))</formula>
    </cfRule>
    <cfRule type="expression" priority="244" dxfId="2">
      <formula>AND(IF($Q223=2,1,0),IF($X223&lt;30,1,0))</formula>
    </cfRule>
    <cfRule type="expression" priority="245" dxfId="1">
      <formula>AND(IF($Q223=3,1,0),IF($X223&lt;30,1,0))</formula>
    </cfRule>
    <cfRule type="expression" priority="246" dxfId="0">
      <formula>AND(IF($Q223=3,1,IF($Q223=4,1,0)),IF($F223&lt;=85,1,0))</formula>
    </cfRule>
  </conditionalFormatting>
  <conditionalFormatting sqref="X223">
    <cfRule type="expression" priority="239" dxfId="3">
      <formula>AND(IF(OR($Q223=1,$Q223=2),1,0),IF($X223&lt;=20,1,0))</formula>
    </cfRule>
    <cfRule type="expression" priority="240" dxfId="2">
      <formula>AND(IF($Q223=2,1,0),IF($X223&lt;30,1,0))</formula>
    </cfRule>
    <cfRule type="expression" priority="241" dxfId="1">
      <formula>AND(IF($Q223=3,1,0),IF($X223&lt;30,1,0))</formula>
    </cfRule>
    <cfRule type="expression" priority="242" dxfId="0">
      <formula>AND(IF($Q223=3,1,IF($Q223=4,1,0)),IF($F223&lt;=85,1,0))</formula>
    </cfRule>
  </conditionalFormatting>
  <conditionalFormatting sqref="AI223">
    <cfRule type="expression" priority="235" dxfId="3">
      <formula>AND(IF(OR($Q223=1,$Q223=2),1,0),IF($X223&lt;=20,1,0))</formula>
    </cfRule>
    <cfRule type="expression" priority="236" dxfId="2">
      <formula>AND(IF($Q223=2,1,0),IF($X223&lt;30,1,0))</formula>
    </cfRule>
    <cfRule type="expression" priority="237" dxfId="1">
      <formula>AND(IF($Q223=3,1,0),IF($X223&lt;30,1,0))</formula>
    </cfRule>
    <cfRule type="expression" priority="238" dxfId="0">
      <formula>AND(IF($Q223=3,1,IF($Q223=4,1,0)),IF($F223&lt;=85,1,0))</formula>
    </cfRule>
  </conditionalFormatting>
  <conditionalFormatting sqref="AV224">
    <cfRule type="expression" priority="233" dxfId="23">
      <formula>AV224="X"</formula>
    </cfRule>
    <cfRule type="expression" priority="234" dxfId="22">
      <formula>AV224="후보"</formula>
    </cfRule>
  </conditionalFormatting>
  <conditionalFormatting sqref="AC22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24">
    <cfRule type="expression" priority="225" dxfId="3">
      <formula>AND(IF(OR($Q224=1,$Q224=2),1,0),IF($X224&lt;=20,1,0))</formula>
    </cfRule>
    <cfRule type="expression" priority="226" dxfId="2">
      <formula>AND(IF($Q224=2,1,0),IF($X224&lt;30,1,0))</formula>
    </cfRule>
    <cfRule type="expression" priority="227" dxfId="1">
      <formula>AND(IF($Q224=3,1,0),IF($X224&lt;30,1,0))</formula>
    </cfRule>
    <cfRule type="expression" priority="228" dxfId="0">
      <formula>AND(IF($Q224=3,1,IF($Q224=4,1,0)),IF($F224&lt;=85,1,0))</formula>
    </cfRule>
  </conditionalFormatting>
  <conditionalFormatting sqref="X224">
    <cfRule type="expression" priority="221" dxfId="3">
      <formula>AND(IF(OR($Q224=1,$Q224=2),1,0),IF($X224&lt;=20,1,0))</formula>
    </cfRule>
    <cfRule type="expression" priority="222" dxfId="2">
      <formula>AND(IF($Q224=2,1,0),IF($X224&lt;30,1,0))</formula>
    </cfRule>
    <cfRule type="expression" priority="223" dxfId="1">
      <formula>AND(IF($Q224=3,1,0),IF($X224&lt;30,1,0))</formula>
    </cfRule>
    <cfRule type="expression" priority="224" dxfId="0">
      <formula>AND(IF($Q224=3,1,IF($Q224=4,1,0)),IF($F224&lt;=85,1,0))</formula>
    </cfRule>
  </conditionalFormatting>
  <conditionalFormatting sqref="AI224">
    <cfRule type="expression" priority="217" dxfId="3">
      <formula>AND(IF(OR($Q224=1,$Q224=2),1,0),IF($X224&lt;=20,1,0))</formula>
    </cfRule>
    <cfRule type="expression" priority="218" dxfId="2">
      <formula>AND(IF($Q224=2,1,0),IF($X224&lt;30,1,0))</formula>
    </cfRule>
    <cfRule type="expression" priority="219" dxfId="1">
      <formula>AND(IF($Q224=3,1,0),IF($X224&lt;30,1,0))</formula>
    </cfRule>
    <cfRule type="expression" priority="220" dxfId="0">
      <formula>AND(IF($Q224=3,1,IF($Q224=4,1,0)),IF($F224&lt;=85,1,0))</formula>
    </cfRule>
  </conditionalFormatting>
  <conditionalFormatting sqref="AV225">
    <cfRule type="expression" priority="215" dxfId="23">
      <formula>AV225="X"</formula>
    </cfRule>
    <cfRule type="expression" priority="216" dxfId="22">
      <formula>AV225="후보"</formula>
    </cfRule>
  </conditionalFormatting>
  <conditionalFormatting sqref="AC2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2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25">
    <cfRule type="expression" priority="207" dxfId="3">
      <formula>AND(IF(OR($Q225=1,$Q225=2),1,0),IF($X225&lt;=20,1,0))</formula>
    </cfRule>
    <cfRule type="expression" priority="208" dxfId="2">
      <formula>AND(IF($Q225=2,1,0),IF($X225&lt;30,1,0))</formula>
    </cfRule>
    <cfRule type="expression" priority="209" dxfId="1">
      <formula>AND(IF($Q225=3,1,0),IF($X225&lt;30,1,0))</formula>
    </cfRule>
    <cfRule type="expression" priority="210" dxfId="0">
      <formula>AND(IF($Q225=3,1,IF($Q225=4,1,0)),IF($F225&lt;=85,1,0))</formula>
    </cfRule>
  </conditionalFormatting>
  <conditionalFormatting sqref="X225">
    <cfRule type="expression" priority="203" dxfId="3">
      <formula>AND(IF(OR($Q225=1,$Q225=2),1,0),IF($X225&lt;=20,1,0))</formula>
    </cfRule>
    <cfRule type="expression" priority="204" dxfId="2">
      <formula>AND(IF($Q225=2,1,0),IF($X225&lt;30,1,0))</formula>
    </cfRule>
    <cfRule type="expression" priority="205" dxfId="1">
      <formula>AND(IF($Q225=3,1,0),IF($X225&lt;30,1,0))</formula>
    </cfRule>
    <cfRule type="expression" priority="206" dxfId="0">
      <formula>AND(IF($Q225=3,1,IF($Q225=4,1,0)),IF($F225&lt;=85,1,0))</formula>
    </cfRule>
  </conditionalFormatting>
  <conditionalFormatting sqref="AI225">
    <cfRule type="expression" priority="199" dxfId="3">
      <formula>AND(IF(OR($Q225=1,$Q225=2),1,0),IF($X225&lt;=20,1,0))</formula>
    </cfRule>
    <cfRule type="expression" priority="200" dxfId="2">
      <formula>AND(IF($Q225=2,1,0),IF($X225&lt;30,1,0))</formula>
    </cfRule>
    <cfRule type="expression" priority="201" dxfId="1">
      <formula>AND(IF($Q225=3,1,0),IF($X225&lt;30,1,0))</formula>
    </cfRule>
    <cfRule type="expression" priority="202" dxfId="0">
      <formula>AND(IF($Q225=3,1,IF($Q225=4,1,0)),IF($F225&lt;=85,1,0))</formula>
    </cfRule>
  </conditionalFormatting>
  <conditionalFormatting sqref="AV226">
    <cfRule type="expression" priority="197" dxfId="23">
      <formula>AV226="X"</formula>
    </cfRule>
    <cfRule type="expression" priority="198" dxfId="22">
      <formula>AV226="후보"</formula>
    </cfRule>
  </conditionalFormatting>
  <conditionalFormatting sqref="AC22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2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26">
    <cfRule type="expression" priority="189" dxfId="3">
      <formula>AND(IF(OR($Q226=1,$Q226=2),1,0),IF($X226&lt;=20,1,0))</formula>
    </cfRule>
    <cfRule type="expression" priority="190" dxfId="2">
      <formula>AND(IF($Q226=2,1,0),IF($X226&lt;30,1,0))</formula>
    </cfRule>
    <cfRule type="expression" priority="191" dxfId="1">
      <formula>AND(IF($Q226=3,1,0),IF($X226&lt;30,1,0))</formula>
    </cfRule>
    <cfRule type="expression" priority="192" dxfId="0">
      <formula>AND(IF($Q226=3,1,IF($Q226=4,1,0)),IF($F226&lt;=85,1,0))</formula>
    </cfRule>
  </conditionalFormatting>
  <conditionalFormatting sqref="X226">
    <cfRule type="expression" priority="185" dxfId="3">
      <formula>AND(IF(OR($Q226=1,$Q226=2),1,0),IF($X226&lt;=20,1,0))</formula>
    </cfRule>
    <cfRule type="expression" priority="186" dxfId="2">
      <formula>AND(IF($Q226=2,1,0),IF($X226&lt;30,1,0))</formula>
    </cfRule>
    <cfRule type="expression" priority="187" dxfId="1">
      <formula>AND(IF($Q226=3,1,0),IF($X226&lt;30,1,0))</formula>
    </cfRule>
    <cfRule type="expression" priority="188" dxfId="0">
      <formula>AND(IF($Q226=3,1,IF($Q226=4,1,0)),IF($F226&lt;=85,1,0))</formula>
    </cfRule>
  </conditionalFormatting>
  <conditionalFormatting sqref="AI226">
    <cfRule type="expression" priority="181" dxfId="3">
      <formula>AND(IF(OR($Q226=1,$Q226=2),1,0),IF($X226&lt;=20,1,0))</formula>
    </cfRule>
    <cfRule type="expression" priority="182" dxfId="2">
      <formula>AND(IF($Q226=2,1,0),IF($X226&lt;30,1,0))</formula>
    </cfRule>
    <cfRule type="expression" priority="183" dxfId="1">
      <formula>AND(IF($Q226=3,1,0),IF($X226&lt;30,1,0))</formula>
    </cfRule>
    <cfRule type="expression" priority="184" dxfId="0">
      <formula>AND(IF($Q226=3,1,IF($Q226=4,1,0)),IF($F226&lt;=85,1,0))</formula>
    </cfRule>
  </conditionalFormatting>
  <conditionalFormatting sqref="AV227">
    <cfRule type="expression" priority="179" dxfId="23">
      <formula>AV227="X"</formula>
    </cfRule>
    <cfRule type="expression" priority="180" dxfId="22">
      <formula>AV227="후보"</formula>
    </cfRule>
  </conditionalFormatting>
  <conditionalFormatting sqref="AC2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7">
    <cfRule type="expression" priority="171" dxfId="3">
      <formula>AND(IF(OR($Q227=1,$Q227=2),1,0),IF($X227&lt;=20,1,0))</formula>
    </cfRule>
    <cfRule type="expression" priority="172" dxfId="2">
      <formula>AND(IF($Q227=2,1,0),IF($X227&lt;30,1,0))</formula>
    </cfRule>
    <cfRule type="expression" priority="173" dxfId="1">
      <formula>AND(IF($Q227=3,1,0),IF($X227&lt;30,1,0))</formula>
    </cfRule>
    <cfRule type="expression" priority="174" dxfId="0">
      <formula>AND(IF($Q227=3,1,IF($Q227=4,1,0)),IF($F227&lt;=85,1,0))</formula>
    </cfRule>
  </conditionalFormatting>
  <conditionalFormatting sqref="X227">
    <cfRule type="expression" priority="167" dxfId="3">
      <formula>AND(IF(OR($Q227=1,$Q227=2),1,0),IF($X227&lt;=20,1,0))</formula>
    </cfRule>
    <cfRule type="expression" priority="168" dxfId="2">
      <formula>AND(IF($Q227=2,1,0),IF($X227&lt;30,1,0))</formula>
    </cfRule>
    <cfRule type="expression" priority="169" dxfId="1">
      <formula>AND(IF($Q227=3,1,0),IF($X227&lt;30,1,0))</formula>
    </cfRule>
    <cfRule type="expression" priority="170" dxfId="0">
      <formula>AND(IF($Q227=3,1,IF($Q227=4,1,0)),IF($F227&lt;=85,1,0))</formula>
    </cfRule>
  </conditionalFormatting>
  <conditionalFormatting sqref="AI227">
    <cfRule type="expression" priority="163" dxfId="3">
      <formula>AND(IF(OR($Q227=1,$Q227=2),1,0),IF($X227&lt;=20,1,0))</formula>
    </cfRule>
    <cfRule type="expression" priority="164" dxfId="2">
      <formula>AND(IF($Q227=2,1,0),IF($X227&lt;30,1,0))</formula>
    </cfRule>
    <cfRule type="expression" priority="165" dxfId="1">
      <formula>AND(IF($Q227=3,1,0),IF($X227&lt;30,1,0))</formula>
    </cfRule>
    <cfRule type="expression" priority="166" dxfId="0">
      <formula>AND(IF($Q227=3,1,IF($Q227=4,1,0)),IF($F227&lt;=85,1,0))</formula>
    </cfRule>
  </conditionalFormatting>
  <conditionalFormatting sqref="AV228">
    <cfRule type="expression" priority="161" dxfId="23">
      <formula>AV228="X"</formula>
    </cfRule>
    <cfRule type="expression" priority="162" dxfId="22">
      <formula>AV228="후보"</formula>
    </cfRule>
  </conditionalFormatting>
  <conditionalFormatting sqref="AC22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2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28">
    <cfRule type="expression" priority="153" dxfId="3">
      <formula>AND(IF(OR($Q228=1,$Q228=2),1,0),IF($X228&lt;=20,1,0))</formula>
    </cfRule>
    <cfRule type="expression" priority="154" dxfId="2">
      <formula>AND(IF($Q228=2,1,0),IF($X228&lt;30,1,0))</formula>
    </cfRule>
    <cfRule type="expression" priority="155" dxfId="1">
      <formula>AND(IF($Q228=3,1,0),IF($X228&lt;30,1,0))</formula>
    </cfRule>
    <cfRule type="expression" priority="156" dxfId="0">
      <formula>AND(IF($Q228=3,1,IF($Q228=4,1,0)),IF($F228&lt;=85,1,0))</formula>
    </cfRule>
  </conditionalFormatting>
  <conditionalFormatting sqref="X228">
    <cfRule type="expression" priority="149" dxfId="3">
      <formula>AND(IF(OR($Q228=1,$Q228=2),1,0),IF($X228&lt;=20,1,0))</formula>
    </cfRule>
    <cfRule type="expression" priority="150" dxfId="2">
      <formula>AND(IF($Q228=2,1,0),IF($X228&lt;30,1,0))</formula>
    </cfRule>
    <cfRule type="expression" priority="151" dxfId="1">
      <formula>AND(IF($Q228=3,1,0),IF($X228&lt;30,1,0))</formula>
    </cfRule>
    <cfRule type="expression" priority="152" dxfId="0">
      <formula>AND(IF($Q228=3,1,IF($Q228=4,1,0)),IF($F228&lt;=85,1,0))</formula>
    </cfRule>
  </conditionalFormatting>
  <conditionalFormatting sqref="AI228">
    <cfRule type="expression" priority="145" dxfId="3">
      <formula>AND(IF(OR($Q228=1,$Q228=2),1,0),IF($X228&lt;=20,1,0))</formula>
    </cfRule>
    <cfRule type="expression" priority="146" dxfId="2">
      <formula>AND(IF($Q228=2,1,0),IF($X228&lt;30,1,0))</formula>
    </cfRule>
    <cfRule type="expression" priority="147" dxfId="1">
      <formula>AND(IF($Q228=3,1,0),IF($X228&lt;30,1,0))</formula>
    </cfRule>
    <cfRule type="expression" priority="148" dxfId="0">
      <formula>AND(IF($Q228=3,1,IF($Q228=4,1,0)),IF($F228&lt;=85,1,0))</formula>
    </cfRule>
  </conditionalFormatting>
  <conditionalFormatting sqref="AV229">
    <cfRule type="expression" priority="143" dxfId="23">
      <formula>AV229="X"</formula>
    </cfRule>
    <cfRule type="expression" priority="144" dxfId="22">
      <formula>AV229="후보"</formula>
    </cfRule>
  </conditionalFormatting>
  <conditionalFormatting sqref="AC22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29">
    <cfRule type="expression" priority="135" dxfId="3">
      <formula>AND(IF(OR($Q229=1,$Q229=2),1,0),IF($X229&lt;=20,1,0))</formula>
    </cfRule>
    <cfRule type="expression" priority="136" dxfId="2">
      <formula>AND(IF($Q229=2,1,0),IF($X229&lt;30,1,0))</formula>
    </cfRule>
    <cfRule type="expression" priority="137" dxfId="1">
      <formula>AND(IF($Q229=3,1,0),IF($X229&lt;30,1,0))</formula>
    </cfRule>
    <cfRule type="expression" priority="138" dxfId="0">
      <formula>AND(IF($Q229=3,1,IF($Q229=4,1,0)),IF($F229&lt;=85,1,0))</formula>
    </cfRule>
  </conditionalFormatting>
  <conditionalFormatting sqref="X229">
    <cfRule type="expression" priority="131" dxfId="3">
      <formula>AND(IF(OR($Q229=1,$Q229=2),1,0),IF($X229&lt;=20,1,0))</formula>
    </cfRule>
    <cfRule type="expression" priority="132" dxfId="2">
      <formula>AND(IF($Q229=2,1,0),IF($X229&lt;30,1,0))</formula>
    </cfRule>
    <cfRule type="expression" priority="133" dxfId="1">
      <formula>AND(IF($Q229=3,1,0),IF($X229&lt;30,1,0))</formula>
    </cfRule>
    <cfRule type="expression" priority="134" dxfId="0">
      <formula>AND(IF($Q229=3,1,IF($Q229=4,1,0)),IF($F229&lt;=85,1,0))</formula>
    </cfRule>
  </conditionalFormatting>
  <conditionalFormatting sqref="AI229">
    <cfRule type="expression" priority="127" dxfId="3">
      <formula>AND(IF(OR($Q229=1,$Q229=2),1,0),IF($X229&lt;=20,1,0))</formula>
    </cfRule>
    <cfRule type="expression" priority="128" dxfId="2">
      <formula>AND(IF($Q229=2,1,0),IF($X229&lt;30,1,0))</formula>
    </cfRule>
    <cfRule type="expression" priority="129" dxfId="1">
      <formula>AND(IF($Q229=3,1,0),IF($X229&lt;30,1,0))</formula>
    </cfRule>
    <cfRule type="expression" priority="130" dxfId="0">
      <formula>AND(IF($Q229=3,1,IF($Q229=4,1,0)),IF($F229&lt;=85,1,0))</formula>
    </cfRule>
  </conditionalFormatting>
  <conditionalFormatting sqref="AV230">
    <cfRule type="expression" priority="125" dxfId="23">
      <formula>AV230="X"</formula>
    </cfRule>
    <cfRule type="expression" priority="126" dxfId="22">
      <formula>AV230="후보"</formula>
    </cfRule>
  </conditionalFormatting>
  <conditionalFormatting sqref="AC23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0">
    <cfRule type="expression" priority="117" dxfId="3">
      <formula>AND(IF(OR($Q230=1,$Q230=2),1,0),IF($X230&lt;=20,1,0))</formula>
    </cfRule>
    <cfRule type="expression" priority="118" dxfId="2">
      <formula>AND(IF($Q230=2,1,0),IF($X230&lt;30,1,0))</formula>
    </cfRule>
    <cfRule type="expression" priority="119" dxfId="1">
      <formula>AND(IF($Q230=3,1,0),IF($X230&lt;30,1,0))</formula>
    </cfRule>
    <cfRule type="expression" priority="120" dxfId="0">
      <formula>AND(IF($Q230=3,1,IF($Q230=4,1,0)),IF($F230&lt;=85,1,0))</formula>
    </cfRule>
  </conditionalFormatting>
  <conditionalFormatting sqref="X230">
    <cfRule type="expression" priority="113" dxfId="3">
      <formula>AND(IF(OR($Q230=1,$Q230=2),1,0),IF($X230&lt;=20,1,0))</formula>
    </cfRule>
    <cfRule type="expression" priority="114" dxfId="2">
      <formula>AND(IF($Q230=2,1,0),IF($X230&lt;30,1,0))</formula>
    </cfRule>
    <cfRule type="expression" priority="115" dxfId="1">
      <formula>AND(IF($Q230=3,1,0),IF($X230&lt;30,1,0))</formula>
    </cfRule>
    <cfRule type="expression" priority="116" dxfId="0">
      <formula>AND(IF($Q230=3,1,IF($Q230=4,1,0)),IF($F230&lt;=85,1,0))</formula>
    </cfRule>
  </conditionalFormatting>
  <conditionalFormatting sqref="AI230">
    <cfRule type="expression" priority="109" dxfId="3">
      <formula>AND(IF(OR($Q230=1,$Q230=2),1,0),IF($X230&lt;=20,1,0))</formula>
    </cfRule>
    <cfRule type="expression" priority="110" dxfId="2">
      <formula>AND(IF($Q230=2,1,0),IF($X230&lt;30,1,0))</formula>
    </cfRule>
    <cfRule type="expression" priority="111" dxfId="1">
      <formula>AND(IF($Q230=3,1,0),IF($X230&lt;30,1,0))</formula>
    </cfRule>
    <cfRule type="expression" priority="112" dxfId="0">
      <formula>AND(IF($Q230=3,1,IF($Q230=4,1,0)),IF($F230&lt;=85,1,0))</formula>
    </cfRule>
  </conditionalFormatting>
  <conditionalFormatting sqref="AV231">
    <cfRule type="expression" priority="107" dxfId="23">
      <formula>AV231="X"</formula>
    </cfRule>
    <cfRule type="expression" priority="108" dxfId="22">
      <formula>AV231="후보"</formula>
    </cfRule>
  </conditionalFormatting>
  <conditionalFormatting sqref="AC23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1">
    <cfRule type="expression" priority="99" dxfId="3">
      <formula>AND(IF(OR($Q231=1,$Q231=2),1,0),IF($X231&lt;=20,1,0))</formula>
    </cfRule>
    <cfRule type="expression" priority="100" dxfId="2">
      <formula>AND(IF($Q231=2,1,0),IF($X231&lt;30,1,0))</formula>
    </cfRule>
    <cfRule type="expression" priority="101" dxfId="1">
      <formula>AND(IF($Q231=3,1,0),IF($X231&lt;30,1,0))</formula>
    </cfRule>
    <cfRule type="expression" priority="102" dxfId="0">
      <formula>AND(IF($Q231=3,1,IF($Q231=4,1,0)),IF($F231&lt;=85,1,0))</formula>
    </cfRule>
  </conditionalFormatting>
  <conditionalFormatting sqref="X231">
    <cfRule type="expression" priority="95" dxfId="3">
      <formula>AND(IF(OR($Q231=1,$Q231=2),1,0),IF($X231&lt;=20,1,0))</formula>
    </cfRule>
    <cfRule type="expression" priority="96" dxfId="2">
      <formula>AND(IF($Q231=2,1,0),IF($X231&lt;30,1,0))</formula>
    </cfRule>
    <cfRule type="expression" priority="97" dxfId="1">
      <formula>AND(IF($Q231=3,1,0),IF($X231&lt;30,1,0))</formula>
    </cfRule>
    <cfRule type="expression" priority="98" dxfId="0">
      <formula>AND(IF($Q231=3,1,IF($Q231=4,1,0)),IF($F231&lt;=85,1,0))</formula>
    </cfRule>
  </conditionalFormatting>
  <conditionalFormatting sqref="AI231">
    <cfRule type="expression" priority="91" dxfId="3">
      <formula>AND(IF(OR($Q231=1,$Q231=2),1,0),IF($X231&lt;=20,1,0))</formula>
    </cfRule>
    <cfRule type="expression" priority="92" dxfId="2">
      <formula>AND(IF($Q231=2,1,0),IF($X231&lt;30,1,0))</formula>
    </cfRule>
    <cfRule type="expression" priority="93" dxfId="1">
      <formula>AND(IF($Q231=3,1,0),IF($X231&lt;30,1,0))</formula>
    </cfRule>
    <cfRule type="expression" priority="94" dxfId="0">
      <formula>AND(IF($Q231=3,1,IF($Q231=4,1,0)),IF($F231&lt;=85,1,0))</formula>
    </cfRule>
  </conditionalFormatting>
  <conditionalFormatting sqref="AV232">
    <cfRule type="expression" priority="89" dxfId="23">
      <formula>AV232="X"</formula>
    </cfRule>
    <cfRule type="expression" priority="90" dxfId="22">
      <formula>AV232="후보"</formula>
    </cfRule>
  </conditionalFormatting>
  <conditionalFormatting sqref="AC23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2">
    <cfRule type="expression" priority="81" dxfId="3">
      <formula>AND(IF(OR($Q232=1,$Q232=2),1,0),IF($X232&lt;=20,1,0))</formula>
    </cfRule>
    <cfRule type="expression" priority="82" dxfId="2">
      <formula>AND(IF($Q232=2,1,0),IF($X232&lt;30,1,0))</formula>
    </cfRule>
    <cfRule type="expression" priority="83" dxfId="1">
      <formula>AND(IF($Q232=3,1,0),IF($X232&lt;30,1,0))</formula>
    </cfRule>
    <cfRule type="expression" priority="84" dxfId="0">
      <formula>AND(IF($Q232=3,1,IF($Q232=4,1,0)),IF($F232&lt;=85,1,0))</formula>
    </cfRule>
  </conditionalFormatting>
  <conditionalFormatting sqref="X232">
    <cfRule type="expression" priority="77" dxfId="3">
      <formula>AND(IF(OR($Q232=1,$Q232=2),1,0),IF($X232&lt;=20,1,0))</formula>
    </cfRule>
    <cfRule type="expression" priority="78" dxfId="2">
      <formula>AND(IF($Q232=2,1,0),IF($X232&lt;30,1,0))</formula>
    </cfRule>
    <cfRule type="expression" priority="79" dxfId="1">
      <formula>AND(IF($Q232=3,1,0),IF($X232&lt;30,1,0))</formula>
    </cfRule>
    <cfRule type="expression" priority="80" dxfId="0">
      <formula>AND(IF($Q232=3,1,IF($Q232=4,1,0)),IF($F232&lt;=85,1,0))</formula>
    </cfRule>
  </conditionalFormatting>
  <conditionalFormatting sqref="AI232">
    <cfRule type="expression" priority="73" dxfId="3">
      <formula>AND(IF(OR($Q232=1,$Q232=2),1,0),IF($X232&lt;=20,1,0))</formula>
    </cfRule>
    <cfRule type="expression" priority="74" dxfId="2">
      <formula>AND(IF($Q232=2,1,0),IF($X232&lt;30,1,0))</formula>
    </cfRule>
    <cfRule type="expression" priority="75" dxfId="1">
      <formula>AND(IF($Q232=3,1,0),IF($X232&lt;30,1,0))</formula>
    </cfRule>
    <cfRule type="expression" priority="76" dxfId="0">
      <formula>AND(IF($Q232=3,1,IF($Q232=4,1,0)),IF($F232&lt;=85,1,0))</formula>
    </cfRule>
  </conditionalFormatting>
  <conditionalFormatting sqref="AV233">
    <cfRule type="expression" priority="71" dxfId="23">
      <formula>AV233="X"</formula>
    </cfRule>
    <cfRule type="expression" priority="72" dxfId="22">
      <formula>AV233="후보"</formula>
    </cfRule>
  </conditionalFormatting>
  <conditionalFormatting sqref="AC23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3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33">
    <cfRule type="expression" priority="63" dxfId="3">
      <formula>AND(IF(OR($Q233=1,$Q233=2),1,0),IF($X233&lt;=20,1,0))</formula>
    </cfRule>
    <cfRule type="expression" priority="64" dxfId="2">
      <formula>AND(IF($Q233=2,1,0),IF($X233&lt;30,1,0))</formula>
    </cfRule>
    <cfRule type="expression" priority="65" dxfId="1">
      <formula>AND(IF($Q233=3,1,0),IF($X233&lt;30,1,0))</formula>
    </cfRule>
    <cfRule type="expression" priority="66" dxfId="0">
      <formula>AND(IF($Q233=3,1,IF($Q233=4,1,0)),IF($F233&lt;=85,1,0))</formula>
    </cfRule>
  </conditionalFormatting>
  <conditionalFormatting sqref="X233">
    <cfRule type="expression" priority="59" dxfId="3">
      <formula>AND(IF(OR($Q233=1,$Q233=2),1,0),IF($X233&lt;=20,1,0))</formula>
    </cfRule>
    <cfRule type="expression" priority="60" dxfId="2">
      <formula>AND(IF($Q233=2,1,0),IF($X233&lt;30,1,0))</formula>
    </cfRule>
    <cfRule type="expression" priority="61" dxfId="1">
      <formula>AND(IF($Q233=3,1,0),IF($X233&lt;30,1,0))</formula>
    </cfRule>
    <cfRule type="expression" priority="62" dxfId="0">
      <formula>AND(IF($Q233=3,1,IF($Q233=4,1,0)),IF($F233&lt;=85,1,0))</formula>
    </cfRule>
  </conditionalFormatting>
  <conditionalFormatting sqref="AI233">
    <cfRule type="expression" priority="55" dxfId="3">
      <formula>AND(IF(OR($Q233=1,$Q233=2),1,0),IF($X233&lt;=20,1,0))</formula>
    </cfRule>
    <cfRule type="expression" priority="56" dxfId="2">
      <formula>AND(IF($Q233=2,1,0),IF($X233&lt;30,1,0))</formula>
    </cfRule>
    <cfRule type="expression" priority="57" dxfId="1">
      <formula>AND(IF($Q233=3,1,0),IF($X233&lt;30,1,0))</formula>
    </cfRule>
    <cfRule type="expression" priority="58" dxfId="0">
      <formula>AND(IF($Q233=3,1,IF($Q233=4,1,0)),IF($F233&lt;=85,1,0))</formula>
    </cfRule>
  </conditionalFormatting>
  <conditionalFormatting sqref="AV234">
    <cfRule type="expression" priority="53" dxfId="23">
      <formula>AV234="X"</formula>
    </cfRule>
    <cfRule type="expression" priority="54" dxfId="22">
      <formula>AV234="후보"</formula>
    </cfRule>
  </conditionalFormatting>
  <conditionalFormatting sqref="AC2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3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34">
    <cfRule type="expression" priority="45" dxfId="3">
      <formula>AND(IF(OR($Q234=1,$Q234=2),1,0),IF($X234&lt;=20,1,0))</formula>
    </cfRule>
    <cfRule type="expression" priority="46" dxfId="2">
      <formula>AND(IF($Q234=2,1,0),IF($X234&lt;30,1,0))</formula>
    </cfRule>
    <cfRule type="expression" priority="47" dxfId="1">
      <formula>AND(IF($Q234=3,1,0),IF($X234&lt;30,1,0))</formula>
    </cfRule>
    <cfRule type="expression" priority="48" dxfId="0">
      <formula>AND(IF($Q234=3,1,IF($Q234=4,1,0)),IF($F234&lt;=85,1,0))</formula>
    </cfRule>
  </conditionalFormatting>
  <conditionalFormatting sqref="X234">
    <cfRule type="expression" priority="41" dxfId="3">
      <formula>AND(IF(OR($Q234=1,$Q234=2),1,0),IF($X234&lt;=20,1,0))</formula>
    </cfRule>
    <cfRule type="expression" priority="42" dxfId="2">
      <formula>AND(IF($Q234=2,1,0),IF($X234&lt;30,1,0))</formula>
    </cfRule>
    <cfRule type="expression" priority="43" dxfId="1">
      <formula>AND(IF($Q234=3,1,0),IF($X234&lt;30,1,0))</formula>
    </cfRule>
    <cfRule type="expression" priority="44" dxfId="0">
      <formula>AND(IF($Q234=3,1,IF($Q234=4,1,0)),IF($F234&lt;=85,1,0))</formula>
    </cfRule>
  </conditionalFormatting>
  <conditionalFormatting sqref="AI234">
    <cfRule type="expression" priority="37" dxfId="3">
      <formula>AND(IF(OR($Q234=1,$Q234=2),1,0),IF($X234&lt;=20,1,0))</formula>
    </cfRule>
    <cfRule type="expression" priority="38" dxfId="2">
      <formula>AND(IF($Q234=2,1,0),IF($X234&lt;30,1,0))</formula>
    </cfRule>
    <cfRule type="expression" priority="39" dxfId="1">
      <formula>AND(IF($Q234=3,1,0),IF($X234&lt;30,1,0))</formula>
    </cfRule>
    <cfRule type="expression" priority="40" dxfId="0">
      <formula>AND(IF($Q234=3,1,IF($Q234=4,1,0)),IF($F234&lt;=85,1,0))</formula>
    </cfRule>
  </conditionalFormatting>
  <conditionalFormatting sqref="AV235">
    <cfRule type="expression" priority="35" dxfId="23">
      <formula>AV235="X"</formula>
    </cfRule>
    <cfRule type="expression" priority="36" dxfId="22">
      <formula>AV235="후보"</formula>
    </cfRule>
  </conditionalFormatting>
  <conditionalFormatting sqref="AC23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3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35">
    <cfRule type="expression" priority="27" dxfId="3">
      <formula>AND(IF(OR($Q235=1,$Q235=2),1,0),IF($X235&lt;=20,1,0))</formula>
    </cfRule>
    <cfRule type="expression" priority="28" dxfId="2">
      <formula>AND(IF($Q235=2,1,0),IF($X235&lt;30,1,0))</formula>
    </cfRule>
    <cfRule type="expression" priority="29" dxfId="1">
      <formula>AND(IF($Q235=3,1,0),IF($X235&lt;30,1,0))</formula>
    </cfRule>
    <cfRule type="expression" priority="30" dxfId="0">
      <formula>AND(IF($Q235=3,1,IF($Q235=4,1,0)),IF($F235&lt;=85,1,0))</formula>
    </cfRule>
  </conditionalFormatting>
  <conditionalFormatting sqref="X235">
    <cfRule type="expression" priority="23" dxfId="3">
      <formula>AND(IF(OR($Q235=1,$Q235=2),1,0),IF($X235&lt;=20,1,0))</formula>
    </cfRule>
    <cfRule type="expression" priority="24" dxfId="2">
      <formula>AND(IF($Q235=2,1,0),IF($X235&lt;30,1,0))</formula>
    </cfRule>
    <cfRule type="expression" priority="25" dxfId="1">
      <formula>AND(IF($Q235=3,1,0),IF($X235&lt;30,1,0))</formula>
    </cfRule>
    <cfRule type="expression" priority="26" dxfId="0">
      <formula>AND(IF($Q235=3,1,IF($Q235=4,1,0)),IF($F235&lt;=85,1,0))</formula>
    </cfRule>
  </conditionalFormatting>
  <conditionalFormatting sqref="AI235">
    <cfRule type="expression" priority="19" dxfId="3">
      <formula>AND(IF(OR($Q235=1,$Q235=2),1,0),IF($X235&lt;=20,1,0))</formula>
    </cfRule>
    <cfRule type="expression" priority="20" dxfId="2">
      <formula>AND(IF($Q235=2,1,0),IF($X235&lt;30,1,0))</formula>
    </cfRule>
    <cfRule type="expression" priority="21" dxfId="1">
      <formula>AND(IF($Q235=3,1,0),IF($X235&lt;30,1,0))</formula>
    </cfRule>
    <cfRule type="expression" priority="22" dxfId="0">
      <formula>AND(IF($Q235=3,1,IF($Q235=4,1,0)),IF($F235&lt;=85,1,0))</formula>
    </cfRule>
  </conditionalFormatting>
  <conditionalFormatting sqref="AV236">
    <cfRule type="expression" priority="17" dxfId="23">
      <formula>AV236="X"</formula>
    </cfRule>
    <cfRule type="expression" priority="18" dxfId="22">
      <formula>AV236="후보"</formula>
    </cfRule>
  </conditionalFormatting>
  <conditionalFormatting sqref="AC2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6">
    <cfRule type="expression" priority="9" dxfId="3">
      <formula>AND(IF(OR($Q236=1,$Q236=2),1,0),IF($X236&lt;=20,1,0))</formula>
    </cfRule>
    <cfRule type="expression" priority="10" dxfId="2">
      <formula>AND(IF($Q236=2,1,0),IF($X236&lt;30,1,0))</formula>
    </cfRule>
    <cfRule type="expression" priority="11" dxfId="1">
      <formula>AND(IF($Q236=3,1,0),IF($X236&lt;30,1,0))</formula>
    </cfRule>
    <cfRule type="expression" priority="12" dxfId="0">
      <formula>AND(IF($Q236=3,1,IF($Q236=4,1,0)),IF($F236&lt;=85,1,0))</formula>
    </cfRule>
  </conditionalFormatting>
  <conditionalFormatting sqref="X236">
    <cfRule type="expression" priority="5" dxfId="3">
      <formula>AND(IF(OR($Q236=1,$Q236=2),1,0),IF($X236&lt;=20,1,0))</formula>
    </cfRule>
    <cfRule type="expression" priority="6" dxfId="2">
      <formula>AND(IF($Q236=2,1,0),IF($X236&lt;30,1,0))</formula>
    </cfRule>
    <cfRule type="expression" priority="7" dxfId="1">
      <formula>AND(IF($Q236=3,1,0),IF($X236&lt;30,1,0))</formula>
    </cfRule>
    <cfRule type="expression" priority="8" dxfId="0">
      <formula>AND(IF($Q236=3,1,IF($Q236=4,1,0)),IF($F236&lt;=85,1,0))</formula>
    </cfRule>
  </conditionalFormatting>
  <conditionalFormatting sqref="AI236">
    <cfRule type="expression" priority="1" dxfId="3">
      <formula>AND(IF(OR($Q236=1,$Q236=2),1,0),IF($X236&lt;=20,1,0))</formula>
    </cfRule>
    <cfRule type="expression" priority="2" dxfId="2">
      <formula>AND(IF($Q236=2,1,0),IF($X236&lt;30,1,0))</formula>
    </cfRule>
    <cfRule type="expression" priority="3" dxfId="1">
      <formula>AND(IF($Q236=3,1,0),IF($X236&lt;30,1,0))</formula>
    </cfRule>
    <cfRule type="expression" priority="4" dxfId="0">
      <formula>AND(IF($Q236=3,1,IF($Q236=4,1,0)),IF($F236&lt;=85,1,0))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23" sqref="C23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O</t>
        </is>
      </c>
      <c r="M1" s="0" t="n"/>
      <c r="N1" s="113" t="inlineStr">
        <is>
          <t>추출기준세대수</t>
        </is>
      </c>
      <c r="O1" s="112" t="n"/>
      <c r="P1" s="126" t="n">
        <v>30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</row>
    <row r="4" ht="12" customFormat="1" customHeight="1" s="38">
      <c r="A4" s="122" t="inlineStr">
        <is>
          <t>용암동 대원칸타빌더테라스1단지</t>
        </is>
      </c>
      <c r="B4" s="123" t="inlineStr">
        <is>
          <t>19.12.</t>
        </is>
      </c>
      <c r="C4" s="131" t="n">
        <v>676</v>
      </c>
      <c r="D4" s="132" t="n">
        <v>140.1</v>
      </c>
      <c r="E4" s="133" t="n">
        <v>42</v>
      </c>
      <c r="F4" s="132" t="n">
        <v>116.6</v>
      </c>
      <c r="G4" s="17" t="n">
        <v>35</v>
      </c>
      <c r="H4" s="134" t="n">
        <v>171</v>
      </c>
      <c r="I4" s="135" t="n">
        <v>80000</v>
      </c>
      <c r="J4" s="135" t="inlineStr">
        <is>
          <t>중</t>
        </is>
      </c>
      <c r="K4" s="135" t="n">
        <v>51000</v>
      </c>
      <c r="L4" s="135" t="inlineStr">
        <is>
          <t>22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4</v>
      </c>
      <c r="R4" s="119" t="n">
        <v>2</v>
      </c>
      <c r="S4" s="119" t="inlineStr">
        <is>
          <t>계</t>
        </is>
      </c>
      <c r="T4" s="5" t="n">
        <v>140</v>
      </c>
      <c r="U4" s="9" t="n"/>
    </row>
    <row r="5" ht="12" customFormat="1" customHeight="1" s="38">
      <c r="A5" s="122" t="inlineStr">
        <is>
          <t>용암동 대원칸타빌더테라스1단지</t>
        </is>
      </c>
      <c r="B5" s="123" t="inlineStr">
        <is>
          <t>19.12.</t>
        </is>
      </c>
      <c r="C5" s="131" t="n">
        <v>676</v>
      </c>
      <c r="D5" s="132" t="n">
        <v>129.2</v>
      </c>
      <c r="E5" s="133" t="n">
        <v>39</v>
      </c>
      <c r="F5" s="132" t="n">
        <v>105.6</v>
      </c>
      <c r="G5" s="17" t="n">
        <v>32</v>
      </c>
      <c r="H5" s="134" t="n">
        <v>100</v>
      </c>
      <c r="I5" s="135" t="n">
        <v>74000</v>
      </c>
      <c r="J5" s="135" t="inlineStr">
        <is>
          <t>24</t>
        </is>
      </c>
      <c r="K5" s="135" t="n">
        <v>50000</v>
      </c>
      <c r="L5" s="135" t="inlineStr">
        <is>
          <t>중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4</v>
      </c>
      <c r="R5" s="119" t="n">
        <v>2</v>
      </c>
      <c r="S5" s="119" t="inlineStr">
        <is>
          <t>계</t>
        </is>
      </c>
      <c r="T5" s="5" t="n">
        <v>129</v>
      </c>
      <c r="U5" s="9" t="n"/>
    </row>
    <row r="6" ht="12" customFormat="1" customHeight="1" s="38">
      <c r="A6" s="122" t="inlineStr">
        <is>
          <t>방서동 중흥S-클래스더퍼스트</t>
        </is>
      </c>
      <c r="B6" s="123" t="inlineStr">
        <is>
          <t>18.09.</t>
        </is>
      </c>
      <c r="C6" s="131" t="n">
        <v>1595</v>
      </c>
      <c r="D6" s="132" t="n">
        <v>144.7</v>
      </c>
      <c r="E6" s="133" t="n">
        <v>44</v>
      </c>
      <c r="F6" s="132" t="n">
        <v>110.2</v>
      </c>
      <c r="G6" s="17" t="n">
        <v>33</v>
      </c>
      <c r="H6" s="134" t="n">
        <v>155</v>
      </c>
      <c r="I6" s="135" t="n">
        <v>73000</v>
      </c>
      <c r="J6" s="135" t="inlineStr">
        <is>
          <t>6</t>
        </is>
      </c>
      <c r="K6" s="135" t="n">
        <v>54000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144</v>
      </c>
      <c r="U6" s="9" t="n"/>
    </row>
    <row r="7" ht="12" customFormat="1" customHeight="1" s="38">
      <c r="A7" s="122" t="inlineStr">
        <is>
          <t>용정동 우미린에듀파크1단지</t>
        </is>
      </c>
      <c r="B7" s="123" t="inlineStr">
        <is>
          <t>17.11.</t>
        </is>
      </c>
      <c r="C7" s="131" t="n">
        <v>390</v>
      </c>
      <c r="D7" s="132" t="n">
        <v>164</v>
      </c>
      <c r="E7" s="133" t="n">
        <v>50</v>
      </c>
      <c r="F7" s="132" t="n">
        <v>136.5</v>
      </c>
      <c r="G7" s="17" t="n">
        <v>41</v>
      </c>
      <c r="H7" s="134" t="n">
        <v>40</v>
      </c>
      <c r="I7" s="135" t="n">
        <v>73000</v>
      </c>
      <c r="J7" s="135" t="inlineStr">
        <is>
          <t>12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5</v>
      </c>
      <c r="R7" s="119" t="n">
        <v>2</v>
      </c>
      <c r="S7" s="119" t="inlineStr">
        <is>
          <t>계</t>
        </is>
      </c>
      <c r="T7" s="5" t="n">
        <v>163</v>
      </c>
      <c r="U7" s="9" t="n"/>
    </row>
    <row r="8" ht="12" customFormat="1" customHeight="1" s="38">
      <c r="A8" s="122" t="inlineStr">
        <is>
          <t>방서동 청주센트럴자이</t>
        </is>
      </c>
      <c r="B8" s="123" t="inlineStr">
        <is>
          <t>18.09.</t>
        </is>
      </c>
      <c r="C8" s="131" t="n">
        <v>1500</v>
      </c>
      <c r="D8" s="132" t="n">
        <v>134.9</v>
      </c>
      <c r="E8" s="133" t="n">
        <v>41</v>
      </c>
      <c r="F8" s="132" t="n">
        <v>101.9</v>
      </c>
      <c r="G8" s="17" t="n">
        <v>31</v>
      </c>
      <c r="H8" s="134" t="n">
        <v>145</v>
      </c>
      <c r="I8" s="135" t="n">
        <v>70000</v>
      </c>
      <c r="J8" s="135" t="inlineStr">
        <is>
          <t>22</t>
        </is>
      </c>
      <c r="K8" s="135" t="n">
        <v>50000</v>
      </c>
      <c r="L8" s="135" t="inlineStr">
        <is>
          <t>22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134</v>
      </c>
      <c r="U8" s="9" t="n"/>
    </row>
    <row r="9" ht="12" customFormat="1" customHeight="1" s="38">
      <c r="A9" s="122" t="inlineStr">
        <is>
          <t>용정동 청주용정한라비발디1단지</t>
        </is>
      </c>
      <c r="B9" s="123" t="inlineStr">
        <is>
          <t>13.06.</t>
        </is>
      </c>
      <c r="C9" s="131" t="n">
        <v>612</v>
      </c>
      <c r="D9" s="132" t="n">
        <v>171.9</v>
      </c>
      <c r="E9" s="133" t="n">
        <v>52</v>
      </c>
      <c r="F9" s="132" t="n">
        <v>134.3</v>
      </c>
      <c r="G9" s="17" t="n">
        <v>41</v>
      </c>
      <c r="H9" s="134" t="n">
        <v>45</v>
      </c>
      <c r="I9" s="135" t="n">
        <v>69000</v>
      </c>
      <c r="J9" s="135" t="inlineStr">
        <is>
          <t>21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171</v>
      </c>
      <c r="U9" s="9" t="n"/>
    </row>
    <row r="10" ht="12" customFormat="1" customHeight="1" s="38">
      <c r="A10" s="122" t="inlineStr">
        <is>
          <t>용정동 우미린에듀파크1단지</t>
        </is>
      </c>
      <c r="B10" s="123" t="inlineStr">
        <is>
          <t>17.11.</t>
        </is>
      </c>
      <c r="C10" s="131" t="n">
        <v>390</v>
      </c>
      <c r="D10" s="132" t="n">
        <v>142.1</v>
      </c>
      <c r="E10" s="133" t="n">
        <v>43</v>
      </c>
      <c r="F10" s="132" t="n">
        <v>113.9</v>
      </c>
      <c r="G10" s="17" t="n">
        <v>34</v>
      </c>
      <c r="H10" s="134" t="n">
        <v>171</v>
      </c>
      <c r="I10" s="135" t="n">
        <v>64000</v>
      </c>
      <c r="J10" s="135" t="inlineStr">
        <is>
          <t>고</t>
        </is>
      </c>
      <c r="K10" s="135" t="n">
        <v>47000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142</v>
      </c>
      <c r="U10" s="9" t="n"/>
    </row>
    <row r="11" ht="12" customFormat="1" customHeight="1" s="38">
      <c r="A11" s="122" t="inlineStr">
        <is>
          <t>용암동 대원칸타빌더테라스1단지</t>
        </is>
      </c>
      <c r="B11" s="123" t="inlineStr">
        <is>
          <t>19.12.</t>
        </is>
      </c>
      <c r="C11" s="131" t="n">
        <v>676</v>
      </c>
      <c r="D11" s="132" t="n">
        <v>108.1</v>
      </c>
      <c r="E11" s="133" t="n">
        <v>33</v>
      </c>
      <c r="F11" s="132" t="n">
        <v>84.59999999999999</v>
      </c>
      <c r="G11" s="17" t="n">
        <v>26</v>
      </c>
      <c r="H11" s="134" t="n">
        <v>96</v>
      </c>
      <c r="I11" s="135" t="n">
        <v>60000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108A</t>
        </is>
      </c>
      <c r="U11" s="9" t="n"/>
    </row>
    <row r="12" ht="12" customFormat="1" customHeight="1" s="38">
      <c r="A12" s="122" t="inlineStr">
        <is>
          <t>용암동 청주동남시티프라디움B1블록</t>
        </is>
      </c>
      <c r="B12" s="123" t="inlineStr">
        <is>
          <t>20.03.</t>
        </is>
      </c>
      <c r="C12" s="131" t="n">
        <v>797</v>
      </c>
      <c r="D12" s="132" t="n">
        <v>106.2</v>
      </c>
      <c r="E12" s="133" t="n">
        <v>32</v>
      </c>
      <c r="F12" s="132" t="n">
        <v>85</v>
      </c>
      <c r="G12" s="17" t="n">
        <v>26</v>
      </c>
      <c r="H12" s="134" t="n">
        <v>272</v>
      </c>
      <c r="I12" s="135" t="n">
        <v>51000</v>
      </c>
      <c r="J12" s="135" t="inlineStr">
        <is>
          <t>15</t>
        </is>
      </c>
      <c r="K12" s="135" t="n">
        <v>38000</v>
      </c>
      <c r="L12" s="135" t="inlineStr">
        <is>
          <t>8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106A</t>
        </is>
      </c>
      <c r="U12" s="9" t="n"/>
    </row>
    <row r="13" ht="12" customFormat="1" customHeight="1" s="38">
      <c r="A13" s="122" t="inlineStr">
        <is>
          <t>방서동 청주센트럴자이</t>
        </is>
      </c>
      <c r="B13" s="123" t="inlineStr">
        <is>
          <t>18.09.</t>
        </is>
      </c>
      <c r="C13" s="131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50000</v>
      </c>
      <c r="J13" s="135" t="inlineStr">
        <is>
          <t>17</t>
        </is>
      </c>
      <c r="K13" s="135" t="n">
        <v>40000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</row>
    <row r="14" ht="12" customFormat="1" customHeight="1" s="38">
      <c r="A14" s="122" t="inlineStr">
        <is>
          <t>용암동 청주동남시티프라디움B2블록</t>
        </is>
      </c>
      <c r="B14" s="123" t="inlineStr">
        <is>
          <t>20.03.</t>
        </is>
      </c>
      <c r="C14" s="131" t="n">
        <v>610</v>
      </c>
      <c r="D14" s="132" t="n">
        <v>106.9</v>
      </c>
      <c r="E14" s="133" t="n">
        <v>32</v>
      </c>
      <c r="F14" s="132" t="n">
        <v>85</v>
      </c>
      <c r="G14" s="17" t="n">
        <v>26</v>
      </c>
      <c r="H14" s="134" t="n">
        <v>222</v>
      </c>
      <c r="I14" s="135" t="n">
        <v>50000</v>
      </c>
      <c r="J14" s="135" t="inlineStr">
        <is>
          <t>7</t>
        </is>
      </c>
      <c r="K14" s="135" t="n">
        <v>35000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106A</t>
        </is>
      </c>
      <c r="U14" s="9" t="n"/>
    </row>
    <row r="15" ht="12" customFormat="1" customHeight="1" s="38">
      <c r="A15" s="122" t="inlineStr">
        <is>
          <t>용암동 대원칸타빌더테라스1단지</t>
        </is>
      </c>
      <c r="B15" s="123" t="inlineStr">
        <is>
          <t>19.12.</t>
        </is>
      </c>
      <c r="C15" s="131" t="n">
        <v>676</v>
      </c>
      <c r="D15" s="132" t="n">
        <v>100.5</v>
      </c>
      <c r="E15" s="133" t="n">
        <v>30</v>
      </c>
      <c r="F15" s="132" t="n">
        <v>78.90000000000001</v>
      </c>
      <c r="G15" s="17" t="n">
        <v>24</v>
      </c>
      <c r="H15" s="134" t="n">
        <v>189</v>
      </c>
      <c r="I15" s="135" t="n">
        <v>48000</v>
      </c>
      <c r="J15" s="135" t="inlineStr">
        <is>
          <t>16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100</v>
      </c>
      <c r="U15" s="9" t="n"/>
    </row>
    <row r="16" ht="12" customFormat="1" customHeight="1" s="38">
      <c r="A16" s="122" t="inlineStr">
        <is>
          <t>용정동 청주용정한라비발디1단지</t>
        </is>
      </c>
      <c r="B16" s="123" t="inlineStr">
        <is>
          <t>13.06.</t>
        </is>
      </c>
      <c r="C16" s="131" t="n">
        <v>612</v>
      </c>
      <c r="D16" s="132" t="n">
        <v>130.7</v>
      </c>
      <c r="E16" s="133" t="n">
        <v>40</v>
      </c>
      <c r="F16" s="132" t="n">
        <v>102</v>
      </c>
      <c r="G16" s="17" t="n">
        <v>31</v>
      </c>
      <c r="H16" s="134" t="n">
        <v>113</v>
      </c>
      <c r="I16" s="135" t="n">
        <v>48000</v>
      </c>
      <c r="J16" s="135" t="inlineStr">
        <is>
          <t>12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130C</t>
        </is>
      </c>
      <c r="U16" s="9" t="n"/>
    </row>
    <row r="17" ht="12" customFormat="1" customHeight="1" s="38">
      <c r="A17" s="122" t="inlineStr">
        <is>
          <t>문화동 문화센트럴칸타빌</t>
        </is>
      </c>
      <c r="B17" s="123" t="inlineStr">
        <is>
          <t>18.12.</t>
        </is>
      </c>
      <c r="C17" s="131" t="n">
        <v>630</v>
      </c>
      <c r="D17" s="132" t="n">
        <v>130.3</v>
      </c>
      <c r="E17" s="133" t="n">
        <v>39</v>
      </c>
      <c r="F17" s="132" t="n">
        <v>96.90000000000001</v>
      </c>
      <c r="G17" s="17" t="n">
        <v>29</v>
      </c>
      <c r="H17" s="134" t="n">
        <v>108</v>
      </c>
      <c r="I17" s="135" t="n">
        <v>47000</v>
      </c>
      <c r="J17" s="135" t="inlineStr">
        <is>
          <t>7</t>
        </is>
      </c>
      <c r="K17" s="135" t="n">
        <v>37000</v>
      </c>
      <c r="L17" s="135" t="inlineStr">
        <is>
          <t>7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130</v>
      </c>
      <c r="U17" s="9" t="n"/>
    </row>
    <row r="18" ht="12" customFormat="1" customHeight="1" s="38">
      <c r="A18" s="122" t="inlineStr">
        <is>
          <t>금천동 청주금천센트럴파크스타힐스</t>
        </is>
      </c>
      <c r="B18" s="123" t="inlineStr">
        <is>
          <t>20.11.</t>
        </is>
      </c>
      <c r="C18" s="131" t="n">
        <v>749</v>
      </c>
      <c r="D18" s="132" t="n">
        <v>104.2</v>
      </c>
      <c r="E18" s="133" t="n">
        <v>32</v>
      </c>
      <c r="F18" s="132" t="n">
        <v>76.90000000000001</v>
      </c>
      <c r="G18" s="17" t="n">
        <v>23</v>
      </c>
      <c r="H18" s="134" t="n">
        <v>54</v>
      </c>
      <c r="I18" s="135" t="n">
        <v>46000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inlineStr">
        <is>
          <t>104A</t>
        </is>
      </c>
      <c r="U18" s="9" t="n"/>
    </row>
    <row r="19" ht="12" customFormat="1" customHeight="1" s="38">
      <c r="A19" s="122" t="inlineStr">
        <is>
          <t>방서동 청주센트럴자이</t>
        </is>
      </c>
      <c r="B19" s="123" t="inlineStr">
        <is>
          <t>18.09.</t>
        </is>
      </c>
      <c r="C19" s="131" t="n">
        <v>1500</v>
      </c>
      <c r="D19" s="132" t="n">
        <v>98.09999999999999</v>
      </c>
      <c r="E19" s="133" t="n">
        <v>30</v>
      </c>
      <c r="F19" s="132" t="n">
        <v>73.59999999999999</v>
      </c>
      <c r="G19" s="17" t="n">
        <v>22</v>
      </c>
      <c r="H19" s="134" t="n">
        <v>166</v>
      </c>
      <c r="I19" s="135" t="n">
        <v>46000</v>
      </c>
      <c r="J19" s="135" t="inlineStr">
        <is>
          <t>25</t>
        </is>
      </c>
      <c r="K19" s="135" t="n">
        <v>36000</v>
      </c>
      <c r="L19" s="135" t="inlineStr">
        <is>
          <t>20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98A</t>
        </is>
      </c>
      <c r="U19" s="9" t="n"/>
    </row>
    <row r="20" ht="12" customFormat="1" customHeight="1" s="38">
      <c r="A20" s="122" t="inlineStr">
        <is>
          <t>용정동 청주용정한라비발디2단지</t>
        </is>
      </c>
      <c r="B20" s="123" t="inlineStr">
        <is>
          <t>13.06.</t>
        </is>
      </c>
      <c r="C20" s="131" t="n">
        <v>788</v>
      </c>
      <c r="D20" s="132" t="n">
        <v>130.7</v>
      </c>
      <c r="E20" s="133" t="n">
        <v>40</v>
      </c>
      <c r="F20" s="132" t="n">
        <v>102</v>
      </c>
      <c r="G20" s="17" t="n">
        <v>31</v>
      </c>
      <c r="H20" s="134" t="n">
        <v>135</v>
      </c>
      <c r="I20" s="135" t="n">
        <v>46000</v>
      </c>
      <c r="J20" s="135" t="inlineStr">
        <is>
          <t>11</t>
        </is>
      </c>
      <c r="K20" s="135" t="n">
        <v>40000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130C</t>
        </is>
      </c>
      <c r="U20" s="9" t="n"/>
    </row>
    <row r="21" ht="12" customFormat="1" customHeight="1" s="38">
      <c r="A21" s="122" t="inlineStr">
        <is>
          <t>용정동 우미린에듀파크1단지</t>
        </is>
      </c>
      <c r="B21" s="123" t="inlineStr">
        <is>
          <t>17.11.</t>
        </is>
      </c>
      <c r="C21" s="131" t="n">
        <v>390</v>
      </c>
      <c r="D21" s="132" t="n">
        <v>107.9</v>
      </c>
      <c r="E21" s="133" t="n">
        <v>33</v>
      </c>
      <c r="F21" s="132" t="n">
        <v>85</v>
      </c>
      <c r="G21" s="17" t="n">
        <v>26</v>
      </c>
      <c r="H21" s="134" t="n">
        <v>65</v>
      </c>
      <c r="I21" s="135" t="n">
        <v>45500</v>
      </c>
      <c r="J21" s="135" t="inlineStr">
        <is>
          <t>7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n">
        <v>1070</v>
      </c>
      <c r="U21" s="9" t="n"/>
    </row>
    <row r="22" ht="12" customFormat="1" customHeight="1" s="38">
      <c r="A22" s="122" t="inlineStr">
        <is>
          <t>방서동 중흥S-클래스더퍼스트</t>
        </is>
      </c>
      <c r="B22" s="123" t="inlineStr">
        <is>
          <t>18.09.</t>
        </is>
      </c>
      <c r="C22" s="131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45000</v>
      </c>
      <c r="J22" s="135" t="inlineStr">
        <is>
          <t>18</t>
        </is>
      </c>
      <c r="K22" s="135" t="n">
        <v>35000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</row>
    <row r="23" ht="12" customFormat="1" customHeight="1" s="38">
      <c r="A23" s="122" t="inlineStr">
        <is>
          <t>방서동 청주하트리움리버파크</t>
        </is>
      </c>
      <c r="B23" s="123" t="inlineStr">
        <is>
          <t>19.01.</t>
        </is>
      </c>
      <c r="C23" s="131" t="n">
        <v>600</v>
      </c>
      <c r="D23" s="132" t="n">
        <v>112.9</v>
      </c>
      <c r="E23" s="133" t="n">
        <v>34</v>
      </c>
      <c r="F23" s="132" t="n">
        <v>84.8</v>
      </c>
      <c r="G23" s="17" t="n">
        <v>26</v>
      </c>
      <c r="H23" s="134" t="n">
        <v>400</v>
      </c>
      <c r="I23" s="135" t="n">
        <v>44000</v>
      </c>
      <c r="J23" s="135" t="inlineStr">
        <is>
          <t>15</t>
        </is>
      </c>
      <c r="K23" s="135" t="n">
        <v>34000</v>
      </c>
      <c r="L23" s="135" t="inlineStr">
        <is>
          <t>15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22" t="inlineStr">
        <is>
          <t>방서동 청주센트럴자이</t>
        </is>
      </c>
      <c r="B24" s="123" t="inlineStr">
        <is>
          <t>18.09.</t>
        </is>
      </c>
      <c r="C24" s="131" t="n">
        <v>1500</v>
      </c>
      <c r="D24" s="132" t="n">
        <v>80.59999999999999</v>
      </c>
      <c r="E24" s="133" t="n">
        <v>24</v>
      </c>
      <c r="F24" s="132" t="n">
        <v>60</v>
      </c>
      <c r="G24" s="17" t="n">
        <v>18</v>
      </c>
      <c r="H24" s="134" t="n">
        <v>135</v>
      </c>
      <c r="I24" s="135" t="n">
        <v>42000</v>
      </c>
      <c r="J24" s="135" t="inlineStr">
        <is>
          <t>13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80A</t>
        </is>
      </c>
      <c r="U24" s="9" t="n"/>
    </row>
    <row r="25" ht="12" customFormat="1" customHeight="1" s="38">
      <c r="A25" s="122" t="inlineStr">
        <is>
          <t>금천동 청주금천센트럴파크스타힐스</t>
        </is>
      </c>
      <c r="B25" s="123" t="inlineStr">
        <is>
          <t>20.11.</t>
        </is>
      </c>
      <c r="C25" s="131" t="n">
        <v>749</v>
      </c>
      <c r="D25" s="132" t="n">
        <v>114.5</v>
      </c>
      <c r="E25" s="133" t="n">
        <v>35</v>
      </c>
      <c r="F25" s="132" t="n">
        <v>84.7</v>
      </c>
      <c r="G25" s="17" t="n">
        <v>26</v>
      </c>
      <c r="H25" s="134" t="n">
        <v>222</v>
      </c>
      <c r="I25" s="135" t="n">
        <v>39000</v>
      </c>
      <c r="J25" s="135" t="inlineStr">
        <is>
          <t>중</t>
        </is>
      </c>
      <c r="K25" s="135" t="n">
        <v>35000</v>
      </c>
      <c r="L25" s="135" t="inlineStr">
        <is>
          <t>14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22" t="inlineStr">
        <is>
          <t>문화동 문화센트럴칸타빌</t>
        </is>
      </c>
      <c r="B26" s="123" t="inlineStr">
        <is>
          <t>18.12.</t>
        </is>
      </c>
      <c r="C26" s="131" t="n">
        <v>630</v>
      </c>
      <c r="D26" s="132" t="n">
        <v>114.6</v>
      </c>
      <c r="E26" s="133" t="n">
        <v>35</v>
      </c>
      <c r="F26" s="132" t="n">
        <v>84.7</v>
      </c>
      <c r="G26" s="17" t="n">
        <v>26</v>
      </c>
      <c r="H26" s="134" t="n">
        <v>208</v>
      </c>
      <c r="I26" s="135" t="n">
        <v>39000</v>
      </c>
      <c r="J26" s="135" t="inlineStr">
        <is>
          <t>8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114B</t>
        </is>
      </c>
      <c r="U26" s="9" t="n"/>
    </row>
    <row r="27" ht="12" customFormat="1" customHeight="1" s="38">
      <c r="A27" s="122" t="inlineStr">
        <is>
          <t>용정동 청주용정한라비발디1단지</t>
        </is>
      </c>
      <c r="B27" s="123" t="inlineStr">
        <is>
          <t>13.06.</t>
        </is>
      </c>
      <c r="C27" s="131" t="n">
        <v>612</v>
      </c>
      <c r="D27" s="132" t="n">
        <v>111.1</v>
      </c>
      <c r="E27" s="133" t="n">
        <v>34</v>
      </c>
      <c r="F27" s="132" t="n">
        <v>85</v>
      </c>
      <c r="G27" s="17" t="n">
        <v>26</v>
      </c>
      <c r="H27" s="134" t="n">
        <v>173</v>
      </c>
      <c r="I27" s="135" t="n">
        <v>38000</v>
      </c>
      <c r="J27" s="135" t="inlineStr">
        <is>
          <t>10</t>
        </is>
      </c>
      <c r="K27" s="135" t="n">
        <v>33000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111C</t>
        </is>
      </c>
      <c r="U27" s="9" t="n"/>
    </row>
    <row r="28" ht="12" customFormat="1" customHeight="1" s="38">
      <c r="A28" s="122" t="inlineStr">
        <is>
          <t>용정동 청주용정한라비발디2단지</t>
        </is>
      </c>
      <c r="B28" s="123" t="inlineStr">
        <is>
          <t>13.06.</t>
        </is>
      </c>
      <c r="C28" s="131" t="n">
        <v>788</v>
      </c>
      <c r="D28" s="132" t="n">
        <v>112.1</v>
      </c>
      <c r="E28" s="133" t="n">
        <v>34</v>
      </c>
      <c r="F28" s="132" t="n">
        <v>84.90000000000001</v>
      </c>
      <c r="G28" s="17" t="n">
        <v>26</v>
      </c>
      <c r="H28" s="134" t="n">
        <v>186</v>
      </c>
      <c r="I28" s="135" t="n">
        <v>38000</v>
      </c>
      <c r="J28" s="135" t="inlineStr">
        <is>
          <t>12</t>
        </is>
      </c>
      <c r="K28" s="135" t="n">
        <v>34000</v>
      </c>
      <c r="L28" s="135" t="inlineStr">
        <is>
          <t>고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112A</t>
        </is>
      </c>
      <c r="U28" s="9" t="n"/>
    </row>
    <row r="29" ht="12" customFormat="1" customHeight="1" s="38">
      <c r="A29" s="122" t="inlineStr">
        <is>
          <t>금천동 청주금천센트럴파크스타힐스</t>
        </is>
      </c>
      <c r="B29" s="123" t="inlineStr">
        <is>
          <t>20.11.</t>
        </is>
      </c>
      <c r="C29" s="131" t="n">
        <v>749</v>
      </c>
      <c r="D29" s="132" t="n">
        <v>92.59999999999999</v>
      </c>
      <c r="E29" s="133" t="n">
        <v>28</v>
      </c>
      <c r="F29" s="132" t="n">
        <v>67.7</v>
      </c>
      <c r="G29" s="17" t="n">
        <v>20</v>
      </c>
      <c r="H29" s="134" t="n">
        <v>272</v>
      </c>
      <c r="I29" s="135" t="n">
        <v>34000</v>
      </c>
      <c r="J29" s="135" t="inlineStr">
        <is>
          <t>중</t>
        </is>
      </c>
      <c r="K29" s="135" t="n">
        <v>27000</v>
      </c>
      <c r="L29" s="135" t="inlineStr">
        <is>
          <t>고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92A</t>
        </is>
      </c>
      <c r="U29" s="9" t="n"/>
    </row>
    <row r="30" ht="12" customFormat="1" customHeight="1" s="38">
      <c r="A30" s="122" t="inlineStr">
        <is>
          <t>금천동 금천우미린</t>
        </is>
      </c>
      <c r="B30" s="123" t="inlineStr">
        <is>
          <t>14.10.</t>
        </is>
      </c>
      <c r="C30" s="131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33500</v>
      </c>
      <c r="J30" s="135" t="inlineStr">
        <is>
          <t>15</t>
        </is>
      </c>
      <c r="K30" s="135" t="n">
        <v>30000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</row>
    <row r="31" ht="12" customFormat="1" customHeight="1" s="38">
      <c r="A31" s="122" t="inlineStr">
        <is>
          <t>탑동 LH청주탑동</t>
        </is>
      </c>
      <c r="B31" s="123" t="inlineStr">
        <is>
          <t>14.03.</t>
        </is>
      </c>
      <c r="C31" s="131" t="n">
        <v>400</v>
      </c>
      <c r="D31" s="132" t="n">
        <v>112.7</v>
      </c>
      <c r="E31" s="133" t="n">
        <v>34</v>
      </c>
      <c r="F31" s="132" t="n">
        <v>84.8</v>
      </c>
      <c r="G31" s="17" t="n">
        <v>26</v>
      </c>
      <c r="H31" s="134" t="n">
        <v>239</v>
      </c>
      <c r="I31" s="135" t="n">
        <v>32000</v>
      </c>
      <c r="J31" s="135" t="inlineStr">
        <is>
          <t>19</t>
        </is>
      </c>
      <c r="K31" s="135" t="n">
        <v>28500</v>
      </c>
      <c r="L31" s="135" t="inlineStr">
        <is>
          <t>9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112A</t>
        </is>
      </c>
      <c r="U31" s="9" t="n"/>
    </row>
    <row r="32" ht="12" customFormat="1" customHeight="1" s="38">
      <c r="A32" s="122" t="inlineStr">
        <is>
          <t>용암동 중흥마을3단지부영그린타운</t>
        </is>
      </c>
      <c r="B32" s="123" t="inlineStr">
        <is>
          <t>05.11.</t>
        </is>
      </c>
      <c r="C32" s="131" t="n">
        <v>326</v>
      </c>
      <c r="D32" s="132" t="n">
        <v>117.1</v>
      </c>
      <c r="E32" s="133" t="n">
        <v>35</v>
      </c>
      <c r="F32" s="132" t="n">
        <v>84.90000000000001</v>
      </c>
      <c r="G32" s="17" t="n">
        <v>26</v>
      </c>
      <c r="H32" s="134" t="n">
        <v>326</v>
      </c>
      <c r="I32" s="135" t="n">
        <v>29500</v>
      </c>
      <c r="J32" s="135" t="inlineStr">
        <is>
          <t>8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n">
        <v>117</v>
      </c>
      <c r="U32" s="9" t="n"/>
    </row>
    <row r="33" ht="12" customFormat="1" customHeight="1" s="38">
      <c r="A33" s="122" t="inlineStr">
        <is>
          <t>금천동 장자마을6단지부영그린타운2차</t>
        </is>
      </c>
      <c r="B33" s="123" t="inlineStr">
        <is>
          <t>05.11.</t>
        </is>
      </c>
      <c r="C33" s="131" t="n">
        <v>320</v>
      </c>
      <c r="D33" s="132" t="n">
        <v>116.9</v>
      </c>
      <c r="E33" s="133" t="n">
        <v>35</v>
      </c>
      <c r="F33" s="132" t="n">
        <v>84.90000000000001</v>
      </c>
      <c r="G33" s="17" t="n">
        <v>26</v>
      </c>
      <c r="H33" s="134" t="n">
        <v>320</v>
      </c>
      <c r="I33" s="135" t="n">
        <v>28800</v>
      </c>
      <c r="J33" s="135" t="inlineStr">
        <is>
          <t>8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116</v>
      </c>
      <c r="U33" s="9" t="n"/>
    </row>
    <row r="34" ht="12" customFormat="1" customHeight="1" s="38">
      <c r="A34" s="122" t="inlineStr">
        <is>
          <t>용암동 용암서희스타힐스</t>
        </is>
      </c>
      <c r="B34" s="123" t="inlineStr">
        <is>
          <t>18.11.</t>
        </is>
      </c>
      <c r="C34" s="131" t="n">
        <v>318</v>
      </c>
      <c r="D34" s="132" t="n">
        <v>83.40000000000001</v>
      </c>
      <c r="E34" s="133" t="n">
        <v>25</v>
      </c>
      <c r="F34" s="132" t="n">
        <v>60</v>
      </c>
      <c r="G34" s="17" t="n">
        <v>18</v>
      </c>
      <c r="H34" s="134" t="n">
        <v>278</v>
      </c>
      <c r="I34" s="135" t="n">
        <v>28000</v>
      </c>
      <c r="J34" s="135" t="inlineStr">
        <is>
          <t>10</t>
        </is>
      </c>
      <c r="K34" s="135" t="n">
        <v>22500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계</t>
        </is>
      </c>
      <c r="T34" s="5" t="inlineStr">
        <is>
          <t>83A</t>
        </is>
      </c>
      <c r="U34" s="9" t="n"/>
    </row>
    <row r="35" ht="12" customFormat="1" customHeight="1" s="38">
      <c r="A35" s="122" t="inlineStr">
        <is>
          <t>용암동 건영</t>
        </is>
      </c>
      <c r="B35" s="123" t="inlineStr">
        <is>
          <t>99.04.</t>
        </is>
      </c>
      <c r="C35" s="131" t="n">
        <v>1046</v>
      </c>
      <c r="D35" s="132" t="n">
        <v>158.7</v>
      </c>
      <c r="E35" s="133" t="n">
        <v>48</v>
      </c>
      <c r="F35" s="132" t="n">
        <v>134.6</v>
      </c>
      <c r="G35" s="17" t="n">
        <v>41</v>
      </c>
      <c r="H35" s="134" t="n">
        <v>300</v>
      </c>
      <c r="I35" s="135" t="n">
        <v>27500</v>
      </c>
      <c r="J35" s="135" t="inlineStr">
        <is>
          <t>고</t>
        </is>
      </c>
      <c r="K35" s="135" t="n">
        <v>25000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158</v>
      </c>
      <c r="U35" s="9" t="n"/>
    </row>
    <row r="36" ht="12" customFormat="1" customHeight="1" s="38">
      <c r="A36" s="122" t="inlineStr">
        <is>
          <t>용암동 건영</t>
        </is>
      </c>
      <c r="B36" s="123" t="inlineStr">
        <is>
          <t>99.04.</t>
        </is>
      </c>
      <c r="C36" s="131" t="n">
        <v>1046</v>
      </c>
      <c r="D36" s="132" t="n">
        <v>121</v>
      </c>
      <c r="E36" s="133" t="n">
        <v>37</v>
      </c>
      <c r="F36" s="132" t="n">
        <v>100</v>
      </c>
      <c r="G36" s="17" t="n">
        <v>30</v>
      </c>
      <c r="H36" s="134" t="n">
        <v>330</v>
      </c>
      <c r="I36" s="135" t="n">
        <v>26500</v>
      </c>
      <c r="J36" s="135" t="inlineStr">
        <is>
          <t>10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4</v>
      </c>
      <c r="R36" s="119" t="n">
        <v>2</v>
      </c>
      <c r="S36" s="119" t="inlineStr">
        <is>
          <t>계</t>
        </is>
      </c>
      <c r="T36" s="5" t="n">
        <v>120</v>
      </c>
      <c r="U36" s="9" t="n"/>
    </row>
    <row r="37" ht="12" customFormat="1" customHeight="1" s="38">
      <c r="A37" s="122" t="inlineStr">
        <is>
          <t>용암동 청주신영강변뜨란채</t>
        </is>
      </c>
      <c r="B37" s="123" t="inlineStr">
        <is>
          <t>05.08.</t>
        </is>
      </c>
      <c r="C37" s="131" t="n">
        <v>517</v>
      </c>
      <c r="D37" s="132" t="n">
        <v>105.3</v>
      </c>
      <c r="E37" s="133" t="n">
        <v>32</v>
      </c>
      <c r="F37" s="132" t="n">
        <v>84.8</v>
      </c>
      <c r="G37" s="17" t="n">
        <v>26</v>
      </c>
      <c r="H37" s="134" t="n">
        <v>235</v>
      </c>
      <c r="I37" s="135" t="n">
        <v>26500</v>
      </c>
      <c r="J37" s="135" t="inlineStr">
        <is>
          <t>10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n">
        <v>105</v>
      </c>
      <c r="U37" s="9" t="n"/>
    </row>
    <row r="38" ht="12" customFormat="1" customHeight="1" s="38">
      <c r="A38" s="122" t="inlineStr">
        <is>
          <t>금천동 장자마을2단지현대</t>
        </is>
      </c>
      <c r="B38" s="123" t="inlineStr">
        <is>
          <t>02.10.</t>
        </is>
      </c>
      <c r="C38" s="131" t="n">
        <v>636</v>
      </c>
      <c r="D38" s="132" t="n">
        <v>107.4</v>
      </c>
      <c r="E38" s="133" t="n">
        <v>33</v>
      </c>
      <c r="F38" s="132" t="n">
        <v>84.90000000000001</v>
      </c>
      <c r="G38" s="17" t="n">
        <v>26</v>
      </c>
      <c r="H38" s="134" t="n">
        <v>267</v>
      </c>
      <c r="I38" s="135" t="n">
        <v>26000</v>
      </c>
      <c r="J38" s="135" t="inlineStr">
        <is>
          <t>13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inlineStr">
        <is>
          <t>107A</t>
        </is>
      </c>
      <c r="U38" s="9" t="n"/>
    </row>
    <row r="39" ht="12" customFormat="1" customHeight="1" s="38">
      <c r="A39" s="122" t="inlineStr">
        <is>
          <t>용암동 용암현대3차</t>
        </is>
      </c>
      <c r="B39" s="123" t="inlineStr">
        <is>
          <t>95.12.</t>
        </is>
      </c>
      <c r="C39" s="131" t="n">
        <v>520</v>
      </c>
      <c r="D39" s="132" t="n">
        <v>120</v>
      </c>
      <c r="E39" s="133" t="n">
        <v>36</v>
      </c>
      <c r="F39" s="132" t="n">
        <v>100</v>
      </c>
      <c r="G39" s="17" t="n">
        <v>30</v>
      </c>
      <c r="H39" s="134" t="n">
        <v>180</v>
      </c>
      <c r="I39" s="135" t="n">
        <v>26000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4</v>
      </c>
      <c r="R39" s="119" t="n">
        <v>2</v>
      </c>
      <c r="S39" s="119" t="inlineStr">
        <is>
          <t>계</t>
        </is>
      </c>
      <c r="T39" s="5" t="n">
        <v>120</v>
      </c>
      <c r="U39" s="9" t="n"/>
    </row>
    <row r="40" ht="12" customFormat="1" customHeight="1" s="38">
      <c r="A40" s="122" t="inlineStr">
        <is>
          <t>탑동 LH청주탑동</t>
        </is>
      </c>
      <c r="B40" s="123" t="inlineStr">
        <is>
          <t>14.03.</t>
        </is>
      </c>
      <c r="C40" s="131" t="n">
        <v>400</v>
      </c>
      <c r="D40" s="132" t="n">
        <v>79.5</v>
      </c>
      <c r="E40" s="133" t="n">
        <v>24</v>
      </c>
      <c r="F40" s="132" t="n">
        <v>59.9</v>
      </c>
      <c r="G40" s="17" t="n">
        <v>18</v>
      </c>
      <c r="H40" s="134" t="n">
        <v>36</v>
      </c>
      <c r="I40" s="135" t="n">
        <v>25500</v>
      </c>
      <c r="J40" s="135" t="inlineStr">
        <is>
          <t>5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1</v>
      </c>
      <c r="S40" s="119" t="inlineStr">
        <is>
          <t>계</t>
        </is>
      </c>
      <c r="T40" s="5" t="inlineStr">
        <is>
          <t>79A</t>
        </is>
      </c>
      <c r="U40" s="9" t="n"/>
    </row>
    <row r="41" ht="12" customFormat="1" customHeight="1" s="38">
      <c r="A41" s="122" t="inlineStr">
        <is>
          <t>대성동 우성</t>
        </is>
      </c>
      <c r="B41" s="123" t="inlineStr">
        <is>
          <t>91.10.</t>
        </is>
      </c>
      <c r="C41" s="131" t="n">
        <v>554</v>
      </c>
      <c r="D41" s="132" t="n">
        <v>153.7</v>
      </c>
      <c r="E41" s="133" t="n">
        <v>46</v>
      </c>
      <c r="F41" s="132" t="n">
        <v>127.2</v>
      </c>
      <c r="G41" s="17" t="n">
        <v>38</v>
      </c>
      <c r="H41" s="134" t="n">
        <v>112</v>
      </c>
      <c r="I41" s="135" t="n">
        <v>25000</v>
      </c>
      <c r="J41" s="135" t="inlineStr">
        <is>
          <t>5</t>
        </is>
      </c>
      <c r="K41" s="135" t="n">
        <v>23000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4</v>
      </c>
      <c r="R41" s="119" t="n">
        <v>2</v>
      </c>
      <c r="S41" s="119" t="inlineStr">
        <is>
          <t>계</t>
        </is>
      </c>
      <c r="T41" s="5" t="n">
        <v>153</v>
      </c>
      <c r="U41" s="9" t="n"/>
    </row>
    <row r="42" ht="12" customFormat="1" customHeight="1" s="38">
      <c r="A42" s="122" t="inlineStr">
        <is>
          <t>금천동 장자마을5단지부영</t>
        </is>
      </c>
      <c r="B42" s="123" t="inlineStr">
        <is>
          <t>03.04.</t>
        </is>
      </c>
      <c r="C42" s="131" t="n">
        <v>379</v>
      </c>
      <c r="D42" s="132" t="n">
        <v>114.1</v>
      </c>
      <c r="E42" s="133" t="n">
        <v>35</v>
      </c>
      <c r="F42" s="132" t="n">
        <v>85</v>
      </c>
      <c r="G42" s="17" t="n">
        <v>26</v>
      </c>
      <c r="H42" s="134" t="n">
        <v>379</v>
      </c>
      <c r="I42" s="135" t="n">
        <v>24500</v>
      </c>
      <c r="J42" s="135" t="inlineStr">
        <is>
          <t>15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n">
        <v>114</v>
      </c>
      <c r="U42" s="9" t="n"/>
    </row>
    <row r="43" ht="12" customFormat="1" customHeight="1" s="38">
      <c r="A43" s="122" t="inlineStr">
        <is>
          <t>용암동 건영</t>
        </is>
      </c>
      <c r="B43" s="123" t="inlineStr">
        <is>
          <t>99.04.</t>
        </is>
      </c>
      <c r="C43" s="131" t="n">
        <v>1046</v>
      </c>
      <c r="D43" s="132" t="n">
        <v>106.7</v>
      </c>
      <c r="E43" s="133" t="n">
        <v>32</v>
      </c>
      <c r="F43" s="132" t="n">
        <v>84.90000000000001</v>
      </c>
      <c r="G43" s="17" t="n">
        <v>26</v>
      </c>
      <c r="H43" s="134" t="n">
        <v>416</v>
      </c>
      <c r="I43" s="135" t="n">
        <v>23000</v>
      </c>
      <c r="J43" s="135" t="inlineStr">
        <is>
          <t>13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106</v>
      </c>
      <c r="U43" s="9" t="n"/>
    </row>
    <row r="44" ht="12" customFormat="1" customHeight="1" s="38">
      <c r="A44" s="122" t="inlineStr">
        <is>
          <t>금천동 장자마을8단지부영</t>
        </is>
      </c>
      <c r="B44" s="123" t="inlineStr">
        <is>
          <t>02.12.</t>
        </is>
      </c>
      <c r="C44" s="131" t="n">
        <v>663</v>
      </c>
      <c r="D44" s="132" t="n">
        <v>113.4</v>
      </c>
      <c r="E44" s="133" t="n">
        <v>34</v>
      </c>
      <c r="F44" s="132" t="n">
        <v>85</v>
      </c>
      <c r="G44" s="17" t="n">
        <v>26</v>
      </c>
      <c r="H44" s="134" t="n">
        <v>663</v>
      </c>
      <c r="I44" s="135" t="n">
        <v>22500</v>
      </c>
      <c r="J44" s="135" t="inlineStr">
        <is>
          <t>10</t>
        </is>
      </c>
      <c r="K44" s="135" t="n">
        <v>22200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n">
        <v>113</v>
      </c>
      <c r="U44" s="9" t="n"/>
    </row>
    <row r="45" ht="12" customFormat="1" customHeight="1" s="38">
      <c r="A45" s="122" t="inlineStr">
        <is>
          <t>금천동 장자마을3단지부영</t>
        </is>
      </c>
      <c r="B45" s="123" t="inlineStr">
        <is>
          <t>03.09.</t>
        </is>
      </c>
      <c r="C45" s="131" t="n">
        <v>378</v>
      </c>
      <c r="D45" s="132" t="n">
        <v>106.3</v>
      </c>
      <c r="E45" s="133" t="n">
        <v>32</v>
      </c>
      <c r="F45" s="132" t="n">
        <v>85</v>
      </c>
      <c r="G45" s="17" t="n">
        <v>26</v>
      </c>
      <c r="H45" s="134" t="n">
        <v>378</v>
      </c>
      <c r="I45" s="135" t="n">
        <v>22500</v>
      </c>
      <c r="J45" s="135" t="inlineStr">
        <is>
          <t>6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</row>
    <row r="46" ht="12" customFormat="1" customHeight="1" s="38">
      <c r="A46" s="122" t="inlineStr">
        <is>
          <t>금천동 풍림</t>
        </is>
      </c>
      <c r="B46" s="123" t="inlineStr">
        <is>
          <t>92.08.</t>
        </is>
      </c>
      <c r="C46" s="131" t="n">
        <v>327</v>
      </c>
      <c r="D46" s="132" t="n">
        <v>162.4</v>
      </c>
      <c r="E46" s="133" t="n">
        <v>49</v>
      </c>
      <c r="F46" s="132" t="n">
        <v>136.5</v>
      </c>
      <c r="G46" s="17" t="n">
        <v>41</v>
      </c>
      <c r="H46" s="134" t="n">
        <v>60</v>
      </c>
      <c r="I46" s="135" t="n">
        <v>22000</v>
      </c>
      <c r="J46" s="135" t="inlineStr">
        <is>
          <t>5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4</v>
      </c>
      <c r="R46" s="119" t="n">
        <v>2</v>
      </c>
      <c r="S46" s="119" t="inlineStr">
        <is>
          <t>계</t>
        </is>
      </c>
      <c r="T46" s="5" t="n">
        <v>162</v>
      </c>
      <c r="U46" s="9" t="n"/>
    </row>
    <row r="47" ht="12" customFormat="1" customHeight="1" s="38">
      <c r="A47" s="122" t="inlineStr">
        <is>
          <t>금천동 금천뉴타운</t>
        </is>
      </c>
      <c r="B47" s="123" t="inlineStr">
        <is>
          <t>93.05.</t>
        </is>
      </c>
      <c r="C47" s="131" t="n">
        <v>783</v>
      </c>
      <c r="D47" s="132" t="n">
        <v>157.2</v>
      </c>
      <c r="E47" s="133" t="n">
        <v>48</v>
      </c>
      <c r="F47" s="132" t="n">
        <v>134.6</v>
      </c>
      <c r="G47" s="17" t="n">
        <v>41</v>
      </c>
      <c r="H47" s="134" t="n">
        <v>120</v>
      </c>
      <c r="I47" s="135" t="n">
        <v>22000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4</v>
      </c>
      <c r="R47" s="119" t="n">
        <v>2</v>
      </c>
      <c r="S47" s="119" t="inlineStr">
        <is>
          <t>계</t>
        </is>
      </c>
      <c r="T47" s="5" t="n">
        <v>157</v>
      </c>
      <c r="U47" s="9" t="n"/>
    </row>
    <row r="48" ht="12" customFormat="1" customHeight="1" s="38">
      <c r="A48" s="122" t="inlineStr">
        <is>
          <t>용암동 중흥마을2단지부영</t>
        </is>
      </c>
      <c r="B48" s="123" t="inlineStr">
        <is>
          <t>01.09.</t>
        </is>
      </c>
      <c r="C48" s="131" t="n">
        <v>620</v>
      </c>
      <c r="D48" s="132" t="n">
        <v>113</v>
      </c>
      <c r="E48" s="133" t="n">
        <v>34</v>
      </c>
      <c r="F48" s="132" t="n">
        <v>85</v>
      </c>
      <c r="G48" s="17" t="n">
        <v>26</v>
      </c>
      <c r="H48" s="134" t="n">
        <v>620</v>
      </c>
      <c r="I48" s="135" t="n">
        <v>22000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113</v>
      </c>
      <c r="U48" s="9" t="n"/>
    </row>
    <row r="49" ht="12" customFormat="1" customHeight="1" s="38">
      <c r="A49" s="122" t="inlineStr">
        <is>
          <t>용암동 중흥마을6단지부영</t>
        </is>
      </c>
      <c r="B49" s="123" t="inlineStr">
        <is>
          <t>01.11.</t>
        </is>
      </c>
      <c r="C49" s="131" t="n">
        <v>557</v>
      </c>
      <c r="D49" s="132" t="n">
        <v>114</v>
      </c>
      <c r="E49" s="133" t="n">
        <v>34</v>
      </c>
      <c r="F49" s="132" t="n">
        <v>85</v>
      </c>
      <c r="G49" s="17" t="n">
        <v>26</v>
      </c>
      <c r="H49" s="134" t="n">
        <v>557</v>
      </c>
      <c r="I49" s="135" t="n">
        <v>22000</v>
      </c>
      <c r="J49" s="135" t="inlineStr">
        <is>
          <t>중</t>
        </is>
      </c>
      <c r="K49" s="135" t="n">
        <v>22000</v>
      </c>
      <c r="L49" s="135" t="inlineStr">
        <is>
          <t>6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n">
        <v>113</v>
      </c>
      <c r="U49" s="9" t="n"/>
    </row>
    <row r="50" ht="12" customFormat="1" customHeight="1" s="38">
      <c r="A50" s="122" t="inlineStr">
        <is>
          <t>용암동 용암현대3차</t>
        </is>
      </c>
      <c r="B50" s="123" t="inlineStr">
        <is>
          <t>95.12.</t>
        </is>
      </c>
      <c r="C50" s="131" t="n">
        <v>520</v>
      </c>
      <c r="D50" s="132" t="n">
        <v>103.5</v>
      </c>
      <c r="E50" s="133" t="n">
        <v>31</v>
      </c>
      <c r="F50" s="132" t="n">
        <v>83.8</v>
      </c>
      <c r="G50" s="17" t="n">
        <v>25</v>
      </c>
      <c r="H50" s="134" t="n">
        <v>280</v>
      </c>
      <c r="I50" s="135" t="n">
        <v>22000</v>
      </c>
      <c r="J50" s="135" t="inlineStr">
        <is>
          <t>9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n">
        <v>103</v>
      </c>
      <c r="U50" s="9" t="n"/>
    </row>
    <row r="51" ht="12" customFormat="1" customHeight="1" s="38">
      <c r="A51" s="122" t="inlineStr">
        <is>
          <t>금천동 장자마을2단지현대</t>
        </is>
      </c>
      <c r="B51" s="123" t="inlineStr">
        <is>
          <t>02.10.</t>
        </is>
      </c>
      <c r="C51" s="131" t="n">
        <v>636</v>
      </c>
      <c r="D51" s="132" t="n">
        <v>94.8</v>
      </c>
      <c r="E51" s="133" t="n">
        <v>29</v>
      </c>
      <c r="F51" s="132" t="n">
        <v>75</v>
      </c>
      <c r="G51" s="17" t="n">
        <v>23</v>
      </c>
      <c r="H51" s="134" t="n">
        <v>193</v>
      </c>
      <c r="I51" s="135" t="n">
        <v>21000</v>
      </c>
      <c r="J51" s="135" t="inlineStr">
        <is>
          <t>14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n">
        <v>94</v>
      </c>
      <c r="U51" s="9" t="n"/>
    </row>
    <row r="52" ht="12" customFormat="1" customHeight="1" s="38">
      <c r="A52" s="122" t="inlineStr">
        <is>
          <t>용암동 청주신영강변뜨란채</t>
        </is>
      </c>
      <c r="B52" s="123" t="inlineStr">
        <is>
          <t>05.08.</t>
        </is>
      </c>
      <c r="C52" s="131" t="n">
        <v>517</v>
      </c>
      <c r="D52" s="132" t="n">
        <v>78.2</v>
      </c>
      <c r="E52" s="133" t="n">
        <v>24</v>
      </c>
      <c r="F52" s="132" t="n">
        <v>59.9</v>
      </c>
      <c r="G52" s="17" t="n">
        <v>18</v>
      </c>
      <c r="H52" s="134" t="n">
        <v>129</v>
      </c>
      <c r="I52" s="135" t="n">
        <v>20000</v>
      </c>
      <c r="J52" s="135" t="inlineStr">
        <is>
          <t>15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계</t>
        </is>
      </c>
      <c r="T52" s="5" t="n">
        <v>78</v>
      </c>
      <c r="U52" s="9" t="n"/>
    </row>
    <row r="53" ht="12" customFormat="1" customHeight="1" s="38">
      <c r="A53" s="122" t="inlineStr">
        <is>
          <t>용암동 용암현대</t>
        </is>
      </c>
      <c r="B53" s="123" t="inlineStr">
        <is>
          <t>95.10.</t>
        </is>
      </c>
      <c r="C53" s="131" t="n">
        <v>476</v>
      </c>
      <c r="D53" s="132" t="n">
        <v>103.2</v>
      </c>
      <c r="E53" s="133" t="n">
        <v>31</v>
      </c>
      <c r="F53" s="132" t="n">
        <v>84.90000000000001</v>
      </c>
      <c r="G53" s="17" t="n">
        <v>26</v>
      </c>
      <c r="H53" s="134" t="n">
        <v>476</v>
      </c>
      <c r="I53" s="135" t="n">
        <v>20000</v>
      </c>
      <c r="J53" s="135" t="inlineStr">
        <is>
          <t>8</t>
        </is>
      </c>
      <c r="K53" s="135" t="n">
        <v>21200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2</v>
      </c>
      <c r="S53" s="119" t="inlineStr">
        <is>
          <t>계</t>
        </is>
      </c>
      <c r="T53" s="5" t="n">
        <v>103</v>
      </c>
      <c r="U53" s="9" t="n"/>
    </row>
    <row r="54" ht="12" customFormat="1" customHeight="1" s="38">
      <c r="A54" s="122" t="inlineStr">
        <is>
          <t>용암동 용암형석</t>
        </is>
      </c>
      <c r="B54" s="123" t="inlineStr">
        <is>
          <t>95.09.</t>
        </is>
      </c>
      <c r="C54" s="131" t="n">
        <v>430</v>
      </c>
      <c r="D54" s="132" t="n">
        <v>104.9</v>
      </c>
      <c r="E54" s="133" t="n">
        <v>32</v>
      </c>
      <c r="F54" s="132" t="n">
        <v>84.8</v>
      </c>
      <c r="G54" s="17" t="n">
        <v>26</v>
      </c>
      <c r="H54" s="134" t="n">
        <v>430</v>
      </c>
      <c r="I54" s="135" t="n">
        <v>19500</v>
      </c>
      <c r="J54" s="135" t="inlineStr">
        <is>
          <t>10</t>
        </is>
      </c>
      <c r="K54" s="135" t="n">
        <v>20000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104</v>
      </c>
      <c r="U54" s="9" t="n"/>
    </row>
    <row r="55" ht="12" customFormat="1" customHeight="1" s="38">
      <c r="A55" s="122" t="inlineStr">
        <is>
          <t>금천동 장자마을7단지부영</t>
        </is>
      </c>
      <c r="B55" s="123" t="inlineStr">
        <is>
          <t>01.11.</t>
        </is>
      </c>
      <c r="C55" s="131" t="n">
        <v>725</v>
      </c>
      <c r="D55" s="132" t="n">
        <v>83.09999999999999</v>
      </c>
      <c r="E55" s="133" t="n">
        <v>25</v>
      </c>
      <c r="F55" s="132" t="n">
        <v>59.3</v>
      </c>
      <c r="G55" s="17" t="n">
        <v>18</v>
      </c>
      <c r="H55" s="134" t="n">
        <v>375</v>
      </c>
      <c r="I55" s="135" t="n">
        <v>19000</v>
      </c>
      <c r="J55" s="135" t="inlineStr">
        <is>
          <t>10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3</v>
      </c>
      <c r="R55" s="119" t="n">
        <v>2</v>
      </c>
      <c r="S55" s="119" t="inlineStr">
        <is>
          <t>계</t>
        </is>
      </c>
      <c r="T55" s="5" t="n">
        <v>83</v>
      </c>
      <c r="U55" s="9" t="n"/>
    </row>
    <row r="56" ht="12" customFormat="1" customHeight="1" s="38">
      <c r="A56" s="122" t="inlineStr">
        <is>
          <t>용암동 용암현대2차</t>
        </is>
      </c>
      <c r="B56" s="123" t="inlineStr">
        <is>
          <t>94.12.</t>
        </is>
      </c>
      <c r="C56" s="131" t="n">
        <v>315</v>
      </c>
      <c r="D56" s="132" t="n">
        <v>103.7</v>
      </c>
      <c r="E56" s="133" t="n">
        <v>31</v>
      </c>
      <c r="F56" s="132" t="n">
        <v>84.2</v>
      </c>
      <c r="G56" s="17" t="n">
        <v>25</v>
      </c>
      <c r="H56" s="134" t="n">
        <v>315</v>
      </c>
      <c r="I56" s="135" t="n">
        <v>18000</v>
      </c>
      <c r="J56" s="135" t="inlineStr">
        <is>
          <t>15</t>
        </is>
      </c>
      <c r="K56" s="135" t="n">
        <v>21000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n">
        <v>103</v>
      </c>
      <c r="U56" s="9" t="n"/>
    </row>
    <row r="57" ht="12" customFormat="1" customHeight="1" s="38">
      <c r="A57" s="122" t="inlineStr">
        <is>
          <t>금천동 장자마을9단지부영</t>
        </is>
      </c>
      <c r="B57" s="123" t="inlineStr">
        <is>
          <t>02.08.</t>
        </is>
      </c>
      <c r="C57" s="131" t="n">
        <v>456</v>
      </c>
      <c r="D57" s="132" t="n">
        <v>82.59999999999999</v>
      </c>
      <c r="E57" s="133" t="n">
        <v>25</v>
      </c>
      <c r="F57" s="132" t="n">
        <v>59.3</v>
      </c>
      <c r="G57" s="17" t="n">
        <v>18</v>
      </c>
      <c r="H57" s="134" t="n">
        <v>384</v>
      </c>
      <c r="I57" s="135" t="n">
        <v>17800</v>
      </c>
      <c r="J57" s="135" t="inlineStr">
        <is>
          <t>10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복</t>
        </is>
      </c>
      <c r="T57" s="5" t="n">
        <v>82</v>
      </c>
      <c r="U57" s="9" t="n"/>
    </row>
    <row r="58" ht="12" customFormat="1" customHeight="1" s="38">
      <c r="A58" s="122" t="inlineStr">
        <is>
          <t>용암동 중흥마을1단지부영</t>
        </is>
      </c>
      <c r="B58" s="123" t="inlineStr">
        <is>
          <t>03.09.</t>
        </is>
      </c>
      <c r="C58" s="131" t="n">
        <v>752</v>
      </c>
      <c r="D58" s="132" t="n">
        <v>77.2</v>
      </c>
      <c r="E58" s="133" t="n">
        <v>23</v>
      </c>
      <c r="F58" s="132" t="n">
        <v>60</v>
      </c>
      <c r="G58" s="17" t="n">
        <v>18</v>
      </c>
      <c r="H58" s="134" t="n">
        <v>752</v>
      </c>
      <c r="I58" s="135" t="n">
        <v>17800</v>
      </c>
      <c r="J58" s="135" t="inlineStr">
        <is>
          <t>15</t>
        </is>
      </c>
      <c r="K58" s="135" t="n">
        <v>18000</v>
      </c>
      <c r="L58" s="135" t="inlineStr">
        <is>
          <t>고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n">
        <v>77</v>
      </c>
      <c r="U58" s="9" t="n"/>
    </row>
    <row r="59" ht="12" customFormat="1" customHeight="1" s="38">
      <c r="A59" s="122" t="inlineStr">
        <is>
          <t>용암동 중흥마을마이빌</t>
        </is>
      </c>
      <c r="B59" s="123" t="inlineStr">
        <is>
          <t>03.07.</t>
        </is>
      </c>
      <c r="C59" s="131" t="n">
        <v>856</v>
      </c>
      <c r="D59" s="132" t="n">
        <v>75</v>
      </c>
      <c r="E59" s="133" t="n">
        <v>23</v>
      </c>
      <c r="F59" s="132" t="n">
        <v>59.9</v>
      </c>
      <c r="G59" s="17" t="n">
        <v>18</v>
      </c>
      <c r="H59" s="134" t="n">
        <v>390</v>
      </c>
      <c r="I59" s="135" t="n">
        <v>17500</v>
      </c>
      <c r="J59" s="135" t="inlineStr">
        <is>
          <t>8</t>
        </is>
      </c>
      <c r="K59" s="135" t="n">
        <v>13000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75A</t>
        </is>
      </c>
      <c r="U59" s="9" t="n"/>
    </row>
    <row r="60" ht="12" customFormat="1" customHeight="1" s="38">
      <c r="A60" s="122" t="inlineStr">
        <is>
          <t>금천동 금천뉴타운</t>
        </is>
      </c>
      <c r="B60" s="123" t="inlineStr">
        <is>
          <t>93.05.</t>
        </is>
      </c>
      <c r="C60" s="131" t="n">
        <v>783</v>
      </c>
      <c r="D60" s="132" t="n">
        <v>102.4</v>
      </c>
      <c r="E60" s="133" t="n">
        <v>31</v>
      </c>
      <c r="F60" s="132" t="n">
        <v>84.90000000000001</v>
      </c>
      <c r="G60" s="17" t="n">
        <v>26</v>
      </c>
      <c r="H60" s="134" t="n">
        <v>325</v>
      </c>
      <c r="I60" s="135" t="n">
        <v>17000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n">
        <v>102</v>
      </c>
      <c r="U60" s="9" t="n"/>
    </row>
    <row r="61" ht="12" customFormat="1" customHeight="1" s="38">
      <c r="A61" s="122" t="inlineStr">
        <is>
          <t>대성동 우성</t>
        </is>
      </c>
      <c r="B61" s="123" t="inlineStr">
        <is>
          <t>91.10.</t>
        </is>
      </c>
      <c r="C61" s="131" t="n">
        <v>554</v>
      </c>
      <c r="D61" s="132" t="n">
        <v>111.4</v>
      </c>
      <c r="E61" s="133" t="n">
        <v>34</v>
      </c>
      <c r="F61" s="132" t="n">
        <v>85</v>
      </c>
      <c r="G61" s="17" t="n">
        <v>26</v>
      </c>
      <c r="H61" s="134" t="n">
        <v>390</v>
      </c>
      <c r="I61" s="135" t="n">
        <v>17000</v>
      </c>
      <c r="J61" s="135" t="inlineStr">
        <is>
          <t>고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n">
        <v>111</v>
      </c>
      <c r="U61" s="9" t="n"/>
    </row>
    <row r="62" ht="12" customFormat="1" customHeight="1" s="38">
      <c r="A62" s="122" t="inlineStr">
        <is>
          <t>용암동 진흥한우리</t>
        </is>
      </c>
      <c r="B62" s="123" t="inlineStr">
        <is>
          <t>95.06.</t>
        </is>
      </c>
      <c r="C62" s="131" t="n">
        <v>330</v>
      </c>
      <c r="D62" s="132" t="n">
        <v>85.2</v>
      </c>
      <c r="E62" s="133" t="n">
        <v>26</v>
      </c>
      <c r="F62" s="132" t="n">
        <v>69</v>
      </c>
      <c r="G62" s="17" t="n">
        <v>21</v>
      </c>
      <c r="H62" s="134" t="n">
        <v>120</v>
      </c>
      <c r="I62" s="135" t="n">
        <v>16500</v>
      </c>
      <c r="J62" s="135" t="inlineStr">
        <is>
          <t>5</t>
        </is>
      </c>
      <c r="K62" s="135" t="n">
        <v>16000</v>
      </c>
      <c r="L62" s="135" t="inlineStr">
        <is>
          <t>5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1</v>
      </c>
      <c r="S62" s="119" t="inlineStr">
        <is>
          <t>계</t>
        </is>
      </c>
      <c r="T62" s="5" t="n">
        <v>85</v>
      </c>
      <c r="U62" s="9" t="n"/>
    </row>
    <row r="63" ht="12" customFormat="1" customHeight="1" s="38">
      <c r="A63" s="122" t="inlineStr">
        <is>
          <t>탑동 현대</t>
        </is>
      </c>
      <c r="B63" s="123" t="inlineStr">
        <is>
          <t>91.04.</t>
        </is>
      </c>
      <c r="C63" s="131" t="n">
        <v>485</v>
      </c>
      <c r="D63" s="132" t="n">
        <v>100.2</v>
      </c>
      <c r="E63" s="133" t="n">
        <v>30</v>
      </c>
      <c r="F63" s="132" t="n">
        <v>84.90000000000001</v>
      </c>
      <c r="G63" s="17" t="n">
        <v>26</v>
      </c>
      <c r="H63" s="134" t="n">
        <v>407</v>
      </c>
      <c r="I63" s="135" t="n">
        <v>16500</v>
      </c>
      <c r="J63" s="135" t="inlineStr">
        <is>
          <t>13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100</v>
      </c>
      <c r="U63" s="9" t="n"/>
    </row>
    <row r="64" ht="12" customFormat="1" customHeight="1" s="38">
      <c r="A64" s="122" t="inlineStr">
        <is>
          <t>금천동 금천현대</t>
        </is>
      </c>
      <c r="B64" s="123" t="inlineStr">
        <is>
          <t>92.12.</t>
        </is>
      </c>
      <c r="C64" s="131" t="n">
        <v>1032</v>
      </c>
      <c r="D64" s="132" t="n">
        <v>86.5</v>
      </c>
      <c r="E64" s="133" t="n">
        <v>26</v>
      </c>
      <c r="F64" s="132" t="n">
        <v>70.2</v>
      </c>
      <c r="G64" s="17" t="n">
        <v>21</v>
      </c>
      <c r="H64" s="134" t="n">
        <v>262</v>
      </c>
      <c r="I64" s="135" t="n">
        <v>15500</v>
      </c>
      <c r="J64" s="135" t="inlineStr">
        <is>
          <t>14</t>
        </is>
      </c>
      <c r="K64" s="135" t="n">
        <v>14000</v>
      </c>
      <c r="L64" s="135" t="inlineStr">
        <is>
          <t>9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86</v>
      </c>
      <c r="U64" s="9" t="n"/>
    </row>
    <row r="65" ht="12" customFormat="1" customHeight="1" s="38">
      <c r="A65" s="122" t="inlineStr">
        <is>
          <t>금천동 풍림</t>
        </is>
      </c>
      <c r="B65" s="123" t="inlineStr">
        <is>
          <t>92.08.</t>
        </is>
      </c>
      <c r="C65" s="131" t="n">
        <v>327</v>
      </c>
      <c r="D65" s="132" t="n">
        <v>104.4</v>
      </c>
      <c r="E65" s="133" t="n">
        <v>32</v>
      </c>
      <c r="F65" s="132" t="n">
        <v>84.59999999999999</v>
      </c>
      <c r="G65" s="17" t="n">
        <v>26</v>
      </c>
      <c r="H65" s="134" t="n">
        <v>229</v>
      </c>
      <c r="I65" s="135" t="n">
        <v>15500</v>
      </c>
      <c r="J65" s="135" t="inlineStr">
        <is>
          <t>6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104</v>
      </c>
      <c r="U65" s="9" t="n"/>
    </row>
    <row r="66" ht="12" customFormat="1" customHeight="1" s="38">
      <c r="A66" s="122" t="inlineStr">
        <is>
          <t>금천동 금천현대</t>
        </is>
      </c>
      <c r="B66" s="123" t="inlineStr">
        <is>
          <t>92.12.</t>
        </is>
      </c>
      <c r="C66" s="131" t="n">
        <v>1032</v>
      </c>
      <c r="D66" s="132" t="n">
        <v>102.4</v>
      </c>
      <c r="E66" s="133" t="n">
        <v>31</v>
      </c>
      <c r="F66" s="132" t="n">
        <v>84.8</v>
      </c>
      <c r="G66" s="17" t="n">
        <v>26</v>
      </c>
      <c r="H66" s="134" t="n">
        <v>448</v>
      </c>
      <c r="I66" s="135" t="n">
        <v>15000</v>
      </c>
      <c r="J66" s="135" t="inlineStr">
        <is>
          <t>고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102</v>
      </c>
      <c r="U66" s="9" t="n"/>
    </row>
    <row r="67" ht="12" customFormat="1" customHeight="1" s="38">
      <c r="A67" s="122" t="inlineStr">
        <is>
          <t>금천동 장자마을9단지부영</t>
        </is>
      </c>
      <c r="B67" s="123" t="inlineStr">
        <is>
          <t>02.08.</t>
        </is>
      </c>
      <c r="C67" s="131" t="n">
        <v>456</v>
      </c>
      <c r="D67" s="132" t="n">
        <v>75.2</v>
      </c>
      <c r="E67" s="133" t="n">
        <v>23</v>
      </c>
      <c r="F67" s="132" t="n">
        <v>48.4</v>
      </c>
      <c r="G67" s="17" t="n">
        <v>15</v>
      </c>
      <c r="H67" s="134" t="n">
        <v>72</v>
      </c>
      <c r="I67" s="135" t="n">
        <v>15000</v>
      </c>
      <c r="J67" s="135" t="inlineStr">
        <is>
          <t>14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2</v>
      </c>
      <c r="R67" s="119" t="n">
        <v>1</v>
      </c>
      <c r="S67" s="119" t="inlineStr">
        <is>
          <t>복</t>
        </is>
      </c>
      <c r="T67" s="5" t="n">
        <v>75</v>
      </c>
      <c r="U67" s="9" t="n"/>
    </row>
    <row r="68" ht="12" customFormat="1" customHeight="1" s="38">
      <c r="A68" s="122" t="inlineStr">
        <is>
          <t>용암동 용암세원한아름</t>
        </is>
      </c>
      <c r="B68" s="123" t="inlineStr">
        <is>
          <t>94.11.</t>
        </is>
      </c>
      <c r="C68" s="131" t="n">
        <v>1530</v>
      </c>
      <c r="D68" s="132" t="n">
        <v>75</v>
      </c>
      <c r="E68" s="133" t="n">
        <v>23</v>
      </c>
      <c r="F68" s="132" t="n">
        <v>59.8</v>
      </c>
      <c r="G68" s="17" t="n">
        <v>18</v>
      </c>
      <c r="H68" s="134" t="n">
        <v>1050</v>
      </c>
      <c r="I68" s="135" t="n">
        <v>15000</v>
      </c>
      <c r="J68" s="135" t="inlineStr">
        <is>
          <t>11</t>
        </is>
      </c>
      <c r="K68" s="135" t="n">
        <v>14000</v>
      </c>
      <c r="L68" s="135" t="inlineStr">
        <is>
          <t>15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74</v>
      </c>
      <c r="U68" s="9" t="n"/>
    </row>
    <row r="69" ht="12" customFormat="1" customHeight="1" s="38">
      <c r="A69" s="122" t="inlineStr">
        <is>
          <t>용암동 덕성그린타운</t>
        </is>
      </c>
      <c r="B69" s="123" t="inlineStr">
        <is>
          <t>95.07.</t>
        </is>
      </c>
      <c r="C69" s="131" t="n">
        <v>495</v>
      </c>
      <c r="D69" s="132" t="n">
        <v>75</v>
      </c>
      <c r="E69" s="133" t="n">
        <v>23</v>
      </c>
      <c r="F69" s="132" t="n">
        <v>59.6</v>
      </c>
      <c r="G69" s="17" t="n">
        <v>18</v>
      </c>
      <c r="H69" s="134" t="n">
        <v>195</v>
      </c>
      <c r="I69" s="135" t="n">
        <v>15000</v>
      </c>
      <c r="J69" s="135" t="inlineStr">
        <is>
          <t>11</t>
        </is>
      </c>
      <c r="K69" s="135" t="n">
        <v>14000</v>
      </c>
      <c r="L69" s="135" t="inlineStr">
        <is>
          <t>9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1</v>
      </c>
      <c r="S69" s="119" t="inlineStr">
        <is>
          <t>계</t>
        </is>
      </c>
      <c r="T69" s="5" t="n">
        <v>74</v>
      </c>
      <c r="U69" s="9" t="n"/>
    </row>
    <row r="70" ht="12" customFormat="1" customHeight="1" s="38">
      <c r="A70" s="122" t="inlineStr">
        <is>
          <t>용암동 소라</t>
        </is>
      </c>
      <c r="B70" s="123" t="inlineStr">
        <is>
          <t>94.11.</t>
        </is>
      </c>
      <c r="C70" s="131" t="n">
        <v>675</v>
      </c>
      <c r="D70" s="132" t="n">
        <v>74.8</v>
      </c>
      <c r="E70" s="133" t="n">
        <v>23</v>
      </c>
      <c r="F70" s="132" t="n">
        <v>59.7</v>
      </c>
      <c r="G70" s="17" t="n">
        <v>18</v>
      </c>
      <c r="H70" s="134" t="n">
        <v>480</v>
      </c>
      <c r="I70" s="135" t="n">
        <v>14500</v>
      </c>
      <c r="J70" s="135" t="inlineStr">
        <is>
          <t>13</t>
        </is>
      </c>
      <c r="K70" s="135" t="n">
        <v>14000</v>
      </c>
      <c r="L70" s="135" t="inlineStr">
        <is>
          <t>14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3</v>
      </c>
      <c r="R70" s="119" t="n">
        <v>1</v>
      </c>
      <c r="S70" s="119" t="inlineStr">
        <is>
          <t>계</t>
        </is>
      </c>
      <c r="T70" s="5" t="inlineStr">
        <is>
          <t>74B</t>
        </is>
      </c>
      <c r="U70" s="9" t="n"/>
    </row>
    <row r="71" ht="12" customFormat="1" customHeight="1" s="38">
      <c r="A71" s="122" t="inlineStr">
        <is>
          <t>용암동 용암삼일무지개</t>
        </is>
      </c>
      <c r="B71" s="123" t="inlineStr">
        <is>
          <t>94.10.</t>
        </is>
      </c>
      <c r="C71" s="131" t="n">
        <v>640</v>
      </c>
      <c r="D71" s="132" t="n">
        <v>74.7</v>
      </c>
      <c r="E71" s="133" t="n">
        <v>23</v>
      </c>
      <c r="F71" s="132" t="n">
        <v>59.9</v>
      </c>
      <c r="G71" s="17" t="n">
        <v>18</v>
      </c>
      <c r="H71" s="134" t="n">
        <v>640</v>
      </c>
      <c r="I71" s="135" t="n">
        <v>14000</v>
      </c>
      <c r="J71" s="135" t="inlineStr">
        <is>
          <t>고</t>
        </is>
      </c>
      <c r="K71" s="135" t="n">
        <v>14000</v>
      </c>
      <c r="L71" s="135" t="inlineStr">
        <is>
          <t>12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1</v>
      </c>
      <c r="S71" s="119" t="inlineStr">
        <is>
          <t>계</t>
        </is>
      </c>
      <c r="T71" s="5" t="n">
        <v>74</v>
      </c>
      <c r="U71" s="9" t="n"/>
    </row>
    <row r="72" ht="12" customFormat="1" customHeight="1" s="38">
      <c r="A72" s="122" t="inlineStr">
        <is>
          <t>용암동 효성</t>
        </is>
      </c>
      <c r="B72" s="123" t="inlineStr">
        <is>
          <t>94.10.</t>
        </is>
      </c>
      <c r="C72" s="131" t="n">
        <v>486</v>
      </c>
      <c r="D72" s="132" t="n">
        <v>74.09999999999999</v>
      </c>
      <c r="E72" s="133" t="n">
        <v>22</v>
      </c>
      <c r="F72" s="132" t="n">
        <v>59.2</v>
      </c>
      <c r="G72" s="17" t="n">
        <v>18</v>
      </c>
      <c r="H72" s="134" t="n">
        <v>366</v>
      </c>
      <c r="I72" s="135" t="n">
        <v>14000</v>
      </c>
      <c r="J72" s="135" t="inlineStr">
        <is>
          <t>8</t>
        </is>
      </c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1</v>
      </c>
      <c r="S72" s="119" t="inlineStr">
        <is>
          <t>계</t>
        </is>
      </c>
      <c r="T72" s="5" t="inlineStr">
        <is>
          <t>74A</t>
        </is>
      </c>
      <c r="U72" s="9" t="n"/>
    </row>
    <row r="73" ht="12" customFormat="1" customHeight="1" s="38">
      <c r="A73" s="122" t="inlineStr">
        <is>
          <t>탑동 LH청주탑동</t>
        </is>
      </c>
      <c r="B73" s="123" t="inlineStr">
        <is>
          <t>14.03.</t>
        </is>
      </c>
      <c r="C73" s="131" t="n">
        <v>400</v>
      </c>
      <c r="D73" s="132" t="n">
        <v>53</v>
      </c>
      <c r="E73" s="133" t="n">
        <v>16</v>
      </c>
      <c r="F73" s="132" t="n">
        <v>39.9</v>
      </c>
      <c r="G73" s="17" t="n">
        <v>12</v>
      </c>
      <c r="H73" s="134" t="n">
        <v>50</v>
      </c>
      <c r="I73" s="135" t="n">
        <v>13500</v>
      </c>
      <c r="J73" s="135" t="inlineStr">
        <is>
          <t>고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2</v>
      </c>
      <c r="R73" s="119" t="n">
        <v>1</v>
      </c>
      <c r="S73" s="119" t="inlineStr">
        <is>
          <t>계</t>
        </is>
      </c>
      <c r="T73" s="5" t="inlineStr">
        <is>
          <t>52A</t>
        </is>
      </c>
      <c r="U73" s="9" t="n"/>
    </row>
    <row r="74" ht="12" customFormat="1" customHeight="1" s="38">
      <c r="A74" s="122" t="inlineStr">
        <is>
          <t>용암동 태산그린</t>
        </is>
      </c>
      <c r="B74" s="123" t="inlineStr">
        <is>
          <t>95.04.</t>
        </is>
      </c>
      <c r="C74" s="131" t="n">
        <v>590</v>
      </c>
      <c r="D74" s="132" t="n">
        <v>76.09999999999999</v>
      </c>
      <c r="E74" s="133" t="n">
        <v>23</v>
      </c>
      <c r="F74" s="132" t="n">
        <v>59.8</v>
      </c>
      <c r="G74" s="17" t="n">
        <v>18</v>
      </c>
      <c r="H74" s="134" t="n">
        <v>590</v>
      </c>
      <c r="I74" s="135" t="n">
        <v>13000</v>
      </c>
      <c r="J74" s="135" t="inlineStr">
        <is>
          <t>14</t>
        </is>
      </c>
      <c r="K74" s="135" t="n">
        <v>13000</v>
      </c>
      <c r="L74" s="135" t="inlineStr">
        <is>
          <t>8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1</v>
      </c>
      <c r="S74" s="119" t="inlineStr">
        <is>
          <t>계</t>
        </is>
      </c>
      <c r="T74" s="5" t="n">
        <v>76</v>
      </c>
      <c r="U74" s="9" t="n"/>
    </row>
    <row r="75" ht="12" customFormat="1" customHeight="1" s="38">
      <c r="A75" s="122" t="inlineStr">
        <is>
          <t>금천동 금천경희</t>
        </is>
      </c>
      <c r="B75" s="123" t="inlineStr">
        <is>
          <t>97.09.</t>
        </is>
      </c>
      <c r="C75" s="131" t="n">
        <v>470</v>
      </c>
      <c r="D75" s="132" t="n">
        <v>76.8</v>
      </c>
      <c r="E75" s="133" t="n">
        <v>23</v>
      </c>
      <c r="F75" s="132" t="n">
        <v>59.9</v>
      </c>
      <c r="G75" s="17" t="n">
        <v>18</v>
      </c>
      <c r="H75" s="134" t="n">
        <v>89</v>
      </c>
      <c r="I75" s="135" t="n">
        <v>12000</v>
      </c>
      <c r="J75" s="135" t="inlineStr">
        <is>
          <t>중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1</v>
      </c>
      <c r="S75" s="119" t="inlineStr">
        <is>
          <t>계</t>
        </is>
      </c>
      <c r="T75" s="5" t="n">
        <v>76</v>
      </c>
      <c r="U75" s="9" t="n"/>
    </row>
    <row r="76" ht="12" customFormat="1" customHeight="1" s="38">
      <c r="A76" s="122" t="inlineStr">
        <is>
          <t>영운동 신라송림</t>
        </is>
      </c>
      <c r="B76" s="123" t="inlineStr">
        <is>
          <t>95.12.</t>
        </is>
      </c>
      <c r="C76" s="131" t="n">
        <v>393</v>
      </c>
      <c r="D76" s="132" t="n">
        <v>83.3</v>
      </c>
      <c r="E76" s="133" t="n">
        <v>25</v>
      </c>
      <c r="F76" s="132" t="n">
        <v>59.8</v>
      </c>
      <c r="G76" s="17" t="n">
        <v>18</v>
      </c>
      <c r="H76" s="134" t="n">
        <v>90</v>
      </c>
      <c r="I76" s="135" t="n">
        <v>12000</v>
      </c>
      <c r="J76" s="135" t="inlineStr">
        <is>
          <t>5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83</v>
      </c>
      <c r="U76" s="9" t="n"/>
    </row>
    <row r="77" ht="12" customFormat="1" customHeight="1" s="38">
      <c r="A77" s="122" t="inlineStr">
        <is>
          <t>용암동 부영</t>
        </is>
      </c>
      <c r="B77" s="123" t="inlineStr">
        <is>
          <t>96.11.</t>
        </is>
      </c>
      <c r="C77" s="131" t="n">
        <v>979</v>
      </c>
      <c r="D77" s="132" t="n">
        <v>80.90000000000001</v>
      </c>
      <c r="E77" s="133" t="n">
        <v>24</v>
      </c>
      <c r="F77" s="132" t="n">
        <v>60</v>
      </c>
      <c r="G77" s="17" t="n">
        <v>18</v>
      </c>
      <c r="H77" s="134" t="n">
        <v>440</v>
      </c>
      <c r="I77" s="135" t="n">
        <v>12000</v>
      </c>
      <c r="J77" s="135" t="inlineStr">
        <is>
          <t>14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1</v>
      </c>
      <c r="S77" s="119" t="inlineStr">
        <is>
          <t>복</t>
        </is>
      </c>
      <c r="T77" s="5" t="n">
        <v>80</v>
      </c>
      <c r="U77" s="9" t="n"/>
    </row>
    <row r="78" ht="12" customFormat="1" customHeight="1" s="38">
      <c r="A78" s="122" t="inlineStr">
        <is>
          <t>용암동 덕성그린타운</t>
        </is>
      </c>
      <c r="B78" s="123" t="inlineStr">
        <is>
          <t>95.07.</t>
        </is>
      </c>
      <c r="C78" s="131" t="n">
        <v>495</v>
      </c>
      <c r="D78" s="132" t="n">
        <v>64</v>
      </c>
      <c r="E78" s="133" t="n">
        <v>19</v>
      </c>
      <c r="F78" s="132" t="n">
        <v>50</v>
      </c>
      <c r="G78" s="17" t="n">
        <v>15</v>
      </c>
      <c r="H78" s="134" t="n">
        <v>150</v>
      </c>
      <c r="I78" s="135" t="n">
        <v>12000</v>
      </c>
      <c r="J78" s="135" t="inlineStr">
        <is>
          <t>9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2</v>
      </c>
      <c r="R78" s="119" t="n">
        <v>1</v>
      </c>
      <c r="S78" s="119" t="inlineStr">
        <is>
          <t>계</t>
        </is>
      </c>
      <c r="T78" s="5" t="n">
        <v>63</v>
      </c>
      <c r="U78" s="9" t="n"/>
    </row>
    <row r="79" ht="12" customFormat="1" customHeight="1" s="38">
      <c r="A79" s="122" t="inlineStr">
        <is>
          <t>금천동 금천현대</t>
        </is>
      </c>
      <c r="B79" s="123" t="inlineStr">
        <is>
          <t>92.12.</t>
        </is>
      </c>
      <c r="C79" s="131" t="n">
        <v>1032</v>
      </c>
      <c r="D79" s="132" t="n">
        <v>81.7</v>
      </c>
      <c r="E79" s="133" t="n">
        <v>25</v>
      </c>
      <c r="F79" s="132" t="n">
        <v>62.1</v>
      </c>
      <c r="G79" s="17" t="n">
        <v>19</v>
      </c>
      <c r="H79" s="134" t="n">
        <v>180</v>
      </c>
      <c r="I79" s="135" t="n">
        <v>11500</v>
      </c>
      <c r="J79" s="135" t="inlineStr">
        <is>
          <t>15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2</v>
      </c>
      <c r="R79" s="119" t="n">
        <v>1</v>
      </c>
      <c r="S79" s="119" t="inlineStr">
        <is>
          <t>복</t>
        </is>
      </c>
      <c r="T79" s="5" t="n">
        <v>81</v>
      </c>
      <c r="U79" s="9" t="n"/>
    </row>
    <row r="80" ht="12" customFormat="1" customHeight="1" s="38">
      <c r="A80" s="122" t="inlineStr">
        <is>
          <t>용암동 청주용암주공1단지</t>
        </is>
      </c>
      <c r="B80" s="123" t="inlineStr">
        <is>
          <t>94.11.</t>
        </is>
      </c>
      <c r="C80" s="131" t="n">
        <v>600</v>
      </c>
      <c r="D80" s="132" t="n">
        <v>69.7</v>
      </c>
      <c r="E80" s="133" t="n">
        <v>21</v>
      </c>
      <c r="F80" s="132" t="n">
        <v>49.8</v>
      </c>
      <c r="G80" s="17" t="n">
        <v>15</v>
      </c>
      <c r="H80" s="134" t="n">
        <v>480</v>
      </c>
      <c r="I80" s="135" t="n">
        <v>10000</v>
      </c>
      <c r="J80" s="135" t="inlineStr">
        <is>
          <t>13</t>
        </is>
      </c>
      <c r="K80" s="135" t="n">
        <v>9500</v>
      </c>
      <c r="L80" s="135" t="inlineStr">
        <is>
          <t>15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2</v>
      </c>
      <c r="R80" s="119" t="n">
        <v>1</v>
      </c>
      <c r="S80" s="119" t="inlineStr">
        <is>
          <t>복</t>
        </is>
      </c>
      <c r="T80" s="5" t="inlineStr">
        <is>
          <t>69A</t>
        </is>
      </c>
      <c r="U80" s="9" t="n"/>
    </row>
    <row r="81" ht="12" customFormat="1" customHeight="1" s="38">
      <c r="A81" s="122" t="inlineStr">
        <is>
          <t>용암동 부영</t>
        </is>
      </c>
      <c r="B81" s="123" t="inlineStr">
        <is>
          <t>96.11.</t>
        </is>
      </c>
      <c r="C81" s="131" t="n">
        <v>979</v>
      </c>
      <c r="D81" s="132" t="n">
        <v>68.09999999999999</v>
      </c>
      <c r="E81" s="133" t="n">
        <v>21</v>
      </c>
      <c r="F81" s="132" t="n">
        <v>50.5</v>
      </c>
      <c r="G81" s="17" t="n">
        <v>15</v>
      </c>
      <c r="H81" s="134" t="n">
        <v>539</v>
      </c>
      <c r="I81" s="135" t="n">
        <v>10000</v>
      </c>
      <c r="J81" s="135" t="inlineStr">
        <is>
          <t>중</t>
        </is>
      </c>
      <c r="K81" s="135" t="n">
        <v>10000</v>
      </c>
      <c r="L81" s="135" t="inlineStr">
        <is>
          <t>11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2</v>
      </c>
      <c r="R81" s="119" t="n">
        <v>1</v>
      </c>
      <c r="S81" s="119" t="inlineStr">
        <is>
          <t>복</t>
        </is>
      </c>
      <c r="T81" s="5" t="n">
        <v>68</v>
      </c>
      <c r="U81" s="9" t="n"/>
    </row>
    <row r="82" ht="12" customFormat="1" customHeight="1" s="38">
      <c r="A82" s="122" t="inlineStr">
        <is>
          <t>금천동 금천뉴타운</t>
        </is>
      </c>
      <c r="B82" s="123" t="inlineStr">
        <is>
          <t>93.05.</t>
        </is>
      </c>
      <c r="C82" s="131" t="n">
        <v>783</v>
      </c>
      <c r="D82" s="132" t="n">
        <v>74.59999999999999</v>
      </c>
      <c r="E82" s="133" t="n">
        <v>23</v>
      </c>
      <c r="F82" s="132" t="n">
        <v>60</v>
      </c>
      <c r="G82" s="17" t="n">
        <v>18</v>
      </c>
      <c r="H82" s="134" t="n">
        <v>286</v>
      </c>
      <c r="I82" s="135" t="n">
        <v>9800</v>
      </c>
      <c r="J82" s="135" t="inlineStr">
        <is>
          <t>고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1</v>
      </c>
      <c r="S82" s="119" t="inlineStr">
        <is>
          <t>계</t>
        </is>
      </c>
      <c r="T82" s="5" t="n">
        <v>74</v>
      </c>
      <c r="U82" s="9" t="n"/>
    </row>
    <row r="83" ht="12" customFormat="1" customHeight="1" s="38">
      <c r="A83" s="122" t="inlineStr">
        <is>
          <t>용암동 용암세원한아름</t>
        </is>
      </c>
      <c r="B83" s="123" t="inlineStr">
        <is>
          <t>94.11.</t>
        </is>
      </c>
      <c r="C83" s="131" t="n">
        <v>1530</v>
      </c>
      <c r="D83" s="132" t="n">
        <v>56.4</v>
      </c>
      <c r="E83" s="133" t="n">
        <v>17</v>
      </c>
      <c r="F83" s="132" t="n">
        <v>41.9</v>
      </c>
      <c r="G83" s="17" t="n">
        <v>13</v>
      </c>
      <c r="H83" s="134" t="n">
        <v>480</v>
      </c>
      <c r="I83" s="135" t="n">
        <v>8200</v>
      </c>
      <c r="J83" s="135" t="inlineStr">
        <is>
          <t>7</t>
        </is>
      </c>
      <c r="K83" s="135" t="n">
        <v>8000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2</v>
      </c>
      <c r="R83" s="119" t="n">
        <v>1</v>
      </c>
      <c r="S83" s="119" t="inlineStr">
        <is>
          <t>계</t>
        </is>
      </c>
      <c r="T83" s="5" t="n">
        <v>56</v>
      </c>
      <c r="U83" s="9" t="n"/>
    </row>
    <row r="84" ht="12" customFormat="1" customHeight="1" s="38">
      <c r="A84" s="122" t="inlineStr">
        <is>
          <t>영운동 태암수정</t>
        </is>
      </c>
      <c r="B84" s="123" t="inlineStr">
        <is>
          <t>95.11.</t>
        </is>
      </c>
      <c r="C84" s="131" t="n">
        <v>486</v>
      </c>
      <c r="D84" s="132" t="n">
        <v>64.7</v>
      </c>
      <c r="E84" s="133" t="n">
        <v>20</v>
      </c>
      <c r="F84" s="132" t="n">
        <v>54.1</v>
      </c>
      <c r="G84" s="17" t="n">
        <v>16</v>
      </c>
      <c r="H84" s="134" t="n">
        <v>78</v>
      </c>
      <c r="I84" s="135" t="n">
        <v>7500</v>
      </c>
      <c r="J84" s="135" t="inlineStr">
        <is>
          <t>7</t>
        </is>
      </c>
      <c r="K84" s="135" t="n">
        <v>7000</v>
      </c>
      <c r="L84" s="135" t="inlineStr">
        <is>
          <t>중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2</v>
      </c>
      <c r="R84" s="119" t="n">
        <v>1</v>
      </c>
      <c r="S84" s="119" t="inlineStr">
        <is>
          <t>계</t>
        </is>
      </c>
      <c r="T84" s="5" t="n">
        <v>64</v>
      </c>
      <c r="U84" s="9" t="n"/>
    </row>
    <row r="85" ht="12" customFormat="1" customHeight="1" s="38">
      <c r="A85" s="122" t="inlineStr">
        <is>
          <t>영운동 태암수정</t>
        </is>
      </c>
      <c r="B85" s="123" t="inlineStr">
        <is>
          <t>95.11.</t>
        </is>
      </c>
      <c r="C85" s="131" t="n">
        <v>486</v>
      </c>
      <c r="D85" s="132" t="n">
        <v>50.5</v>
      </c>
      <c r="E85" s="133" t="n">
        <v>15</v>
      </c>
      <c r="F85" s="132" t="n">
        <v>42.2</v>
      </c>
      <c r="G85" s="17" t="n">
        <v>13</v>
      </c>
      <c r="H85" s="134" t="n">
        <v>336</v>
      </c>
      <c r="I85" s="135" t="n">
        <v>5100</v>
      </c>
      <c r="J85" s="135" t="inlineStr">
        <is>
          <t>13</t>
        </is>
      </c>
      <c r="K85" s="135" t="n">
        <v>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1</v>
      </c>
      <c r="R85" s="119" t="n">
        <v>1</v>
      </c>
      <c r="S85" s="119" t="inlineStr">
        <is>
          <t>계</t>
        </is>
      </c>
      <c r="T85" s="5" t="n">
        <v>50</v>
      </c>
      <c r="U85" s="9" t="n"/>
    </row>
    <row r="86" ht="12" customFormat="1" customHeight="1" s="38">
      <c r="A86" s="122" t="inlineStr">
        <is>
          <t>금천동 금천경희</t>
        </is>
      </c>
      <c r="B86" s="123" t="inlineStr">
        <is>
          <t>97.09.</t>
        </is>
      </c>
      <c r="C86" s="131" t="n">
        <v>470</v>
      </c>
      <c r="D86" s="132" t="n">
        <v>47.3</v>
      </c>
      <c r="E86" s="133" t="n">
        <v>14</v>
      </c>
      <c r="F86" s="132" t="n">
        <v>31.2</v>
      </c>
      <c r="G86" s="17" t="n">
        <v>9</v>
      </c>
      <c r="H86" s="134" t="n">
        <v>381</v>
      </c>
      <c r="I86" s="135" t="n">
        <v>4100</v>
      </c>
      <c r="J86" s="135" t="inlineStr">
        <is>
          <t>14</t>
        </is>
      </c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1</v>
      </c>
      <c r="R86" s="119" t="n">
        <v>1</v>
      </c>
      <c r="S86" s="119" t="inlineStr">
        <is>
          <t>복</t>
        </is>
      </c>
      <c r="T86" s="5" t="n">
        <v>47</v>
      </c>
      <c r="U86" s="9" t="n"/>
    </row>
    <row r="87" ht="12" customFormat="1" customHeight="1" s="38">
      <c r="A87" s="122" t="inlineStr">
        <is>
          <t>금천동 효성1차</t>
        </is>
      </c>
      <c r="B87" s="123" t="inlineStr">
        <is>
          <t>98.08.</t>
        </is>
      </c>
      <c r="C87" s="131" t="n">
        <v>495</v>
      </c>
      <c r="D87" s="132" t="n">
        <v>39.1</v>
      </c>
      <c r="E87" s="133" t="n">
        <v>12</v>
      </c>
      <c r="F87" s="132" t="n">
        <v>27.3</v>
      </c>
      <c r="G87" s="17" t="n">
        <v>8</v>
      </c>
      <c r="H87" s="134" t="n">
        <v>300</v>
      </c>
      <c r="I87" s="135" t="n">
        <v>3400</v>
      </c>
      <c r="J87" s="135" t="inlineStr">
        <is>
          <t>6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1</v>
      </c>
      <c r="R87" s="119" t="n">
        <v>1</v>
      </c>
      <c r="S87" s="119" t="inlineStr">
        <is>
          <t>복</t>
        </is>
      </c>
      <c r="T87" s="5" t="n">
        <v>39</v>
      </c>
      <c r="U87" s="9" t="n"/>
    </row>
    <row r="88" ht="12" customFormat="1" customHeight="1" s="38">
      <c r="A88" s="122" t="inlineStr">
        <is>
          <t>금천동 효성2차</t>
        </is>
      </c>
      <c r="B88" s="123" t="inlineStr">
        <is>
          <t>98.07.</t>
        </is>
      </c>
      <c r="C88" s="131" t="n">
        <v>253</v>
      </c>
      <c r="D88" s="132" t="n">
        <v>39.5</v>
      </c>
      <c r="E88" s="133" t="n">
        <v>12</v>
      </c>
      <c r="F88" s="132" t="n">
        <v>27.3</v>
      </c>
      <c r="G88" s="17" t="n">
        <v>8</v>
      </c>
      <c r="H88" s="134" t="n">
        <v>253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1</v>
      </c>
      <c r="R88" s="119" t="n">
        <v>1</v>
      </c>
      <c r="S88" s="119" t="inlineStr">
        <is>
          <t>복</t>
        </is>
      </c>
      <c r="T88" s="5" t="n">
        <v>39</v>
      </c>
      <c r="U88" s="9" t="n"/>
    </row>
    <row r="89" ht="12" customFormat="1" customHeight="1" s="38">
      <c r="A89" s="122" t="inlineStr">
        <is>
          <t>금천동 금천현대</t>
        </is>
      </c>
      <c r="B89" s="123" t="inlineStr">
        <is>
          <t>92.12.</t>
        </is>
      </c>
      <c r="C89" s="131" t="n">
        <v>1032</v>
      </c>
      <c r="D89" s="132" t="n">
        <v>148.9</v>
      </c>
      <c r="E89" s="133" t="n">
        <v>45</v>
      </c>
      <c r="F89" s="132" t="n">
        <v>127.2</v>
      </c>
      <c r="G89" s="17" t="n">
        <v>38</v>
      </c>
      <c r="H89" s="134" t="n">
        <v>142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4</v>
      </c>
      <c r="R89" s="119" t="n">
        <v>2</v>
      </c>
      <c r="S89" s="119" t="inlineStr">
        <is>
          <t>계</t>
        </is>
      </c>
      <c r="T89" s="5" t="n">
        <v>148</v>
      </c>
      <c r="U89" s="9" t="n"/>
    </row>
    <row r="90" ht="12" customFormat="1" customHeight="1" s="38">
      <c r="A90" s="122" t="inlineStr">
        <is>
          <t>금천동 삼일</t>
        </is>
      </c>
      <c r="B90" s="123" t="inlineStr">
        <is>
          <t>87.11.</t>
        </is>
      </c>
      <c r="C90" s="131" t="n">
        <v>299</v>
      </c>
      <c r="D90" s="132" t="n">
        <v>78.2</v>
      </c>
      <c r="E90" s="133" t="n">
        <v>24</v>
      </c>
      <c r="F90" s="132" t="n">
        <v>59.8</v>
      </c>
      <c r="G90" s="17" t="n">
        <v>18</v>
      </c>
      <c r="H90" s="134" t="n">
        <v>266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3</v>
      </c>
      <c r="R90" s="119" t="n">
        <v>1</v>
      </c>
      <c r="S90" s="119" t="inlineStr">
        <is>
          <t>계</t>
        </is>
      </c>
      <c r="T90" s="5" t="n">
        <v>78</v>
      </c>
      <c r="U90" s="9" t="n"/>
    </row>
    <row r="91" ht="12" customFormat="1" customHeight="1" s="38">
      <c r="A91" s="122" t="inlineStr">
        <is>
          <t>금천동 장자마을7단지부영</t>
        </is>
      </c>
      <c r="B91" s="123" t="inlineStr">
        <is>
          <t>01.11.</t>
        </is>
      </c>
      <c r="C91" s="131" t="n">
        <v>725</v>
      </c>
      <c r="D91" s="132" t="n">
        <v>74.3</v>
      </c>
      <c r="E91" s="133" t="n">
        <v>22</v>
      </c>
      <c r="F91" s="132" t="n">
        <v>48.4</v>
      </c>
      <c r="G91" s="17" t="n">
        <v>15</v>
      </c>
      <c r="H91" s="134" t="n">
        <v>350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복</t>
        </is>
      </c>
      <c r="T91" s="5" t="n">
        <v>74</v>
      </c>
      <c r="U91" s="9" t="n"/>
    </row>
    <row r="92" ht="12" customFormat="1" customHeight="1" s="38">
      <c r="A92" s="122" t="inlineStr">
        <is>
          <t>금천동 풍림</t>
        </is>
      </c>
      <c r="B92" s="123" t="inlineStr">
        <is>
          <t>92.08.</t>
        </is>
      </c>
      <c r="C92" s="131" t="n">
        <v>327</v>
      </c>
      <c r="D92" s="132" t="n">
        <v>72.90000000000001</v>
      </c>
      <c r="E92" s="133" t="n">
        <v>22</v>
      </c>
      <c r="F92" s="132" t="n">
        <v>59.5</v>
      </c>
      <c r="G92" s="17" t="n">
        <v>18</v>
      </c>
      <c r="H92" s="134" t="n">
        <v>38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72</v>
      </c>
      <c r="U92" s="9" t="n"/>
    </row>
    <row r="93" ht="12" customFormat="1" customHeight="1" s="38">
      <c r="A93" s="122" t="inlineStr">
        <is>
          <t>금천동 금천우미린</t>
        </is>
      </c>
      <c r="B93" s="123" t="inlineStr">
        <is>
          <t>14.10.</t>
        </is>
      </c>
      <c r="C93" s="131" t="n">
        <v>319</v>
      </c>
      <c r="D93" s="132" t="n">
        <v>97.8</v>
      </c>
      <c r="E93" s="133" t="n">
        <v>30</v>
      </c>
      <c r="F93" s="132" t="n">
        <v>76.09999999999999</v>
      </c>
      <c r="G93" s="17" t="n">
        <v>23</v>
      </c>
      <c r="H93" s="134" t="n">
        <v>234</v>
      </c>
      <c r="I93" s="135" t="n"/>
      <c r="J93" s="135" t="n"/>
      <c r="K93" s="135" t="n">
        <v>24000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97A</t>
        </is>
      </c>
      <c r="U93" s="9" t="n"/>
    </row>
    <row r="94" ht="12" customFormat="1" customHeight="1" s="38">
      <c r="A94" s="122" t="inlineStr">
        <is>
          <t>금천동 장자마을10단지부영</t>
        </is>
      </c>
      <c r="B94" s="123" t="inlineStr">
        <is>
          <t>02.08.</t>
        </is>
      </c>
      <c r="C94" s="131" t="n">
        <v>330</v>
      </c>
      <c r="D94" s="132" t="n">
        <v>106.3</v>
      </c>
      <c r="E94" s="133" t="n">
        <v>32</v>
      </c>
      <c r="F94" s="132" t="n">
        <v>85</v>
      </c>
      <c r="G94" s="17" t="n">
        <v>26</v>
      </c>
      <c r="H94" s="134" t="n">
        <v>330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n">
        <v>106</v>
      </c>
      <c r="U94" s="9" t="n"/>
    </row>
    <row r="95" ht="12" customFormat="1" customHeight="1" s="38">
      <c r="A95" s="122" t="inlineStr">
        <is>
          <t>금천동 금천뉴타운</t>
        </is>
      </c>
      <c r="B95" s="123" t="inlineStr">
        <is>
          <t>93.05.</t>
        </is>
      </c>
      <c r="C95" s="131" t="n">
        <v>783</v>
      </c>
      <c r="D95" s="132" t="n">
        <v>190.2</v>
      </c>
      <c r="E95" s="133" t="n">
        <v>58</v>
      </c>
      <c r="F95" s="132" t="n">
        <v>164.4</v>
      </c>
      <c r="G95" s="17" t="n">
        <v>50</v>
      </c>
      <c r="H95" s="134" t="n">
        <v>52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5</v>
      </c>
      <c r="R95" s="119" t="n">
        <v>2</v>
      </c>
      <c r="S95" s="119" t="inlineStr">
        <is>
          <t>계</t>
        </is>
      </c>
      <c r="T95" s="5" t="n">
        <v>190</v>
      </c>
      <c r="U95" s="9" t="n"/>
    </row>
    <row r="96" ht="12" customFormat="1" customHeight="1" s="38">
      <c r="A96" s="122" t="inlineStr">
        <is>
          <t>금천동 효성1차</t>
        </is>
      </c>
      <c r="B96" s="123" t="inlineStr">
        <is>
          <t>98.08.</t>
        </is>
      </c>
      <c r="C96" s="131" t="n">
        <v>495</v>
      </c>
      <c r="D96" s="132" t="n">
        <v>85.90000000000001</v>
      </c>
      <c r="E96" s="133" t="n">
        <v>26</v>
      </c>
      <c r="F96" s="132" t="n">
        <v>59.9</v>
      </c>
      <c r="G96" s="17" t="n">
        <v>18</v>
      </c>
      <c r="H96" s="134" t="n">
        <v>45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복</t>
        </is>
      </c>
      <c r="T96" s="5" t="n">
        <v>85</v>
      </c>
      <c r="U96" s="9" t="n"/>
    </row>
    <row r="97" ht="12" customFormat="1" customHeight="1" s="38">
      <c r="A97" s="122" t="inlineStr">
        <is>
          <t>금천동 효성1차</t>
        </is>
      </c>
      <c r="B97" s="123" t="inlineStr">
        <is>
          <t>98.08.</t>
        </is>
      </c>
      <c r="C97" s="131" t="n">
        <v>495</v>
      </c>
      <c r="D97" s="132" t="n">
        <v>103.6</v>
      </c>
      <c r="E97" s="133" t="n">
        <v>31</v>
      </c>
      <c r="F97" s="132" t="n">
        <v>85</v>
      </c>
      <c r="G97" s="17" t="n">
        <v>26</v>
      </c>
      <c r="H97" s="134" t="n">
        <v>150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</row>
    <row r="98" ht="12" customFormat="1" customHeight="1" s="38">
      <c r="A98" s="122" t="inlineStr">
        <is>
          <t>금천동 장자마을1단지부영</t>
        </is>
      </c>
      <c r="B98" s="123" t="inlineStr">
        <is>
          <t>04.06.</t>
        </is>
      </c>
      <c r="C98" s="131" t="n">
        <v>284</v>
      </c>
      <c r="D98" s="132" t="n">
        <v>106.4</v>
      </c>
      <c r="E98" s="133" t="n">
        <v>32</v>
      </c>
      <c r="F98" s="132" t="n">
        <v>85</v>
      </c>
      <c r="G98" s="17" t="n">
        <v>26</v>
      </c>
      <c r="H98" s="134" t="n">
        <v>284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</row>
    <row r="99" ht="12" customFormat="1" customHeight="1" s="38">
      <c r="A99" s="122" t="inlineStr">
        <is>
          <t>대성동 우성</t>
        </is>
      </c>
      <c r="B99" s="123" t="inlineStr">
        <is>
          <t>91.10.</t>
        </is>
      </c>
      <c r="C99" s="131" t="n">
        <v>554</v>
      </c>
      <c r="D99" s="132" t="n">
        <v>197.6</v>
      </c>
      <c r="E99" s="133" t="n">
        <v>60</v>
      </c>
      <c r="F99" s="132" t="n">
        <v>156.6</v>
      </c>
      <c r="G99" s="17" t="n">
        <v>47</v>
      </c>
      <c r="H99" s="134" t="n">
        <v>52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4</v>
      </c>
      <c r="R99" s="119" t="n">
        <v>2</v>
      </c>
      <c r="S99" s="119" t="inlineStr">
        <is>
          <t>계</t>
        </is>
      </c>
      <c r="T99" s="5" t="n">
        <v>197</v>
      </c>
      <c r="U99" s="9" t="n"/>
    </row>
    <row r="100" ht="12" customFormat="1" customHeight="1" s="38">
      <c r="A100" s="122" t="inlineStr">
        <is>
          <t>방서동 호반써밋브룩사이드</t>
        </is>
      </c>
      <c r="B100" s="123" t="inlineStr">
        <is>
          <t>23.07.</t>
        </is>
      </c>
      <c r="C100" s="131" t="n">
        <v>1215</v>
      </c>
      <c r="D100" s="132" t="n">
        <v>100</v>
      </c>
      <c r="E100" s="133" t="n">
        <v>30</v>
      </c>
      <c r="F100" s="132" t="n">
        <v>75</v>
      </c>
      <c r="G100" s="17" t="n">
        <v>23</v>
      </c>
      <c r="H100" s="134" t="n">
        <v>351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4</v>
      </c>
      <c r="R100" s="119" t="n">
        <v>2</v>
      </c>
      <c r="S100" s="119" t="inlineStr">
        <is>
          <t>계</t>
        </is>
      </c>
      <c r="T100" s="5" t="inlineStr">
        <is>
          <t>99A</t>
        </is>
      </c>
      <c r="U100" s="9" t="n"/>
    </row>
    <row r="101" ht="12" customFormat="1" customHeight="1" s="38">
      <c r="A101" s="122" t="inlineStr">
        <is>
          <t>방서동 호반써밋브룩사이드</t>
        </is>
      </c>
      <c r="B101" s="123" t="inlineStr">
        <is>
          <t>23.07.</t>
        </is>
      </c>
      <c r="C101" s="131" t="n">
        <v>1215</v>
      </c>
      <c r="D101" s="132" t="n">
        <v>111.3</v>
      </c>
      <c r="E101" s="133" t="n">
        <v>34</v>
      </c>
      <c r="F101" s="132" t="n">
        <v>84.90000000000001</v>
      </c>
      <c r="G101" s="17" t="n">
        <v>26</v>
      </c>
      <c r="H101" s="134" t="n">
        <v>816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4</v>
      </c>
      <c r="R101" s="119" t="n">
        <v>2</v>
      </c>
      <c r="S101" s="119" t="inlineStr">
        <is>
          <t>계</t>
        </is>
      </c>
      <c r="T101" s="5" t="n">
        <v>111</v>
      </c>
      <c r="U101" s="9" t="n"/>
    </row>
    <row r="102" ht="12" customFormat="1" customHeight="1" s="38">
      <c r="A102" s="122" t="inlineStr">
        <is>
          <t>방서동 동남지구우미린풀하우스</t>
        </is>
      </c>
      <c r="B102" s="123" t="inlineStr">
        <is>
          <t>20.09.</t>
        </is>
      </c>
      <c r="C102" s="131" t="n">
        <v>1016</v>
      </c>
      <c r="D102" s="132" t="n">
        <v>91.90000000000001</v>
      </c>
      <c r="E102" s="133" t="n">
        <v>28</v>
      </c>
      <c r="F102" s="132" t="n">
        <v>69.8</v>
      </c>
      <c r="G102" s="17" t="n">
        <v>21</v>
      </c>
      <c r="H102" s="134" t="n">
        <v>278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2</v>
      </c>
      <c r="S102" s="119" t="inlineStr">
        <is>
          <t>계</t>
        </is>
      </c>
      <c r="T102" s="5" t="inlineStr">
        <is>
          <t>91A</t>
        </is>
      </c>
      <c r="U102" s="9" t="n"/>
    </row>
    <row r="103" ht="12" customFormat="1" customHeight="1" s="38">
      <c r="A103" s="122" t="inlineStr">
        <is>
          <t>방서동 동남지구우미린풀하우스</t>
        </is>
      </c>
      <c r="B103" s="123" t="inlineStr">
        <is>
          <t>20.09.</t>
        </is>
      </c>
      <c r="C103" s="131" t="n">
        <v>1016</v>
      </c>
      <c r="D103" s="132" t="n">
        <v>102.5</v>
      </c>
      <c r="E103" s="133" t="n">
        <v>31</v>
      </c>
      <c r="F103" s="132" t="n">
        <v>78.5</v>
      </c>
      <c r="G103" s="17" t="n">
        <v>24</v>
      </c>
      <c r="H103" s="134" t="n">
        <v>69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2</v>
      </c>
      <c r="S103" s="119" t="inlineStr">
        <is>
          <t>계</t>
        </is>
      </c>
      <c r="T103" s="5" t="inlineStr">
        <is>
          <t>102A</t>
        </is>
      </c>
      <c r="U103" s="9" t="n"/>
    </row>
    <row r="104" ht="12" customFormat="1" customHeight="1" s="38">
      <c r="A104" s="122" t="inlineStr">
        <is>
          <t>방서동 동남지구우미린풀하우스</t>
        </is>
      </c>
      <c r="B104" s="123" t="inlineStr">
        <is>
          <t>20.09.</t>
        </is>
      </c>
      <c r="C104" s="131" t="n">
        <v>1016</v>
      </c>
      <c r="D104" s="132" t="n">
        <v>111.4</v>
      </c>
      <c r="E104" s="133" t="n">
        <v>34</v>
      </c>
      <c r="F104" s="132" t="n">
        <v>85</v>
      </c>
      <c r="G104" s="17" t="n">
        <v>26</v>
      </c>
      <c r="H104" s="134" t="n">
        <v>530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4</v>
      </c>
      <c r="R104" s="119" t="n">
        <v>2</v>
      </c>
      <c r="S104" s="119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8">
      <c r="A105" s="122" t="inlineStr">
        <is>
          <t>북문로3가 북문로한신휴플러스</t>
        </is>
      </c>
      <c r="B105" s="123" t="inlineStr">
        <is>
          <t>13.06.</t>
        </is>
      </c>
      <c r="C105" s="131" t="n">
        <v>286</v>
      </c>
      <c r="D105" s="132" t="n">
        <v>98.7</v>
      </c>
      <c r="E105" s="133" t="n">
        <v>30</v>
      </c>
      <c r="F105" s="132" t="n">
        <v>73.8</v>
      </c>
      <c r="G105" s="17" t="n">
        <v>22</v>
      </c>
      <c r="H105" s="134" t="n">
        <v>48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n">
        <v>98</v>
      </c>
      <c r="U105" s="9" t="n"/>
    </row>
    <row r="106" ht="12" customFormat="1" customHeight="1" s="38">
      <c r="A106" s="122" t="inlineStr">
        <is>
          <t>북문로3가 북문로한신휴플러스</t>
        </is>
      </c>
      <c r="B106" s="123" t="inlineStr">
        <is>
          <t>13.06.</t>
        </is>
      </c>
      <c r="C106" s="131" t="n">
        <v>286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112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112A</t>
        </is>
      </c>
      <c r="U106" s="9" t="n"/>
    </row>
    <row r="107" ht="12" customFormat="1" customHeight="1" s="38">
      <c r="A107" s="122" t="inlineStr">
        <is>
          <t>북문로3가 청주행정타운코아루휴티스</t>
        </is>
      </c>
      <c r="B107" s="123" t="inlineStr">
        <is>
          <t>20.12.</t>
        </is>
      </c>
      <c r="C107" s="131" t="n">
        <v>530</v>
      </c>
      <c r="D107" s="132" t="n">
        <v>114</v>
      </c>
      <c r="E107" s="133" t="n">
        <v>34</v>
      </c>
      <c r="F107" s="132" t="n">
        <v>84.7</v>
      </c>
      <c r="G107" s="17" t="n">
        <v>26</v>
      </c>
      <c r="H107" s="134" t="n">
        <v>266</v>
      </c>
      <c r="I107" s="135" t="n"/>
      <c r="J107" s="135" t="n"/>
      <c r="K107" s="135" t="n">
        <v>32000</v>
      </c>
      <c r="L107" s="135" t="inlineStr">
        <is>
          <t>중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4</v>
      </c>
      <c r="R107" s="119" t="n">
        <v>2</v>
      </c>
      <c r="S107" s="119" t="inlineStr">
        <is>
          <t>계</t>
        </is>
      </c>
      <c r="T107" s="5" t="inlineStr">
        <is>
          <t>114B</t>
        </is>
      </c>
      <c r="U107" s="9" t="n"/>
    </row>
    <row r="108" ht="12" customFormat="1" customHeight="1" s="38">
      <c r="A108" s="122" t="inlineStr">
        <is>
          <t>영운동 신라송림</t>
        </is>
      </c>
      <c r="B108" s="123" t="inlineStr">
        <is>
          <t>95.12.</t>
        </is>
      </c>
      <c r="C108" s="131" t="n">
        <v>393</v>
      </c>
      <c r="D108" s="132" t="n">
        <v>103.6</v>
      </c>
      <c r="E108" s="133" t="n">
        <v>31</v>
      </c>
      <c r="F108" s="132" t="n">
        <v>84.7</v>
      </c>
      <c r="G108" s="17" t="n">
        <v>26</v>
      </c>
      <c r="H108" s="134" t="n">
        <v>203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103A</t>
        </is>
      </c>
      <c r="U108" s="9" t="n"/>
    </row>
    <row r="109" ht="12" customFormat="1" customHeight="1" s="38">
      <c r="A109" s="122" t="inlineStr">
        <is>
          <t>영운동 영운삼일</t>
        </is>
      </c>
      <c r="B109" s="123" t="inlineStr">
        <is>
          <t>92.08.</t>
        </is>
      </c>
      <c r="C109" s="131" t="n">
        <v>228</v>
      </c>
      <c r="D109" s="132" t="n">
        <v>72.8</v>
      </c>
      <c r="E109" s="133" t="n">
        <v>22</v>
      </c>
      <c r="F109" s="132" t="n">
        <v>59.1</v>
      </c>
      <c r="G109" s="17" t="n">
        <v>18</v>
      </c>
      <c r="H109" s="134" t="n">
        <v>78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3</v>
      </c>
      <c r="R109" s="119" t="n">
        <v>1</v>
      </c>
      <c r="S109" s="119" t="inlineStr">
        <is>
          <t>계</t>
        </is>
      </c>
      <c r="T109" s="5" t="n">
        <v>72</v>
      </c>
      <c r="U109" s="9" t="n"/>
    </row>
    <row r="110" ht="12" customFormat="1" customHeight="1" s="38">
      <c r="A110" s="122" t="inlineStr">
        <is>
          <t>영운동 영운삼일</t>
        </is>
      </c>
      <c r="B110" s="123" t="inlineStr">
        <is>
          <t>92.08.</t>
        </is>
      </c>
      <c r="C110" s="131" t="n">
        <v>228</v>
      </c>
      <c r="D110" s="132" t="n">
        <v>106</v>
      </c>
      <c r="E110" s="133" t="n">
        <v>32</v>
      </c>
      <c r="F110" s="132" t="n">
        <v>84.09999999999999</v>
      </c>
      <c r="G110" s="17" t="n">
        <v>25</v>
      </c>
      <c r="H110" s="134" t="n">
        <v>108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106</v>
      </c>
      <c r="U110" s="9" t="n"/>
    </row>
    <row r="111" ht="12" customFormat="1" customHeight="1" s="38">
      <c r="A111" s="122" t="inlineStr">
        <is>
          <t>영운동 영운한진신세대</t>
        </is>
      </c>
      <c r="B111" s="123" t="inlineStr">
        <is>
          <t>97.09.</t>
        </is>
      </c>
      <c r="C111" s="131" t="n">
        <v>272</v>
      </c>
      <c r="D111" s="132" t="n">
        <v>58.1</v>
      </c>
      <c r="E111" s="133" t="n">
        <v>18</v>
      </c>
      <c r="F111" s="132" t="n">
        <v>43.2</v>
      </c>
      <c r="G111" s="17" t="n">
        <v>13</v>
      </c>
      <c r="H111" s="134" t="n">
        <v>272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1</v>
      </c>
      <c r="R111" s="119" t="n">
        <v>1</v>
      </c>
      <c r="S111" s="119" t="inlineStr">
        <is>
          <t>복</t>
        </is>
      </c>
      <c r="T111" s="5" t="n">
        <v>58</v>
      </c>
      <c r="U111" s="9" t="n"/>
    </row>
    <row r="112" ht="12" customFormat="1" customHeight="1" s="38">
      <c r="A112" s="122" t="inlineStr">
        <is>
          <t>영운동 미림</t>
        </is>
      </c>
      <c r="B112" s="123" t="inlineStr">
        <is>
          <t>91.08.</t>
        </is>
      </c>
      <c r="C112" s="131" t="n">
        <v>250</v>
      </c>
      <c r="D112" s="132" t="n">
        <v>71.5</v>
      </c>
      <c r="E112" s="133" t="n">
        <v>22</v>
      </c>
      <c r="F112" s="132" t="n">
        <v>50</v>
      </c>
      <c r="G112" s="17" t="n">
        <v>15</v>
      </c>
      <c r="H112" s="134" t="n">
        <v>250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3</v>
      </c>
      <c r="R112" s="119" t="n">
        <v>1</v>
      </c>
      <c r="S112" s="119" t="inlineStr">
        <is>
          <t>계</t>
        </is>
      </c>
      <c r="T112" s="5" t="n">
        <v>71</v>
      </c>
      <c r="U112" s="9" t="n"/>
    </row>
    <row r="113" ht="12" customFormat="1" customHeight="1" s="38">
      <c r="A113" s="122" t="inlineStr">
        <is>
          <t>영운동 태암수정</t>
        </is>
      </c>
      <c r="B113" s="123" t="inlineStr">
        <is>
          <t>95.11.</t>
        </is>
      </c>
      <c r="C113" s="131" t="n">
        <v>486</v>
      </c>
      <c r="D113" s="132" t="n">
        <v>46.3</v>
      </c>
      <c r="E113" s="133" t="n">
        <v>14</v>
      </c>
      <c r="F113" s="132" t="n">
        <v>38.7</v>
      </c>
      <c r="G113" s="17" t="n">
        <v>12</v>
      </c>
      <c r="H113" s="134" t="n">
        <v>72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1</v>
      </c>
      <c r="R113" s="119" t="n">
        <v>1</v>
      </c>
      <c r="S113" s="119" t="inlineStr">
        <is>
          <t>계</t>
        </is>
      </c>
      <c r="T113" s="5" t="n">
        <v>46</v>
      </c>
      <c r="U113" s="9" t="n"/>
    </row>
    <row r="114" ht="12" customFormat="1" customHeight="1" s="38">
      <c r="A114" s="122" t="inlineStr">
        <is>
          <t>영운동 파모스라움</t>
        </is>
      </c>
      <c r="B114" s="123" t="inlineStr">
        <is>
          <t>18.10.</t>
        </is>
      </c>
      <c r="C114" s="131" t="n">
        <v>246</v>
      </c>
      <c r="D114" s="132" t="n">
        <v>87.09999999999999</v>
      </c>
      <c r="E114" s="133" t="n">
        <v>26</v>
      </c>
      <c r="F114" s="132" t="n">
        <v>59.4</v>
      </c>
      <c r="G114" s="17" t="n">
        <v>18</v>
      </c>
      <c r="H114" s="134" t="n">
        <v>142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inlineStr">
        <is>
          <t>87A</t>
        </is>
      </c>
      <c r="U114" s="9" t="n"/>
    </row>
    <row r="115" ht="12" customFormat="1" customHeight="1" s="38">
      <c r="A115" s="122" t="inlineStr">
        <is>
          <t>영운동 영운두산하이츠타운(두산독신자)</t>
        </is>
      </c>
      <c r="B115" s="123" t="inlineStr">
        <is>
          <t>92.06.</t>
        </is>
      </c>
      <c r="C115" s="131" t="n">
        <v>296</v>
      </c>
      <c r="D115" s="132" t="n">
        <v>35</v>
      </c>
      <c r="E115" s="133" t="n">
        <v>11</v>
      </c>
      <c r="F115" s="132" t="n">
        <v>22.9</v>
      </c>
      <c r="G115" s="17" t="n">
        <v>7</v>
      </c>
      <c r="H115" s="134" t="n">
        <v>296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1</v>
      </c>
      <c r="R115" s="119" t="n">
        <v>1</v>
      </c>
      <c r="S115" s="119" t="inlineStr">
        <is>
          <t>계</t>
        </is>
      </c>
      <c r="T115" s="5" t="n">
        <v>35</v>
      </c>
      <c r="U115" s="9" t="n"/>
    </row>
    <row r="116" ht="12" customFormat="1" customHeight="1" s="38">
      <c r="A116" s="122" t="inlineStr">
        <is>
          <t>용담동 가좌마을5단지부영</t>
        </is>
      </c>
      <c r="B116" s="123" t="inlineStr">
        <is>
          <t>04.06.</t>
        </is>
      </c>
      <c r="C116" s="131" t="n">
        <v>437</v>
      </c>
      <c r="D116" s="132" t="n">
        <v>113.6</v>
      </c>
      <c r="E116" s="133" t="n">
        <v>34</v>
      </c>
      <c r="F116" s="132" t="n">
        <v>85</v>
      </c>
      <c r="G116" s="17" t="n">
        <v>26</v>
      </c>
      <c r="H116" s="134" t="n">
        <v>437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n">
        <v>113</v>
      </c>
      <c r="U116" s="9" t="n"/>
    </row>
    <row r="117" ht="12" customFormat="1" customHeight="1" s="38">
      <c r="A117" s="122" t="inlineStr">
        <is>
          <t>용담동 가좌마을용담세영첼시빌</t>
        </is>
      </c>
      <c r="B117" s="123" t="inlineStr">
        <is>
          <t>05.01.</t>
        </is>
      </c>
      <c r="C117" s="131" t="n">
        <v>568</v>
      </c>
      <c r="D117" s="132" t="n">
        <v>119.4</v>
      </c>
      <c r="E117" s="133" t="n">
        <v>36</v>
      </c>
      <c r="F117" s="132" t="n">
        <v>85</v>
      </c>
      <c r="G117" s="17" t="n">
        <v>26</v>
      </c>
      <c r="H117" s="134" t="n">
        <v>388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3</v>
      </c>
      <c r="R117" s="119" t="n">
        <v>2</v>
      </c>
      <c r="S117" s="119" t="inlineStr">
        <is>
          <t>계</t>
        </is>
      </c>
      <c r="T117" s="5" t="n">
        <v>119</v>
      </c>
      <c r="U117" s="9" t="n"/>
    </row>
    <row r="118" ht="12" customFormat="1" customHeight="1" s="38">
      <c r="A118" s="122" t="inlineStr">
        <is>
          <t>용담동 가좌마을용담세영첼시빌</t>
        </is>
      </c>
      <c r="B118" s="123" t="inlineStr">
        <is>
          <t>05.01.</t>
        </is>
      </c>
      <c r="C118" s="131" t="n">
        <v>568</v>
      </c>
      <c r="D118" s="132" t="n">
        <v>156</v>
      </c>
      <c r="E118" s="133" t="n">
        <v>47</v>
      </c>
      <c r="F118" s="132" t="n">
        <v>131.3</v>
      </c>
      <c r="G118" s="17" t="n">
        <v>40</v>
      </c>
      <c r="H118" s="134" t="n">
        <v>120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155</v>
      </c>
      <c r="U118" s="9" t="n"/>
    </row>
    <row r="119" ht="12" customFormat="1" customHeight="1" s="38">
      <c r="A119" s="122" t="inlineStr">
        <is>
          <t>용담동 가좌마을용담세영첼시빌</t>
        </is>
      </c>
      <c r="B119" s="123" t="inlineStr">
        <is>
          <t>05.01.</t>
        </is>
      </c>
      <c r="C119" s="131" t="n">
        <v>568</v>
      </c>
      <c r="D119" s="132" t="n">
        <v>184.5</v>
      </c>
      <c r="E119" s="133" t="n">
        <v>56</v>
      </c>
      <c r="F119" s="132" t="n">
        <v>157</v>
      </c>
      <c r="G119" s="17" t="n">
        <v>48</v>
      </c>
      <c r="H119" s="134" t="n">
        <v>60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4</v>
      </c>
      <c r="R119" s="119" t="n">
        <v>2</v>
      </c>
      <c r="S119" s="119" t="inlineStr">
        <is>
          <t>계</t>
        </is>
      </c>
      <c r="T119" s="5" t="n">
        <v>184</v>
      </c>
      <c r="U119" s="9" t="n"/>
    </row>
    <row r="120" ht="12" customFormat="1" customHeight="1" s="38">
      <c r="A120" s="122" t="inlineStr">
        <is>
          <t>용담동 가좌마을부영그린타운1차</t>
        </is>
      </c>
      <c r="B120" s="123" t="inlineStr">
        <is>
          <t>03.07.</t>
        </is>
      </c>
      <c r="C120" s="131" t="n">
        <v>380</v>
      </c>
      <c r="D120" s="132" t="n">
        <v>106</v>
      </c>
      <c r="E120" s="133" t="n">
        <v>32</v>
      </c>
      <c r="F120" s="132" t="n">
        <v>85</v>
      </c>
      <c r="G120" s="17" t="n">
        <v>26</v>
      </c>
      <c r="H120" s="134" t="n">
        <v>380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n">
        <v>106</v>
      </c>
      <c r="U120" s="9" t="n"/>
    </row>
    <row r="121" ht="12" customFormat="1" customHeight="1" s="38">
      <c r="A121" s="122" t="inlineStr">
        <is>
          <t>용담동 용담가좌마을e-편한세상</t>
        </is>
      </c>
      <c r="B121" s="123" t="inlineStr">
        <is>
          <t>04.10.</t>
        </is>
      </c>
      <c r="C121" s="131" t="n">
        <v>421</v>
      </c>
      <c r="D121" s="132" t="n">
        <v>130.1</v>
      </c>
      <c r="E121" s="133" t="n">
        <v>39</v>
      </c>
      <c r="F121" s="132" t="n">
        <v>107.3</v>
      </c>
      <c r="G121" s="17" t="n">
        <v>32</v>
      </c>
      <c r="H121" s="134" t="n">
        <v>174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130A</t>
        </is>
      </c>
      <c r="U121" s="9" t="n"/>
    </row>
    <row r="122" ht="12" customFormat="1" customHeight="1" s="38">
      <c r="A122" s="122" t="inlineStr">
        <is>
          <t>용담동 용담가좌마을e-편한세상</t>
        </is>
      </c>
      <c r="B122" s="123" t="inlineStr">
        <is>
          <t>04.10.</t>
        </is>
      </c>
      <c r="C122" s="131" t="n">
        <v>421</v>
      </c>
      <c r="D122" s="132" t="n">
        <v>161.7</v>
      </c>
      <c r="E122" s="133" t="n">
        <v>49</v>
      </c>
      <c r="F122" s="132" t="n">
        <v>139.2</v>
      </c>
      <c r="G122" s="17" t="n">
        <v>42</v>
      </c>
      <c r="H122" s="134" t="n">
        <v>176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4</v>
      </c>
      <c r="R122" s="119" t="n">
        <v>2</v>
      </c>
      <c r="S122" s="119" t="inlineStr">
        <is>
          <t>계</t>
        </is>
      </c>
      <c r="T122" s="5" t="n">
        <v>161</v>
      </c>
      <c r="U122" s="9" t="n"/>
    </row>
    <row r="123" ht="12" customFormat="1" customHeight="1" s="38">
      <c r="A123" s="122" t="inlineStr">
        <is>
          <t>용담동 용담가좌마을e-편한세상</t>
        </is>
      </c>
      <c r="B123" s="123" t="inlineStr">
        <is>
          <t>04.10.</t>
        </is>
      </c>
      <c r="C123" s="131" t="n">
        <v>421</v>
      </c>
      <c r="D123" s="132" t="n">
        <v>190.2</v>
      </c>
      <c r="E123" s="133" t="n">
        <v>58</v>
      </c>
      <c r="F123" s="132" t="n">
        <v>167.6</v>
      </c>
      <c r="G123" s="17" t="n">
        <v>51</v>
      </c>
      <c r="H123" s="134" t="n">
        <v>58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4</v>
      </c>
      <c r="R123" s="119" t="n">
        <v>2</v>
      </c>
      <c r="S123" s="119" t="inlineStr">
        <is>
          <t>계</t>
        </is>
      </c>
      <c r="T123" s="5" t="n">
        <v>190</v>
      </c>
      <c r="U123" s="9" t="n"/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97.90000000000001</v>
      </c>
      <c r="E124" s="133" t="n">
        <v>30</v>
      </c>
      <c r="F124" s="132" t="n">
        <v>72.90000000000001</v>
      </c>
      <c r="G124" s="17" t="n">
        <v>22</v>
      </c>
      <c r="H124" s="134" t="n">
        <v>93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3</v>
      </c>
      <c r="R124" s="119" t="n">
        <v>2</v>
      </c>
      <c r="S124" s="119" t="inlineStr">
        <is>
          <t>계</t>
        </is>
      </c>
      <c r="T124" s="5" t="n">
        <v>97</v>
      </c>
      <c r="U124" s="9" t="n"/>
    </row>
    <row r="125" ht="12" customFormat="1" customHeight="1" s="38">
      <c r="A125" s="122" t="inlineStr">
        <is>
          <t>용담동 우미린에듀파크2단지</t>
        </is>
      </c>
      <c r="B125" s="123" t="inlineStr">
        <is>
          <t>18.02.</t>
        </is>
      </c>
      <c r="C125" s="131" t="n">
        <v>901</v>
      </c>
      <c r="D125" s="132" t="n">
        <v>111.2</v>
      </c>
      <c r="E125" s="133" t="n">
        <v>34</v>
      </c>
      <c r="F125" s="132" t="n">
        <v>85</v>
      </c>
      <c r="G125" s="17" t="n">
        <v>26</v>
      </c>
      <c r="H125" s="134" t="n">
        <v>280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22" t="inlineStr">
        <is>
          <t>용담동 우미린에듀파크2단지</t>
        </is>
      </c>
      <c r="B126" s="123" t="inlineStr">
        <is>
          <t>18.02.</t>
        </is>
      </c>
      <c r="C126" s="131" t="n">
        <v>901</v>
      </c>
      <c r="D126" s="132" t="n">
        <v>141.8</v>
      </c>
      <c r="E126" s="133" t="n">
        <v>43</v>
      </c>
      <c r="F126" s="132" t="n">
        <v>113.9</v>
      </c>
      <c r="G126" s="17" t="n">
        <v>34</v>
      </c>
      <c r="H126" s="134" t="n">
        <v>90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4</v>
      </c>
      <c r="R126" s="119" t="n">
        <v>2</v>
      </c>
      <c r="S126" s="119" t="inlineStr">
        <is>
          <t>계</t>
        </is>
      </c>
      <c r="T126" s="5" t="n">
        <v>141</v>
      </c>
      <c r="U126" s="9" t="n"/>
    </row>
    <row r="127" ht="12" customFormat="1" customHeight="1" s="38">
      <c r="A127" s="122" t="inlineStr">
        <is>
          <t>용담동 가좌마을2단지부영</t>
        </is>
      </c>
      <c r="B127" s="123" t="inlineStr">
        <is>
          <t>03.07.</t>
        </is>
      </c>
      <c r="C127" s="131" t="n">
        <v>569</v>
      </c>
      <c r="D127" s="132" t="n">
        <v>78</v>
      </c>
      <c r="E127" s="133" t="n">
        <v>24</v>
      </c>
      <c r="F127" s="132" t="n">
        <v>60</v>
      </c>
      <c r="G127" s="17" t="n">
        <v>18</v>
      </c>
      <c r="H127" s="134" t="n">
        <v>569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3</v>
      </c>
      <c r="R127" s="119" t="n">
        <v>2</v>
      </c>
      <c r="S127" s="119" t="inlineStr">
        <is>
          <t>계</t>
        </is>
      </c>
      <c r="T127" s="5" t="n">
        <v>77</v>
      </c>
      <c r="U127" s="9" t="n"/>
    </row>
    <row r="128" ht="12" customFormat="1" customHeight="1" s="38">
      <c r="A128" s="122" t="inlineStr">
        <is>
          <t>용암동 용암현대1차</t>
        </is>
      </c>
      <c r="B128" s="123" t="inlineStr">
        <is>
          <t>94.12.</t>
        </is>
      </c>
      <c r="C128" s="131" t="n">
        <v>264</v>
      </c>
      <c r="D128" s="132" t="n">
        <v>120.1</v>
      </c>
      <c r="E128" s="133" t="n">
        <v>36</v>
      </c>
      <c r="F128" s="132" t="n">
        <v>101.9</v>
      </c>
      <c r="G128" s="17" t="n">
        <v>31</v>
      </c>
      <c r="H128" s="134" t="n">
        <v>120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120</v>
      </c>
      <c r="U128" s="9" t="n"/>
    </row>
    <row r="129" ht="12" customFormat="1" customHeight="1" s="38">
      <c r="A129" s="122" t="inlineStr">
        <is>
          <t>용암동 용암현대1차</t>
        </is>
      </c>
      <c r="B129" s="123" t="inlineStr">
        <is>
          <t>94.12.</t>
        </is>
      </c>
      <c r="C129" s="131" t="n">
        <v>264</v>
      </c>
      <c r="D129" s="132" t="n">
        <v>158.8</v>
      </c>
      <c r="E129" s="133" t="n">
        <v>48</v>
      </c>
      <c r="F129" s="132" t="n">
        <v>134.7</v>
      </c>
      <c r="G129" s="17" t="n">
        <v>41</v>
      </c>
      <c r="H129" s="134" t="n">
        <v>120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4</v>
      </c>
      <c r="R129" s="119" t="n">
        <v>2</v>
      </c>
      <c r="S129" s="119" t="inlineStr">
        <is>
          <t>계</t>
        </is>
      </c>
      <c r="T129" s="5" t="n">
        <v>158</v>
      </c>
      <c r="U129" s="9" t="n"/>
    </row>
    <row r="130" ht="12" customFormat="1" customHeight="1" s="38">
      <c r="A130" s="122" t="inlineStr">
        <is>
          <t>용암동 청주동남지구우미린에듀포레</t>
        </is>
      </c>
      <c r="B130" s="123" t="inlineStr">
        <is>
          <t>22.01.</t>
        </is>
      </c>
      <c r="C130" s="131" t="n">
        <v>489</v>
      </c>
      <c r="D130" s="132" t="n">
        <v>108.3</v>
      </c>
      <c r="E130" s="133" t="n">
        <v>33</v>
      </c>
      <c r="F130" s="132" t="n">
        <v>85</v>
      </c>
      <c r="G130" s="17" t="n">
        <v>26</v>
      </c>
      <c r="H130" s="134" t="n">
        <v>228</v>
      </c>
      <c r="I130" s="135" t="n"/>
      <c r="J130" s="135" t="n"/>
      <c r="K130" s="135" t="n">
        <v>41000</v>
      </c>
      <c r="L130" s="135" t="inlineStr">
        <is>
          <t>7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3</v>
      </c>
      <c r="R130" s="119" t="n">
        <v>2</v>
      </c>
      <c r="S130" s="119" t="inlineStr">
        <is>
          <t>계</t>
        </is>
      </c>
      <c r="T130" s="5" t="inlineStr">
        <is>
          <t>108A</t>
        </is>
      </c>
      <c r="U130" s="9" t="n"/>
    </row>
    <row r="131" ht="12" customFormat="1" customHeight="1" s="38">
      <c r="A131" s="122" t="inlineStr">
        <is>
          <t>용암동 청주동남지구우미린에듀포레</t>
        </is>
      </c>
      <c r="B131" s="123" t="inlineStr">
        <is>
          <t>22.01.</t>
        </is>
      </c>
      <c r="C131" s="131" t="n">
        <v>489</v>
      </c>
      <c r="D131" s="132" t="n">
        <v>127.5</v>
      </c>
      <c r="E131" s="133" t="n">
        <v>39</v>
      </c>
      <c r="F131" s="132" t="n">
        <v>101</v>
      </c>
      <c r="G131" s="17" t="n">
        <v>31</v>
      </c>
      <c r="H131" s="134" t="n">
        <v>145</v>
      </c>
      <c r="I131" s="135" t="n"/>
      <c r="J131" s="135" t="n"/>
      <c r="K131" s="135" t="n">
        <v>45000</v>
      </c>
      <c r="L131" s="135" t="inlineStr">
        <is>
          <t>13</t>
        </is>
      </c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127</v>
      </c>
      <c r="U131" s="9" t="n"/>
    </row>
    <row r="132" ht="12" customFormat="1" customHeight="1" s="38">
      <c r="A132" s="122" t="inlineStr">
        <is>
          <t>용암동 청주동남지구우미린에듀포레</t>
        </is>
      </c>
      <c r="B132" s="123" t="inlineStr">
        <is>
          <t>22.01.</t>
        </is>
      </c>
      <c r="C132" s="131" t="n">
        <v>489</v>
      </c>
      <c r="D132" s="132" t="n">
        <v>146.6</v>
      </c>
      <c r="E132" s="133" t="n">
        <v>44</v>
      </c>
      <c r="F132" s="132" t="n">
        <v>116</v>
      </c>
      <c r="G132" s="17" t="n">
        <v>35</v>
      </c>
      <c r="H132" s="134" t="n">
        <v>49</v>
      </c>
      <c r="I132" s="135" t="n"/>
      <c r="J132" s="135" t="n"/>
      <c r="K132" s="135" t="n">
        <v>51000</v>
      </c>
      <c r="L132" s="135" t="inlineStr">
        <is>
          <t>중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4</v>
      </c>
      <c r="R132" s="119" t="n">
        <v>2</v>
      </c>
      <c r="S132" s="119" t="inlineStr">
        <is>
          <t>계</t>
        </is>
      </c>
      <c r="T132" s="5" t="n">
        <v>146</v>
      </c>
      <c r="U132" s="9" t="n"/>
    </row>
    <row r="133" ht="12" customFormat="1" customHeight="1" s="38">
      <c r="A133" s="122" t="inlineStr">
        <is>
          <t>용암동 동남힐데스하임</t>
        </is>
      </c>
      <c r="B133" s="123" t="inlineStr">
        <is>
          <t>20.09.</t>
        </is>
      </c>
      <c r="C133" s="131" t="n">
        <v>910</v>
      </c>
      <c r="D133" s="132" t="n">
        <v>108.2</v>
      </c>
      <c r="E133" s="133" t="n">
        <v>33</v>
      </c>
      <c r="F133" s="132" t="n">
        <v>84.8</v>
      </c>
      <c r="G133" s="17" t="n">
        <v>26</v>
      </c>
      <c r="H133" s="134" t="n">
        <v>619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inlineStr">
        <is>
          <t>108A</t>
        </is>
      </c>
      <c r="U133" s="9" t="n"/>
    </row>
    <row r="134" ht="12" customFormat="1" customHeight="1" s="38">
      <c r="A134" s="122" t="inlineStr">
        <is>
          <t>용암동 임광</t>
        </is>
      </c>
      <c r="B134" s="123" t="inlineStr">
        <is>
          <t>96.05.</t>
        </is>
      </c>
      <c r="C134" s="131" t="n">
        <v>280</v>
      </c>
      <c r="D134" s="132" t="n">
        <v>121.3</v>
      </c>
      <c r="E134" s="133" t="n">
        <v>37</v>
      </c>
      <c r="F134" s="132" t="n">
        <v>102</v>
      </c>
      <c r="G134" s="17" t="n">
        <v>31</v>
      </c>
      <c r="H134" s="134" t="n">
        <v>160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4</v>
      </c>
      <c r="R134" s="119" t="n">
        <v>2</v>
      </c>
      <c r="S134" s="119" t="inlineStr">
        <is>
          <t>계</t>
        </is>
      </c>
      <c r="T134" s="5" t="n">
        <v>121</v>
      </c>
      <c r="U134" s="9" t="n"/>
    </row>
    <row r="135" ht="12" customFormat="1" customHeight="1" s="38">
      <c r="A135" s="122" t="inlineStr">
        <is>
          <t>용암동 임광</t>
        </is>
      </c>
      <c r="B135" s="123" t="inlineStr">
        <is>
          <t>96.05.</t>
        </is>
      </c>
      <c r="C135" s="131" t="n">
        <v>280</v>
      </c>
      <c r="D135" s="132" t="n">
        <v>159.8</v>
      </c>
      <c r="E135" s="133" t="n">
        <v>48</v>
      </c>
      <c r="F135" s="132" t="n">
        <v>134.3</v>
      </c>
      <c r="G135" s="17" t="n">
        <v>41</v>
      </c>
      <c r="H135" s="134" t="n">
        <v>120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4</v>
      </c>
      <c r="R135" s="119" t="n">
        <v>2</v>
      </c>
      <c r="S135" s="119" t="inlineStr">
        <is>
          <t>계</t>
        </is>
      </c>
      <c r="T135" s="5" t="n">
        <v>159</v>
      </c>
      <c r="U135" s="9" t="n"/>
    </row>
    <row r="136" ht="12" customFormat="1" customHeight="1" s="38">
      <c r="A136" s="122" t="inlineStr">
        <is>
          <t>용암동 진흥한우리</t>
        </is>
      </c>
      <c r="B136" s="123" t="inlineStr">
        <is>
          <t>95.06.</t>
        </is>
      </c>
      <c r="C136" s="131" t="n">
        <v>330</v>
      </c>
      <c r="D136" s="132" t="n">
        <v>107.3</v>
      </c>
      <c r="E136" s="133" t="n">
        <v>32</v>
      </c>
      <c r="F136" s="132" t="n">
        <v>84.40000000000001</v>
      </c>
      <c r="G136" s="17" t="n">
        <v>26</v>
      </c>
      <c r="H136" s="134" t="n">
        <v>210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n">
        <v>107</v>
      </c>
      <c r="U136" s="9" t="n"/>
    </row>
    <row r="137" ht="12" customFormat="1" customHeight="1" s="38">
      <c r="A137" s="122" t="inlineStr">
        <is>
          <t>용암동 청주신영강변뜨란채</t>
        </is>
      </c>
      <c r="B137" s="123" t="inlineStr">
        <is>
          <t>05.08.</t>
        </is>
      </c>
      <c r="C137" s="131" t="n">
        <v>517</v>
      </c>
      <c r="D137" s="132" t="n">
        <v>68.40000000000001</v>
      </c>
      <c r="E137" s="133" t="n">
        <v>21</v>
      </c>
      <c r="F137" s="132" t="n">
        <v>52</v>
      </c>
      <c r="G137" s="17" t="n">
        <v>16</v>
      </c>
      <c r="H137" s="134" t="n">
        <v>60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2</v>
      </c>
      <c r="R137" s="119" t="n">
        <v>1</v>
      </c>
      <c r="S137" s="119" t="inlineStr">
        <is>
          <t>계</t>
        </is>
      </c>
      <c r="T137" s="5" t="n">
        <v>68</v>
      </c>
      <c r="U137" s="9" t="n"/>
    </row>
    <row r="138" ht="12" customFormat="1" customHeight="1" s="38">
      <c r="A138" s="122" t="inlineStr">
        <is>
          <t>용암동 청주신영강변뜨란채</t>
        </is>
      </c>
      <c r="B138" s="123" t="inlineStr">
        <is>
          <t>05.08.</t>
        </is>
      </c>
      <c r="C138" s="131" t="n">
        <v>517</v>
      </c>
      <c r="D138" s="132" t="n">
        <v>132.7</v>
      </c>
      <c r="E138" s="133" t="n">
        <v>40</v>
      </c>
      <c r="F138" s="132" t="n">
        <v>108.8</v>
      </c>
      <c r="G138" s="17" t="n">
        <v>33</v>
      </c>
      <c r="H138" s="134" t="n">
        <v>51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132</v>
      </c>
      <c r="U138" s="9" t="n"/>
    </row>
    <row r="139" ht="12" customFormat="1" customHeight="1" s="38">
      <c r="A139" s="122" t="inlineStr">
        <is>
          <t>용암동 대원칸타빌더테라스2단지</t>
        </is>
      </c>
      <c r="B139" s="123" t="inlineStr">
        <is>
          <t>19.12.</t>
        </is>
      </c>
      <c r="C139" s="131" t="n">
        <v>706</v>
      </c>
      <c r="D139" s="132" t="n">
        <v>100.4</v>
      </c>
      <c r="E139" s="133" t="n">
        <v>30</v>
      </c>
      <c r="F139" s="132" t="n">
        <v>78.90000000000001</v>
      </c>
      <c r="G139" s="17" t="n">
        <v>24</v>
      </c>
      <c r="H139" s="134" t="n">
        <v>233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3</v>
      </c>
      <c r="R139" s="119" t="n">
        <v>2</v>
      </c>
      <c r="S139" s="119" t="inlineStr">
        <is>
          <t>계</t>
        </is>
      </c>
      <c r="T139" s="5" t="n">
        <v>100</v>
      </c>
      <c r="U139" s="9" t="n"/>
    </row>
    <row r="140" ht="12" customFormat="1" customHeight="1" s="38">
      <c r="A140" s="122" t="inlineStr">
        <is>
          <t>용암동 대원칸타빌더테라스2단지</t>
        </is>
      </c>
      <c r="B140" s="123" t="inlineStr">
        <is>
          <t>19.12.</t>
        </is>
      </c>
      <c r="C140" s="131" t="n">
        <v>706</v>
      </c>
      <c r="D140" s="132" t="n">
        <v>108</v>
      </c>
      <c r="E140" s="133" t="n">
        <v>33</v>
      </c>
      <c r="F140" s="132" t="n">
        <v>84.59999999999999</v>
      </c>
      <c r="G140" s="17" t="n">
        <v>26</v>
      </c>
      <c r="H140" s="134" t="n">
        <v>299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inlineStr">
        <is>
          <t>108A</t>
        </is>
      </c>
      <c r="U140" s="9" t="n"/>
    </row>
    <row r="141" ht="12" customFormat="1" customHeight="1" s="38">
      <c r="A141" s="122" t="inlineStr">
        <is>
          <t>용암동 용암대원칸타빌</t>
        </is>
      </c>
      <c r="B141" s="123" t="inlineStr">
        <is>
          <t>02.10.</t>
        </is>
      </c>
      <c r="C141" s="131" t="n">
        <v>233</v>
      </c>
      <c r="D141" s="132" t="n">
        <v>110.2</v>
      </c>
      <c r="E141" s="133" t="n">
        <v>33</v>
      </c>
      <c r="F141" s="132" t="n">
        <v>85</v>
      </c>
      <c r="G141" s="17" t="n">
        <v>26</v>
      </c>
      <c r="H141" s="134" t="n">
        <v>233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3</v>
      </c>
      <c r="R141" s="119" t="n">
        <v>2</v>
      </c>
      <c r="S141" s="119" t="inlineStr">
        <is>
          <t>계</t>
        </is>
      </c>
      <c r="T141" s="5" t="n">
        <v>110</v>
      </c>
      <c r="U141" s="9" t="n"/>
    </row>
    <row r="142" ht="12" customFormat="1" customHeight="1" s="38">
      <c r="A142" s="122" t="inlineStr">
        <is>
          <t>용암동 용암현대3차</t>
        </is>
      </c>
      <c r="B142" s="123" t="inlineStr">
        <is>
          <t>95.12.</t>
        </is>
      </c>
      <c r="C142" s="131" t="n">
        <v>520</v>
      </c>
      <c r="D142" s="132" t="n">
        <v>156.9</v>
      </c>
      <c r="E142" s="133" t="n">
        <v>47</v>
      </c>
      <c r="F142" s="132" t="n">
        <v>133.9</v>
      </c>
      <c r="G142" s="17" t="n">
        <v>41</v>
      </c>
      <c r="H142" s="134" t="n">
        <v>60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4</v>
      </c>
      <c r="R142" s="119" t="n">
        <v>2</v>
      </c>
      <c r="S142" s="119" t="inlineStr">
        <is>
          <t>계</t>
        </is>
      </c>
      <c r="T142" s="5" t="n">
        <v>156</v>
      </c>
      <c r="U142" s="9" t="n"/>
    </row>
    <row r="143" ht="12" customFormat="1" customHeight="1" s="38">
      <c r="A143" s="122" t="inlineStr">
        <is>
          <t>운동동 청주동남파라곤</t>
        </is>
      </c>
      <c r="B143" s="123" t="inlineStr">
        <is>
          <t>22.08.</t>
        </is>
      </c>
      <c r="C143" s="131" t="n">
        <v>562</v>
      </c>
      <c r="D143" s="132" t="n">
        <v>101.6</v>
      </c>
      <c r="E143" s="133" t="n">
        <v>31</v>
      </c>
      <c r="F143" s="132" t="n">
        <v>77.8</v>
      </c>
      <c r="G143" s="17" t="n">
        <v>24</v>
      </c>
      <c r="H143" s="134" t="n">
        <v>119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101A</t>
        </is>
      </c>
      <c r="U143" s="9" t="n"/>
    </row>
    <row r="144" ht="12" customFormat="1" customHeight="1" s="38">
      <c r="A144" s="122" t="inlineStr">
        <is>
          <t>운동동 청주동남파라곤</t>
        </is>
      </c>
      <c r="B144" s="123" t="inlineStr">
        <is>
          <t>22.08.</t>
        </is>
      </c>
      <c r="C144" s="131" t="n">
        <v>562</v>
      </c>
      <c r="D144" s="132" t="n">
        <v>110.1</v>
      </c>
      <c r="E144" s="133" t="n">
        <v>33</v>
      </c>
      <c r="F144" s="132" t="n">
        <v>84.90000000000001</v>
      </c>
      <c r="G144" s="17" t="n">
        <v>26</v>
      </c>
      <c r="H144" s="134" t="n">
        <v>375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n">
        <v>110</v>
      </c>
      <c r="U144" s="9" t="n"/>
    </row>
    <row r="145" ht="12" customFormat="1" customHeight="1" s="38">
      <c r="A145" s="122" t="inlineStr">
        <is>
          <t>탑동 탑동힐데스하임</t>
        </is>
      </c>
      <c r="B145" s="123" t="inlineStr">
        <is>
          <t>22.11.</t>
        </is>
      </c>
      <c r="C145" s="131" t="n">
        <v>1298</v>
      </c>
      <c r="D145" s="132" t="n">
        <v>90.7</v>
      </c>
      <c r="E145" s="133" t="n">
        <v>27</v>
      </c>
      <c r="F145" s="132" t="n">
        <v>66</v>
      </c>
      <c r="G145" s="17" t="n">
        <v>20</v>
      </c>
      <c r="H145" s="134" t="n">
        <v>348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n">
        <v>90</v>
      </c>
      <c r="U145" s="9" t="n"/>
    </row>
    <row r="146" ht="12" customFormat="1" customHeight="1" s="38">
      <c r="A146" s="122" t="inlineStr">
        <is>
          <t>탑동 탑동힐데스하임</t>
        </is>
      </c>
      <c r="B146" s="123" t="inlineStr">
        <is>
          <t>22.11.</t>
        </is>
      </c>
      <c r="C146" s="131" t="n">
        <v>1298</v>
      </c>
      <c r="D146" s="132" t="n">
        <v>110.6</v>
      </c>
      <c r="E146" s="133" t="n">
        <v>33</v>
      </c>
      <c r="F146" s="132" t="n">
        <v>84.8</v>
      </c>
      <c r="G146" s="17" t="n">
        <v>26</v>
      </c>
      <c r="H146" s="134" t="n">
        <v>530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n">
        <v>110</v>
      </c>
      <c r="U146" s="9" t="n"/>
    </row>
    <row r="147" ht="12" customFormat="1" customHeight="1" s="38">
      <c r="A147" s="122" t="inlineStr">
        <is>
          <t>탑동 탑동힐데스하임</t>
        </is>
      </c>
      <c r="B147" s="123" t="inlineStr">
        <is>
          <t>22.11.</t>
        </is>
      </c>
      <c r="C147" s="131" t="n">
        <v>1298</v>
      </c>
      <c r="D147" s="132" t="n">
        <v>146.2</v>
      </c>
      <c r="E147" s="133" t="n">
        <v>44</v>
      </c>
      <c r="F147" s="132" t="n">
        <v>112</v>
      </c>
      <c r="G147" s="17" t="n">
        <v>34</v>
      </c>
      <c r="H147" s="134" t="n">
        <v>102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3</v>
      </c>
      <c r="R147" s="119" t="n">
        <v>2</v>
      </c>
      <c r="S147" s="119" t="inlineStr">
        <is>
          <t>계</t>
        </is>
      </c>
      <c r="T147" s="5" t="n">
        <v>146</v>
      </c>
      <c r="U147" s="9" t="n"/>
    </row>
    <row r="148" ht="12" customFormat="1" customHeight="1" s="38">
      <c r="A148" s="122" t="inlineStr">
        <is>
          <t>탑동 탑동힐데스하임</t>
        </is>
      </c>
      <c r="B148" s="123" t="inlineStr">
        <is>
          <t>22.11.</t>
        </is>
      </c>
      <c r="C148" s="131" t="n">
        <v>1298</v>
      </c>
      <c r="D148" s="132" t="n">
        <v>169.3</v>
      </c>
      <c r="E148" s="133" t="n">
        <v>51</v>
      </c>
      <c r="F148" s="132" t="n">
        <v>129.8</v>
      </c>
      <c r="G148" s="17" t="n">
        <v>39</v>
      </c>
      <c r="H148" s="134" t="n">
        <v>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3</v>
      </c>
      <c r="R148" s="119" t="n">
        <v>2</v>
      </c>
      <c r="S148" s="119" t="inlineStr">
        <is>
          <t>계</t>
        </is>
      </c>
      <c r="T148" s="5" t="n">
        <v>169</v>
      </c>
      <c r="U148" s="9" t="n"/>
    </row>
    <row r="149" ht="12" customFormat="1" customHeight="1" s="38">
      <c r="A149" s="122" t="inlineStr">
        <is>
          <t>탑동 현대</t>
        </is>
      </c>
      <c r="B149" s="123" t="inlineStr">
        <is>
          <t>91.04.</t>
        </is>
      </c>
      <c r="C149" s="131" t="n">
        <v>485</v>
      </c>
      <c r="D149" s="132" t="n">
        <v>84</v>
      </c>
      <c r="E149" s="133" t="n">
        <v>25</v>
      </c>
      <c r="F149" s="132" t="n">
        <v>71.2</v>
      </c>
      <c r="G149" s="17" t="n">
        <v>22</v>
      </c>
      <c r="H149" s="134" t="n">
        <v>78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1</v>
      </c>
      <c r="S149" s="119" t="inlineStr">
        <is>
          <t>계</t>
        </is>
      </c>
      <c r="T149" s="5" t="n">
        <v>83</v>
      </c>
      <c r="U149" s="9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49">
    <sortState ref="A4:U14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7106" operator="greaterThan" dxfId="17">
      <formula>0.9</formula>
    </cfRule>
    <cfRule type="cellIs" priority="37107" operator="greaterThan" dxfId="16">
      <formula>0.85</formula>
    </cfRule>
  </conditionalFormatting>
  <conditionalFormatting sqref="N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5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5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6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7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8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9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4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49">
    <cfRule type="expression" priority="73762" dxfId="3">
      <formula>AND(IF(OR($Q4=1,$Q4=2),1,0),IF(#REF!&lt;=20,1,0))</formula>
    </cfRule>
    <cfRule type="expression" priority="73763" dxfId="2">
      <formula>AND(IF($Q4=2,1,0),IF(#REF!&lt;30,1,0))</formula>
    </cfRule>
    <cfRule type="expression" priority="73764" dxfId="1">
      <formula>AND(IF($Q4=3,1,0),IF(#REF!&lt;30,1,0))</formula>
    </cfRule>
    <cfRule type="expression" priority="737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3" sqref="E13"/>
    </sheetView>
  </sheetViews>
  <sheetFormatPr baseColWidth="8" defaultColWidth="17.5" defaultRowHeight="13.5"/>
  <cols>
    <col width="4.625" bestFit="1" customWidth="1" style="118" min="1" max="1"/>
    <col width="3.375" customWidth="1" style="118" min="2" max="2"/>
    <col width="4.625" bestFit="1" customWidth="1" style="118" min="3" max="3"/>
    <col width="29.125" customWidth="1" style="52" min="4" max="9"/>
    <col width="25" customWidth="1" style="52" min="10" max="23"/>
    <col width="17.5" customWidth="1" style="52" min="24" max="48"/>
    <col width="17.5" customWidth="1" style="118" min="49" max="49"/>
    <col width="17.5" customWidth="1" style="118" min="50" max="16384"/>
  </cols>
  <sheetData>
    <row r="1">
      <c r="D1" s="118" t="n"/>
      <c r="E1" s="118" t="n"/>
      <c r="F1" s="118" t="n"/>
      <c r="G1" s="118" t="n"/>
      <c r="H1" s="118" t="n"/>
      <c r="I1" s="118" t="n"/>
      <c r="J1" s="118" t="n"/>
      <c r="K1" s="118" t="n"/>
      <c r="L1" s="118" t="n"/>
      <c r="M1" s="118" t="n"/>
      <c r="N1" s="118" t="n"/>
      <c r="O1" s="118" t="n"/>
      <c r="P1" s="118" t="n"/>
      <c r="Q1" s="118" t="n"/>
      <c r="R1" s="118" t="n"/>
      <c r="S1" s="118" t="n"/>
      <c r="T1" s="118" t="n"/>
      <c r="U1" s="118" t="n"/>
      <c r="V1" s="118" t="n"/>
      <c r="W1" s="118" t="n"/>
      <c r="X1" s="118" t="n"/>
      <c r="Y1" s="118" t="n"/>
      <c r="Z1" s="118" t="n"/>
      <c r="AA1" s="118" t="n"/>
      <c r="AB1" s="118" t="n"/>
      <c r="AC1" s="118" t="n"/>
      <c r="AD1" s="118" t="n"/>
      <c r="AE1" s="118" t="n"/>
      <c r="AF1" s="118" t="n"/>
      <c r="AG1" s="118" t="n"/>
      <c r="AH1" s="118" t="n"/>
      <c r="AI1" s="118" t="n"/>
      <c r="AJ1" s="118" t="n"/>
      <c r="AK1" s="118" t="n"/>
      <c r="AL1" s="118" t="n"/>
      <c r="AM1" s="118" t="n"/>
      <c r="AN1" s="118" t="n"/>
      <c r="AO1" s="118" t="n"/>
      <c r="AP1" s="118" t="n"/>
      <c r="AQ1" s="118" t="n"/>
      <c r="AR1" s="118" t="n"/>
      <c r="AS1" s="118" t="n"/>
      <c r="AT1" s="118" t="n"/>
      <c r="AU1" s="118" t="n"/>
      <c r="AV1" s="118" t="n"/>
    </row>
    <row r="2">
      <c r="D2" s="118" t="n"/>
      <c r="E2" s="118" t="n"/>
      <c r="F2" s="118" t="n"/>
      <c r="G2" s="118" t="n"/>
      <c r="H2" s="118" t="n"/>
      <c r="I2" s="118" t="n"/>
      <c r="J2" s="118" t="n"/>
      <c r="K2" s="118" t="n"/>
      <c r="L2" s="118" t="n"/>
      <c r="M2" s="118" t="n"/>
      <c r="N2" s="118" t="n"/>
      <c r="O2" s="118" t="n"/>
      <c r="P2" s="118" t="n"/>
      <c r="Q2" s="118" t="n"/>
      <c r="R2" s="118" t="n"/>
      <c r="S2" s="118" t="n"/>
      <c r="T2" s="118" t="n"/>
      <c r="U2" s="118" t="n"/>
      <c r="V2" s="118" t="n"/>
      <c r="W2" s="118" t="n"/>
      <c r="X2" s="118" t="n"/>
      <c r="Y2" s="118" t="n"/>
      <c r="Z2" s="118" t="n"/>
      <c r="AA2" s="118" t="n"/>
      <c r="AB2" s="118" t="n"/>
      <c r="AC2" s="118" t="n"/>
      <c r="AD2" s="118" t="n"/>
      <c r="AE2" s="118" t="n"/>
      <c r="AF2" s="118" t="n"/>
      <c r="AG2" s="118" t="n"/>
      <c r="AH2" s="118" t="n"/>
      <c r="AI2" s="118" t="n"/>
      <c r="AJ2" s="118" t="n"/>
      <c r="AK2" s="118" t="n"/>
      <c r="AL2" s="118" t="n"/>
      <c r="AM2" s="118" t="n"/>
      <c r="AN2" s="118" t="n"/>
      <c r="AO2" s="118" t="n"/>
      <c r="AP2" s="118" t="n"/>
      <c r="AQ2" s="118" t="n"/>
      <c r="AR2" s="118" t="n"/>
      <c r="AS2" s="118" t="n"/>
      <c r="AT2" s="118" t="n"/>
      <c r="AU2" s="118" t="n"/>
      <c r="AV2" s="118" t="n"/>
    </row>
    <row r="3">
      <c r="D3" s="118" t="n"/>
      <c r="E3" s="118" t="n"/>
      <c r="F3" s="118" t="n"/>
      <c r="G3" s="118" t="n"/>
      <c r="H3" s="118" t="n"/>
      <c r="I3" s="118" t="n"/>
      <c r="J3" s="118" t="n"/>
      <c r="K3" s="118" t="n"/>
      <c r="L3" s="118" t="n"/>
      <c r="M3" s="118" t="n"/>
      <c r="N3" s="118" t="n"/>
      <c r="O3" s="118" t="n"/>
      <c r="P3" s="118" t="n"/>
      <c r="Q3" s="118" t="n"/>
      <c r="R3" s="118" t="n"/>
      <c r="S3" s="118" t="n"/>
      <c r="T3" s="118" t="n"/>
      <c r="U3" s="118" t="n"/>
      <c r="V3" s="118" t="n"/>
      <c r="W3" s="118" t="n"/>
      <c r="X3" s="118" t="n"/>
      <c r="Y3" s="118" t="n"/>
      <c r="Z3" s="118" t="n"/>
      <c r="AA3" s="118" t="n"/>
      <c r="AB3" s="118" t="n"/>
      <c r="AC3" s="118" t="n"/>
      <c r="AD3" s="118" t="n"/>
      <c r="AE3" s="118" t="n"/>
      <c r="AF3" s="118" t="n"/>
      <c r="AG3" s="118" t="n"/>
      <c r="AH3" s="118" t="n"/>
      <c r="AI3" s="118" t="n"/>
      <c r="AJ3" s="118" t="n"/>
      <c r="AK3" s="118" t="n"/>
      <c r="AL3" s="118" t="n"/>
      <c r="AM3" s="118" t="n"/>
      <c r="AN3" s="118" t="n"/>
      <c r="AO3" s="118" t="n"/>
      <c r="AP3" s="118" t="n"/>
      <c r="AQ3" s="118" t="n"/>
      <c r="AR3" s="118" t="n"/>
      <c r="AS3" s="118" t="n"/>
      <c r="AT3" s="118" t="n"/>
      <c r="AU3" s="118" t="n"/>
      <c r="AV3" s="118" t="n"/>
    </row>
    <row r="4">
      <c r="A4" s="117" t="inlineStr">
        <is>
          <t>동1</t>
        </is>
      </c>
      <c r="D4" s="118" t="inlineStr">
        <is>
          <t>용암동</t>
        </is>
      </c>
      <c r="E4" s="118" t="inlineStr">
        <is>
          <t>방서동</t>
        </is>
      </c>
      <c r="F4" s="118" t="inlineStr">
        <is>
          <t>금천동</t>
        </is>
      </c>
      <c r="G4" s="118" t="inlineStr">
        <is>
          <t>용정동</t>
        </is>
      </c>
      <c r="H4" s="118" t="inlineStr">
        <is>
          <t>용담동</t>
        </is>
      </c>
      <c r="I4" s="118" t="inlineStr">
        <is>
          <t>탑동</t>
        </is>
      </c>
      <c r="J4" s="118" t="n"/>
      <c r="K4" s="118" t="n"/>
      <c r="L4" s="118" t="n"/>
      <c r="M4" s="118" t="n"/>
      <c r="N4" s="118" t="n"/>
      <c r="O4" s="118" t="n"/>
      <c r="P4" s="118" t="n"/>
      <c r="Q4" s="118" t="n"/>
      <c r="R4" s="118" t="n"/>
      <c r="S4" s="118" t="n"/>
      <c r="T4" s="118" t="n"/>
      <c r="U4" s="118" t="n"/>
      <c r="V4" s="118" t="n"/>
      <c r="W4" s="118" t="n"/>
      <c r="X4" s="118" t="n"/>
      <c r="Y4" s="118" t="n"/>
      <c r="Z4" s="118" t="n"/>
      <c r="AA4" s="118" t="n"/>
      <c r="AB4" s="118" t="n"/>
      <c r="AC4" s="118" t="n"/>
      <c r="AD4" s="118" t="n"/>
      <c r="AE4" s="118" t="n"/>
      <c r="AF4" s="118" t="n"/>
      <c r="AG4" s="118" t="n"/>
      <c r="AH4" s="118" t="n"/>
      <c r="AI4" s="118" t="n"/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117" t="inlineStr">
        <is>
          <t>동2</t>
        </is>
      </c>
    </row>
    <row r="6">
      <c r="A6" s="117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4" t="n">
        <v>8</v>
      </c>
      <c r="B8" s="59" t="inlineStr">
        <is>
          <t>~</t>
        </is>
      </c>
      <c r="C8" s="145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6" t="n">
        <v>7</v>
      </c>
      <c r="B9" s="61" t="inlineStr">
        <is>
          <t>~</t>
        </is>
      </c>
      <c r="C9" s="147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8" t="n">
        <v>6</v>
      </c>
      <c r="B10" s="57" t="inlineStr">
        <is>
          <t>~</t>
        </is>
      </c>
      <c r="C10" s="149" t="n">
        <v>7</v>
      </c>
      <c r="D10" s="58" t="inlineStr">
        <is>
          <t>대원칸타빌더테라스1단지(33평/6.0)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25">
      <c r="A11" s="148" t="n">
        <v>5</v>
      </c>
      <c r="B11" s="57" t="inlineStr">
        <is>
          <t>~</t>
        </is>
      </c>
      <c r="C11" s="149" t="n">
        <v>6</v>
      </c>
      <c r="D11" s="58" t="inlineStr">
        <is>
          <t>청주동남시티프라디움B1블록(32평/5.1)_x000D_
청주동남시티프라디움B2블록(32평/5.0)</t>
        </is>
      </c>
      <c r="E11" s="58" t="inlineStr">
        <is>
          <t>청주센트럴자이(34평/5.0)</t>
        </is>
      </c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48" customHeight="1" s="125">
      <c r="A12" s="148" t="n">
        <v>4</v>
      </c>
      <c r="B12" s="57" t="inlineStr">
        <is>
          <t>~</t>
        </is>
      </c>
      <c r="C12" s="149" t="n">
        <v>5</v>
      </c>
      <c r="D12" s="58" t="inlineStr">
        <is>
          <t>대원칸타빌더테라스1단지(30평/4.8)</t>
        </is>
      </c>
      <c r="E12" s="58" t="inlineStr">
        <is>
          <t>청주센트럴자이(30평/4.6)_x000D_
중흥S-클래스더퍼스트(34평/4.5)_x000D_
청주하트리움리버파크(34평/4.4)_x000D_
청주센트럴자이(24평/4.2)</t>
        </is>
      </c>
      <c r="F12" s="58" t="inlineStr">
        <is>
          <t>청주금천센트럴파크스타힐스(32평/4.6)</t>
        </is>
      </c>
      <c r="G12" s="58" t="inlineStr">
        <is>
          <t>우미린에듀파크1단지(33평/4.6)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36" customHeight="1" s="125">
      <c r="A13" s="150" t="n">
        <v>3</v>
      </c>
      <c r="B13" s="62" t="inlineStr">
        <is>
          <t>~</t>
        </is>
      </c>
      <c r="C13" s="151" t="n">
        <v>4</v>
      </c>
      <c r="D13" s="63" t="n"/>
      <c r="E13" s="63" t="n"/>
      <c r="F13" s="63" t="inlineStr">
        <is>
          <t>청주금천센트럴파크스타힐스(35평/3.9)_x000D_
청주금천센트럴파크스타힐스(28평/3.4)_x000D_
금천우미린(33평/3.4)</t>
        </is>
      </c>
      <c r="G13" s="63" t="inlineStr">
        <is>
          <t>청주용정한라비발디1단지(34평/3.8)_x000D_
청주용정한라비발디2단지(34평/3.8)</t>
        </is>
      </c>
      <c r="H13" s="63" t="n"/>
      <c r="I13" s="63" t="inlineStr">
        <is>
          <t>LH청주탑동(34평/3.2)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36" customHeight="1" s="125">
      <c r="A14" s="150" t="n">
        <v>2.5</v>
      </c>
      <c r="B14" s="62" t="inlineStr">
        <is>
          <t>~</t>
        </is>
      </c>
      <c r="C14" s="151" t="n">
        <v>3</v>
      </c>
      <c r="D14" s="63" t="inlineStr">
        <is>
          <t>중흥마을3단지부영그린타운(35평/3.0)_x000D_
용암서희스타힐스(25평/2.8)_x000D_
청주신영강변뜨란채(32평/2.7)</t>
        </is>
      </c>
      <c r="E14" s="63" t="n"/>
      <c r="F14" s="63" t="inlineStr">
        <is>
          <t>장자마을6단지부영그린타운2차(35평/2.9)_x000D_
장자마을2단지현대(33평/2.6)</t>
        </is>
      </c>
      <c r="G14" s="63" t="n"/>
      <c r="H14" s="63" t="n"/>
      <c r="I14" s="63" t="inlineStr">
        <is>
          <t>LH청주탑동(24평/2.6)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72" customHeight="1" s="125">
      <c r="A15" s="150" t="n">
        <v>2</v>
      </c>
      <c r="B15" s="62" t="inlineStr">
        <is>
          <t>~</t>
        </is>
      </c>
      <c r="C15" s="151" t="n">
        <v>2.5</v>
      </c>
      <c r="D15" s="63" t="inlineStr">
        <is>
          <t>건영(32평/2.3)_x000D_
중흥마을2단지부영(34평/2.2)_x000D_
중흥마을6단지부영(34평/2.2)_x000D_
용암현대3차(31평/2.2)_x000D_
청주신영강변뜨란채(24평/2.0)_x000D_
용암현대(31평/2.0)</t>
        </is>
      </c>
      <c r="E15" s="63" t="n"/>
      <c r="F15" s="63" t="inlineStr">
        <is>
          <t>장자마을5단지부영(35평/2.5)_x000D_
장자마을8단지부영(34평/2.3)_x000D_
장자마을3단지부영(32평/2.3)_x000D_
장자마을2단지현대(29평/2.1)</t>
        </is>
      </c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84" customHeight="1" s="125">
      <c r="A16" s="152" t="n">
        <v>1.5</v>
      </c>
      <c r="B16" s="64" t="inlineStr">
        <is>
          <t>~</t>
        </is>
      </c>
      <c r="C16" s="153" t="n">
        <v>2</v>
      </c>
      <c r="D16" s="65" t="inlineStr">
        <is>
          <t>용암형석(32평/2.0)_x000D_
용암현대2차(31평/1.8)_x000D_
중흥마을1단지부영(23평/1.8)_x000D_
중흥마을마이빌(23평/1.8)_x000D_
진흥한우리(26평/1.7)_x000D_
용암세원한아름(23평/1.5)_x000D_
덕성그린타운(23평/1.5)</t>
        </is>
      </c>
      <c r="E16" s="65" t="n"/>
      <c r="F16" s="65" t="inlineStr">
        <is>
          <t>장자마을7단지부영(25평/1.9)_x000D_
장자마을9단지부영(25평/1.8)_x000D_
금천뉴타운(31평/1.7)_x000D_
금천현대(26평/1.6)_x000D_
풍림(32평/1.6)_x000D_
금천현대(31평/1.5)_x000D_
장자마을9단지부영(23평/1.5)</t>
        </is>
      </c>
      <c r="G16" s="65" t="n"/>
      <c r="H16" s="65" t="n"/>
      <c r="I16" s="65" t="inlineStr">
        <is>
          <t>현대(30평/1.7)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96" customHeight="1" s="125">
      <c r="A17" s="152" t="n">
        <v>1</v>
      </c>
      <c r="B17" s="64" t="inlineStr">
        <is>
          <t>~</t>
        </is>
      </c>
      <c r="C17" s="153" t="n">
        <v>1.5</v>
      </c>
      <c r="D17" s="65" t="inlineStr">
        <is>
          <t>소라(23평/1.5)_x000D_
용암삼일무지개(23평/1.4)_x000D_
효성(22평/1.4)_x000D_
태산그린(23평/1.3)_x000D_
부영(24평/1.2)_x000D_
덕성그린타운(19평/1.2)_x000D_
청주용암주공1단지(21평/1.0)_x000D_
부영(21평/1.0)</t>
        </is>
      </c>
      <c r="E17" s="65" t="n"/>
      <c r="F17" s="65" t="inlineStr">
        <is>
          <t>금천경희(23평/1.2)_x000D_
금천현대(25평/1.2)</t>
        </is>
      </c>
      <c r="G17" s="65" t="n"/>
      <c r="H17" s="65" t="n"/>
      <c r="I17" s="65" t="inlineStr">
        <is>
          <t>LH청주탑동(16평/1.4)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4">
        <f>IF(A8="","",A8)</f>
        <v/>
      </c>
      <c r="B21" s="59">
        <f>IF(B8="","",B8)</f>
        <v/>
      </c>
      <c r="C21" s="145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6">
        <f>IF(A9="","",A9)</f>
        <v/>
      </c>
      <c r="B22" s="61">
        <f>IF(B9="","",B9)</f>
        <v/>
      </c>
      <c r="C22" s="147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8">
        <f>IF(A10="","",A10)</f>
        <v/>
      </c>
      <c r="B23" s="57">
        <f>IF(B10="","",B10)</f>
        <v/>
      </c>
      <c r="C23" s="149">
        <f>IF(C10="","",C10)</f>
        <v/>
      </c>
      <c r="D23" s="58" t="inlineStr">
        <is>
          <t>대원칸타빌더테라스1단지('19/6.0)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25">
      <c r="A24" s="148">
        <f>IF(A11="","",A11)</f>
        <v/>
      </c>
      <c r="B24" s="57">
        <f>IF(B11="","",B11)</f>
        <v/>
      </c>
      <c r="C24" s="149">
        <f>IF(C11="","",C11)</f>
        <v/>
      </c>
      <c r="D24" s="58" t="inlineStr">
        <is>
          <t>청주동남시티프라디움B1블록('20/5.1)_x000D_
청주동남시티프라디움B2블록('20/5.0)</t>
        </is>
      </c>
      <c r="E24" s="58" t="inlineStr">
        <is>
          <t>청주센트럴자이('18/5.0)</t>
        </is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25">
      <c r="A25" s="148">
        <f>IF(A12="","",A12)</f>
        <v/>
      </c>
      <c r="B25" s="57">
        <f>IF(B12="","",B12)</f>
        <v/>
      </c>
      <c r="C25" s="149">
        <f>IF(C12="","",C12)</f>
        <v/>
      </c>
      <c r="D25" s="58" t="inlineStr">
        <is>
          <t>대원칸타빌더테라스1단지('19/4.8)</t>
        </is>
      </c>
      <c r="E25" s="58" t="inlineStr">
        <is>
          <t>청주센트럴자이('18/4.6)_x000D_
중흥S-클래스더퍼스트('18/4.5)_x000D_
청주하트리움리버파크('19/4.4)</t>
        </is>
      </c>
      <c r="F25" s="58" t="inlineStr">
        <is>
          <t>청주금천센트럴파크스타힐스('20/4.6)</t>
        </is>
      </c>
      <c r="G25" s="58" t="inlineStr">
        <is>
          <t>우미린에듀파크1단지('17/4.6)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24" customHeight="1" s="125">
      <c r="A26" s="150">
        <f>IF(A13="","",A13)</f>
        <v/>
      </c>
      <c r="B26" s="62">
        <f>IF(B13="","",B13)</f>
        <v/>
      </c>
      <c r="C26" s="151">
        <f>IF(C13="","",C13)</f>
        <v/>
      </c>
      <c r="D26" s="63" t="n"/>
      <c r="E26" s="63" t="n"/>
      <c r="F26" s="63" t="inlineStr">
        <is>
          <t>청주금천센트럴파크스타힐스('20/3.9)_x000D_
금천우미린('14/3.4)</t>
        </is>
      </c>
      <c r="G26" s="63" t="inlineStr">
        <is>
          <t>청주용정한라비발디1단지('13/3.8)_x000D_
청주용정한라비발디2단지('13/3.8)</t>
        </is>
      </c>
      <c r="H26" s="63" t="n"/>
      <c r="I26" s="63" t="inlineStr">
        <is>
          <t>LH청주탑동('14/3.2)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24" customHeight="1" s="125">
      <c r="A27" s="150">
        <f>IF(A14="","",A14)</f>
        <v/>
      </c>
      <c r="B27" s="62">
        <f>IF(B14="","",B14)</f>
        <v/>
      </c>
      <c r="C27" s="151">
        <f>IF(C14="","",C14)</f>
        <v/>
      </c>
      <c r="D27" s="63" t="inlineStr">
        <is>
          <t>중흥마을3단지부영그린타운('05/3.0)_x000D_
청주신영강변뜨란채('05/2.7)</t>
        </is>
      </c>
      <c r="E27" s="63" t="n"/>
      <c r="F27" s="63" t="inlineStr">
        <is>
          <t>장자마을6단지부영그린타운2차('05/2.9)_x000D_
장자마을2단지현대('02/2.6)</t>
        </is>
      </c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60" customHeight="1" s="125">
      <c r="A28" s="150">
        <f>IF(A15="","",A15)</f>
        <v/>
      </c>
      <c r="B28" s="62">
        <f>IF(B15="","",B15)</f>
        <v/>
      </c>
      <c r="C28" s="151">
        <f>IF(C15="","",C15)</f>
        <v/>
      </c>
      <c r="D28" s="63" t="inlineStr">
        <is>
          <t>건영('99/2.3)_x000D_
중흥마을2단지부영('01/2.2)_x000D_
중흥마을6단지부영('01/2.2)_x000D_
용암현대3차('95/2.2)_x000D_
용암현대('95/2.0)</t>
        </is>
      </c>
      <c r="E28" s="63" t="n"/>
      <c r="F28" s="63" t="inlineStr">
        <is>
          <t>장자마을5단지부영('03/2.5)_x000D_
장자마을8단지부영('02/2.3)_x000D_
장자마을3단지부영('03/2.3)</t>
        </is>
      </c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 ht="36" customHeight="1" s="125">
      <c r="A29" s="152">
        <f>IF(A16="","",A16)</f>
        <v/>
      </c>
      <c r="B29" s="64">
        <f>IF(B16="","",B16)</f>
        <v/>
      </c>
      <c r="C29" s="153">
        <f>IF(C16="","",C16)</f>
        <v/>
      </c>
      <c r="D29" s="65" t="inlineStr">
        <is>
          <t>용암형석('95/2.0)_x000D_
용암현대2차('94/1.8)</t>
        </is>
      </c>
      <c r="E29" s="65" t="n"/>
      <c r="F29" s="65" t="inlineStr">
        <is>
          <t>금천뉴타운('93/1.7)_x000D_
풍림('92/1.6)_x000D_
금천현대('92/1.5)</t>
        </is>
      </c>
      <c r="G29" s="65" t="n"/>
      <c r="H29" s="65" t="n"/>
      <c r="I29" s="65" t="inlineStr">
        <is>
          <t>현대('91/1.7)</t>
        </is>
      </c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2">
        <f>IF(A17="","",A17)</f>
        <v/>
      </c>
      <c r="B30" s="64">
        <f>IF(B17="","",B17)</f>
        <v/>
      </c>
      <c r="C30" s="153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4">
        <f>IF(A21="","",A21)</f>
        <v/>
      </c>
      <c r="B34" s="59">
        <f>IF(B21="","",B21)</f>
        <v/>
      </c>
      <c r="C34" s="145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6">
        <f>IF(A22="","",A22)</f>
        <v/>
      </c>
      <c r="B35" s="61">
        <f>IF(B22="","",B22)</f>
        <v/>
      </c>
      <c r="C35" s="147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8">
        <f>IF(A23="","",A23)</f>
        <v/>
      </c>
      <c r="B36" s="57">
        <f>IF(B23="","",B23)</f>
        <v/>
      </c>
      <c r="C36" s="149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8">
        <f>IF(A24="","",A24)</f>
        <v/>
      </c>
      <c r="B37" s="57">
        <f>IF(B24="","",B24)</f>
        <v/>
      </c>
      <c r="C37" s="149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8">
        <f>IF(A25="","",A25)</f>
        <v/>
      </c>
      <c r="B38" s="57">
        <f>IF(B25="","",B25)</f>
        <v/>
      </c>
      <c r="C38" s="149">
        <f>IF(C25="","",C25)</f>
        <v/>
      </c>
      <c r="D38" s="58" t="n"/>
      <c r="E38" s="58" t="inlineStr">
        <is>
          <t>청주센트럴자이('18/4.2)</t>
        </is>
      </c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50">
        <f>IF(A26="","",A26)</f>
        <v/>
      </c>
      <c r="B39" s="62">
        <f>IF(B26="","",B26)</f>
        <v/>
      </c>
      <c r="C39" s="151">
        <f>IF(C26="","",C26)</f>
        <v/>
      </c>
      <c r="D39" s="63" t="n"/>
      <c r="E39" s="63" t="n"/>
      <c r="F39" s="63" t="inlineStr">
        <is>
          <t>청주금천센트럴파크스타힐스('20/3.4)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50">
        <f>IF(A27="","",A27)</f>
        <v/>
      </c>
      <c r="B40" s="62">
        <f>IF(B27="","",B27)</f>
        <v/>
      </c>
      <c r="C40" s="151">
        <f>IF(C27="","",C27)</f>
        <v/>
      </c>
      <c r="D40" s="63" t="inlineStr">
        <is>
          <t>용암서희스타힐스('18/2.8)</t>
        </is>
      </c>
      <c r="E40" s="63" t="n"/>
      <c r="F40" s="63" t="n"/>
      <c r="G40" s="63" t="n"/>
      <c r="H40" s="63" t="n"/>
      <c r="I40" s="63" t="inlineStr">
        <is>
          <t>LH청주탑동('14/2.6)</t>
        </is>
      </c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50">
        <f>IF(A28="","",A28)</f>
        <v/>
      </c>
      <c r="B41" s="62">
        <f>IF(B28="","",B28)</f>
        <v/>
      </c>
      <c r="C41" s="151">
        <f>IF(C28="","",C28)</f>
        <v/>
      </c>
      <c r="D41" s="63" t="inlineStr">
        <is>
          <t>청주신영강변뜨란채('05/2.0)</t>
        </is>
      </c>
      <c r="E41" s="63" t="n"/>
      <c r="F41" s="63" t="inlineStr">
        <is>
          <t>장자마을2단지현대('02/2.1)</t>
        </is>
      </c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25">
      <c r="A42" s="152">
        <f>IF(A29="","",A29)</f>
        <v/>
      </c>
      <c r="B42" s="64">
        <f>IF(B29="","",B29)</f>
        <v/>
      </c>
      <c r="C42" s="153">
        <f>IF(C29="","",C29)</f>
        <v/>
      </c>
      <c r="D42" s="65" t="inlineStr">
        <is>
          <t>중흥마을1단지부영('03/1.8)_x000D_
중흥마을마이빌('03/1.8)_x000D_
진흥한우리('95/1.7)_x000D_
용암세원한아름('94/1.5)_x000D_
덕성그린타운('95/1.5)</t>
        </is>
      </c>
      <c r="E42" s="65" t="n"/>
      <c r="F42" s="65" t="inlineStr">
        <is>
          <t>장자마을7단지부영('01/1.9)_x000D_
장자마을9단지부영('02/1.8)_x000D_
금천현대('92/1.6)</t>
        </is>
      </c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60" customHeight="1" s="125">
      <c r="A43" s="152">
        <f>IF(A30="","",A30)</f>
        <v/>
      </c>
      <c r="B43" s="64">
        <f>IF(B30="","",B30)</f>
        <v/>
      </c>
      <c r="C43" s="153">
        <f>IF(C30="","",C30)</f>
        <v/>
      </c>
      <c r="D43" s="65" t="inlineStr">
        <is>
          <t>소라('94/1.5)_x000D_
용암삼일무지개('94/1.4)_x000D_
효성('94/1.4)_x000D_
태산그린('95/1.3)_x000D_
부영('96/1.2)</t>
        </is>
      </c>
      <c r="E43" s="65" t="n"/>
      <c r="F43" s="65" t="inlineStr">
        <is>
          <t>금천경희('97/1.2)</t>
        </is>
      </c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4">
        <f>IF(A34="","",A34)</f>
        <v/>
      </c>
      <c r="B47" s="59">
        <f>IF(B34="","",B34)</f>
        <v/>
      </c>
      <c r="C47" s="145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6">
        <f>IF(A35="","",A35)</f>
        <v/>
      </c>
      <c r="B48" s="61">
        <f>IF(B35="","",B35)</f>
        <v/>
      </c>
      <c r="C48" s="147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8">
        <f>IF(A36="","",A36)</f>
        <v/>
      </c>
      <c r="B49" s="57">
        <f>IF(B36="","",B36)</f>
        <v/>
      </c>
      <c r="C49" s="149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8">
        <f>IF(A37="","",A37)</f>
        <v/>
      </c>
      <c r="B50" s="57">
        <f>IF(B37="","",B37)</f>
        <v/>
      </c>
      <c r="C50" s="149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8">
        <f>IF(A38="","",A38)</f>
        <v/>
      </c>
      <c r="B51" s="57">
        <f>IF(B38="","",B38)</f>
        <v/>
      </c>
      <c r="C51" s="149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50">
        <f>IF(A39="","",A39)</f>
        <v/>
      </c>
      <c r="B52" s="62">
        <f>IF(B39="","",B39)</f>
        <v/>
      </c>
      <c r="C52" s="151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50">
        <f>IF(A40="","",A40)</f>
        <v/>
      </c>
      <c r="B53" s="62">
        <f>IF(B40="","",B40)</f>
        <v/>
      </c>
      <c r="C53" s="151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50">
        <f>IF(A41="","",A41)</f>
        <v/>
      </c>
      <c r="B54" s="62">
        <f>IF(B41="","",B41)</f>
        <v/>
      </c>
      <c r="C54" s="151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2">
        <f>IF(A42="","",A42)</f>
        <v/>
      </c>
      <c r="B55" s="64">
        <f>IF(B42="","",B42)</f>
        <v/>
      </c>
      <c r="C55" s="153">
        <f>IF(C42="","",C42)</f>
        <v/>
      </c>
      <c r="D55" s="65" t="n"/>
      <c r="E55" s="65" t="n"/>
      <c r="F55" s="65" t="inlineStr">
        <is>
          <t>장자마을9단지부영('02/1.5)</t>
        </is>
      </c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 ht="24" customHeight="1" s="125">
      <c r="A56" s="152">
        <f>IF(A43="","",A43)</f>
        <v/>
      </c>
      <c r="B56" s="64">
        <f>IF(B43="","",B43)</f>
        <v/>
      </c>
      <c r="C56" s="153">
        <f>IF(C43="","",C43)</f>
        <v/>
      </c>
      <c r="D56" s="65" t="inlineStr">
        <is>
          <t>청주용암주공1단지('94/1.0)_x000D_
부영('96/1.0)</t>
        </is>
      </c>
      <c r="E56" s="65" t="n"/>
      <c r="F56" s="65" t="inlineStr">
        <is>
          <t>금천현대('92/1.2)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4">
        <f>IF(A47="","",A47)</f>
        <v/>
      </c>
      <c r="B60" s="59">
        <f>IF(B47="","",B47)</f>
        <v/>
      </c>
      <c r="C60" s="145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6">
        <f>IF(A48="","",A48)</f>
        <v/>
      </c>
      <c r="B61" s="61">
        <f>IF(B48="","",B48)</f>
        <v/>
      </c>
      <c r="C61" s="147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8">
        <f>IF(A49="","",A49)</f>
        <v/>
      </c>
      <c r="B62" s="57">
        <f>IF(B49="","",B49)</f>
        <v/>
      </c>
      <c r="C62" s="149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8">
        <f>IF(A50="","",A50)</f>
        <v/>
      </c>
      <c r="B63" s="57">
        <f>IF(B50="","",B50)</f>
        <v/>
      </c>
      <c r="C63" s="149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8">
        <f>IF(A51="","",A51)</f>
        <v/>
      </c>
      <c r="B64" s="57">
        <f>IF(B51="","",B51)</f>
        <v/>
      </c>
      <c r="C64" s="149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50">
        <f>IF(A52="","",A52)</f>
        <v/>
      </c>
      <c r="B65" s="62">
        <f>IF(B52="","",B52)</f>
        <v/>
      </c>
      <c r="C65" s="151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50">
        <f>IF(A53="","",A53)</f>
        <v/>
      </c>
      <c r="B66" s="62">
        <f>IF(B53="","",B53)</f>
        <v/>
      </c>
      <c r="C66" s="151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50">
        <f>IF(A54="","",A54)</f>
        <v/>
      </c>
      <c r="B67" s="62">
        <f>IF(B54="","",B54)</f>
        <v/>
      </c>
      <c r="C67" s="151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2">
        <f>IF(A55="","",A55)</f>
        <v/>
      </c>
      <c r="B68" s="64">
        <f>IF(B55="","",B55)</f>
        <v/>
      </c>
      <c r="C68" s="153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2">
        <f>IF(A56="","",A56)</f>
        <v/>
      </c>
      <c r="B69" s="64">
        <f>IF(B56="","",B56)</f>
        <v/>
      </c>
      <c r="C69" s="153">
        <f>IF(C56="","",C56)</f>
        <v/>
      </c>
      <c r="D69" s="65" t="inlineStr">
        <is>
          <t>덕성그린타운('95/1.2)</t>
        </is>
      </c>
      <c r="E69" s="65" t="n"/>
      <c r="F69" s="65" t="n"/>
      <c r="G69" s="65" t="n"/>
      <c r="H69" s="65" t="n"/>
      <c r="I69" s="65" t="inlineStr">
        <is>
          <t>LH청주탑동('14/1.4)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46"/>
  <sheetViews>
    <sheetView zoomScaleNormal="100" workbookViewId="0">
      <selection activeCell="M14" sqref="M14"/>
    </sheetView>
  </sheetViews>
  <sheetFormatPr baseColWidth="8" defaultRowHeight="16.5"/>
  <sheetData>
    <row r="1">
      <c r="A1" s="0" t="inlineStr">
        <is>
          <t>[금천동]</t>
        </is>
      </c>
      <c r="B1" s="0" t="n">
        <v>129142</v>
      </c>
      <c r="C1" s="0" t="n">
        <v>1</v>
      </c>
      <c r="D1" s="0" t="inlineStr">
        <is>
          <t>동산</t>
        </is>
      </c>
      <c r="E1" s="0" t="inlineStr">
        <is>
          <t>1993.04.</t>
        </is>
      </c>
      <c r="F1" s="0" t="n">
        <v>39</v>
      </c>
      <c r="G1" s="0" t="n">
        <v>22.73</v>
      </c>
      <c r="H1" s="0" t="n">
        <v>75.17</v>
      </c>
      <c r="I1" s="0" t="n">
        <v>16.97</v>
      </c>
      <c r="J1" s="0" t="n">
        <v>56.13</v>
      </c>
      <c r="K1" s="0" t="n">
        <v>19</v>
      </c>
      <c r="T1" s="0" t="n">
        <v>3</v>
      </c>
      <c r="U1" s="0" t="n">
        <v>1</v>
      </c>
      <c r="V1" s="0" t="inlineStr">
        <is>
          <t>복도식</t>
        </is>
      </c>
      <c r="W1" s="0" t="n">
        <v>75</v>
      </c>
      <c r="X1" s="0" t="n">
        <v>5</v>
      </c>
      <c r="Y1" s="0" t="n">
        <v>4</v>
      </c>
      <c r="Z1" s="0" t="inlineStr">
        <is>
          <t>https://new.land.naver.com/complexes/129142?tab=detail&amp;rf=Y</t>
        </is>
      </c>
      <c r="AA1" s="0" t="inlineStr">
        <is>
          <t>충청북도 청주시 상당구 금천동 56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상당구</t>
        </is>
      </c>
      <c r="AE1" s="0" t="inlineStr">
        <is>
          <t>금천동</t>
        </is>
      </c>
      <c r="AG1" s="0" t="inlineStr">
        <is>
          <t>충청북도 청주시 상당구 중고개로273번길 47-9</t>
        </is>
      </c>
      <c r="AH1" s="0" t="n">
        <v>0</v>
      </c>
      <c r="AI1" s="0" t="n">
        <v>110</v>
      </c>
      <c r="AJ1" s="0" t="n">
        <v>46</v>
      </c>
      <c r="AK1" s="0" t="n">
        <v>0</v>
      </c>
      <c r="AL1" s="0" t="n">
        <v>0</v>
      </c>
    </row>
    <row r="2">
      <c r="A2" s="0" t="inlineStr">
        <is>
          <t>[금천동]</t>
        </is>
      </c>
      <c r="B2" s="0" t="n">
        <v>129142</v>
      </c>
      <c r="C2" s="0" t="n">
        <v>2</v>
      </c>
      <c r="D2" s="0" t="inlineStr">
        <is>
          <t>동산</t>
        </is>
      </c>
      <c r="E2" s="0" t="inlineStr">
        <is>
          <t>1993.04.</t>
        </is>
      </c>
      <c r="F2" s="0" t="n">
        <v>39</v>
      </c>
      <c r="G2" s="0" t="n">
        <v>23.99</v>
      </c>
      <c r="H2" s="0" t="n">
        <v>79.31</v>
      </c>
      <c r="I2" s="0" t="n">
        <v>17.91</v>
      </c>
      <c r="J2" s="0" t="n">
        <v>59.22</v>
      </c>
      <c r="K2" s="0" t="n">
        <v>20</v>
      </c>
      <c r="T2" s="0" t="n">
        <v>3</v>
      </c>
      <c r="U2" s="0" t="n">
        <v>1</v>
      </c>
      <c r="V2" s="0" t="inlineStr">
        <is>
          <t>복도식</t>
        </is>
      </c>
      <c r="W2" s="0" t="n">
        <v>79</v>
      </c>
      <c r="X2" s="0" t="n">
        <v>5</v>
      </c>
      <c r="Y2" s="0" t="n">
        <v>4</v>
      </c>
      <c r="Z2" s="0" t="inlineStr">
        <is>
          <t>https://new.land.naver.com/complexes/129142?tab=detail&amp;rf=Y</t>
        </is>
      </c>
      <c r="AA2" s="0" t="inlineStr">
        <is>
          <t>충청북도 청주시 상당구 금천동 56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상당구</t>
        </is>
      </c>
      <c r="AE2" s="0" t="inlineStr">
        <is>
          <t>금천동</t>
        </is>
      </c>
      <c r="AG2" s="0" t="inlineStr">
        <is>
          <t>충청북도 청주시 상당구 중고개로273번길 47-9</t>
        </is>
      </c>
      <c r="AH2" s="0" t="n">
        <v>0</v>
      </c>
      <c r="AI2" s="0" t="n">
        <v>110</v>
      </c>
      <c r="AJ2" s="0" t="n">
        <v>46</v>
      </c>
      <c r="AK2" s="0" t="n">
        <v>0</v>
      </c>
      <c r="AL2" s="0" t="n">
        <v>0</v>
      </c>
    </row>
    <row r="3">
      <c r="A3" s="0" t="inlineStr">
        <is>
          <t>[금천동]</t>
        </is>
      </c>
      <c r="B3" s="0" t="n">
        <v>12783</v>
      </c>
      <c r="C3" s="0" t="n">
        <v>1</v>
      </c>
      <c r="D3" s="0" t="inlineStr">
        <is>
          <t>효성2차</t>
        </is>
      </c>
      <c r="E3" s="0" t="inlineStr">
        <is>
          <t>1998.07.</t>
        </is>
      </c>
      <c r="F3" s="0" t="n">
        <v>253</v>
      </c>
      <c r="G3" s="0" t="n">
        <v>11.96</v>
      </c>
      <c r="H3" s="0" t="n">
        <v>39.54</v>
      </c>
      <c r="I3" s="0" t="n">
        <v>8.24</v>
      </c>
      <c r="J3" s="0" t="n">
        <v>27.27</v>
      </c>
      <c r="K3" s="0" t="n">
        <v>253</v>
      </c>
      <c r="T3" s="0" t="n">
        <v>1</v>
      </c>
      <c r="U3" s="0" t="n">
        <v>1</v>
      </c>
      <c r="V3" s="0" t="inlineStr">
        <is>
          <t>복도식</t>
        </is>
      </c>
      <c r="W3" s="0" t="n">
        <v>39</v>
      </c>
      <c r="X3" s="0" t="n">
        <v>14</v>
      </c>
      <c r="Y3" s="0" t="n">
        <v>10</v>
      </c>
      <c r="Z3" s="0" t="inlineStr">
        <is>
          <t>https://new.land.naver.com/complexes/12783?tab=detail&amp;rf=Y</t>
        </is>
      </c>
      <c r="AA3" s="0" t="inlineStr">
        <is>
          <t>충청북도 청주시 상당구 금천동 137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상당구</t>
        </is>
      </c>
      <c r="AE3" s="0" t="inlineStr">
        <is>
          <t>금천동</t>
        </is>
      </c>
      <c r="AG3" s="0" t="inlineStr">
        <is>
          <t>충청북도 청주시 상당구 수영로196번길 12-17</t>
        </is>
      </c>
      <c r="AH3" s="0" t="n">
        <v>0</v>
      </c>
      <c r="AI3" s="0" t="n">
        <v>191</v>
      </c>
      <c r="AJ3" s="0" t="n">
        <v>21</v>
      </c>
      <c r="AK3" s="0" t="n">
        <v>188</v>
      </c>
      <c r="AL3" s="0" t="n">
        <v>0.74</v>
      </c>
    </row>
    <row r="4">
      <c r="A4" s="0" t="inlineStr">
        <is>
          <t>[금천동]</t>
        </is>
      </c>
      <c r="B4" s="0" t="n">
        <v>10306</v>
      </c>
      <c r="C4" s="0" t="n">
        <v>1</v>
      </c>
      <c r="D4" s="0" t="inlineStr">
        <is>
          <t>장자마을2단지현대</t>
        </is>
      </c>
      <c r="E4" s="0" t="inlineStr">
        <is>
          <t>2002.10.</t>
        </is>
      </c>
      <c r="F4" s="0" t="n">
        <v>636</v>
      </c>
      <c r="G4" s="0" t="n">
        <v>28.67</v>
      </c>
      <c r="H4" s="0" t="n">
        <v>94.79000000000001</v>
      </c>
      <c r="I4" s="0" t="n">
        <v>22.67</v>
      </c>
      <c r="J4" s="0" t="n">
        <v>74.95</v>
      </c>
      <c r="K4" s="0" t="n">
        <v>193</v>
      </c>
      <c r="T4" s="0" t="n">
        <v>3</v>
      </c>
      <c r="U4" s="0" t="n">
        <v>2</v>
      </c>
      <c r="V4" s="0" t="inlineStr">
        <is>
          <t>계단식</t>
        </is>
      </c>
      <c r="W4" s="0" t="n">
        <v>94</v>
      </c>
      <c r="X4" s="0" t="n">
        <v>15</v>
      </c>
      <c r="Y4" s="0" t="n">
        <v>10</v>
      </c>
      <c r="Z4" s="0" t="inlineStr">
        <is>
          <t>https://new.land.naver.com/complexes/10306?tab=detail&amp;rf=Y</t>
        </is>
      </c>
      <c r="AA4" s="0" t="inlineStr">
        <is>
          <t>충청북도 청주시 상당구 금천동 270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상당구</t>
        </is>
      </c>
      <c r="AE4" s="0" t="inlineStr">
        <is>
          <t>금천동</t>
        </is>
      </c>
      <c r="AG4" s="0" t="inlineStr">
        <is>
          <t>충청북도 청주시 상당구 수영로 328</t>
        </is>
      </c>
      <c r="AH4" s="0" t="n">
        <v>0</v>
      </c>
      <c r="AI4" s="0" t="n">
        <v>219</v>
      </c>
      <c r="AJ4" s="0" t="n">
        <v>19</v>
      </c>
      <c r="AK4" s="0" t="n">
        <v>729</v>
      </c>
      <c r="AL4" s="0" t="n">
        <v>1.15</v>
      </c>
    </row>
    <row r="5">
      <c r="A5" s="0" t="inlineStr">
        <is>
          <t>[금천동]</t>
        </is>
      </c>
      <c r="B5" s="0" t="n">
        <v>10306</v>
      </c>
      <c r="C5" s="0" t="n">
        <v>2</v>
      </c>
      <c r="D5" s="0" t="inlineStr">
        <is>
          <t>장자마을2단지현대</t>
        </is>
      </c>
      <c r="E5" s="0" t="inlineStr">
        <is>
          <t>2002.10.</t>
        </is>
      </c>
      <c r="F5" s="0" t="n">
        <v>636</v>
      </c>
      <c r="G5" s="0" t="n">
        <v>32.5</v>
      </c>
      <c r="H5" s="0" t="n">
        <v>107.44</v>
      </c>
      <c r="I5" s="0" t="n">
        <v>25.67</v>
      </c>
      <c r="J5" s="0" t="n">
        <v>84.89</v>
      </c>
      <c r="K5" s="0" t="n">
        <v>267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107A</t>
        </is>
      </c>
      <c r="X5" s="0" t="n">
        <v>15</v>
      </c>
      <c r="Y5" s="0" t="n">
        <v>10</v>
      </c>
      <c r="Z5" s="0" t="inlineStr">
        <is>
          <t>https://new.land.naver.com/complexes/10306?tab=detail&amp;rf=Y</t>
        </is>
      </c>
      <c r="AA5" s="0" t="inlineStr">
        <is>
          <t>충청북도 청주시 상당구 금천동 270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상당구</t>
        </is>
      </c>
      <c r="AE5" s="0" t="inlineStr">
        <is>
          <t>금천동</t>
        </is>
      </c>
      <c r="AG5" s="0" t="inlineStr">
        <is>
          <t>충청북도 청주시 상당구 수영로 328</t>
        </is>
      </c>
      <c r="AH5" s="0" t="n">
        <v>0</v>
      </c>
      <c r="AI5" s="0" t="n">
        <v>219</v>
      </c>
      <c r="AJ5" s="0" t="n">
        <v>19</v>
      </c>
      <c r="AK5" s="0" t="n">
        <v>729</v>
      </c>
      <c r="AL5" s="0" t="n">
        <v>1.15</v>
      </c>
    </row>
    <row r="6">
      <c r="A6" s="0" t="inlineStr">
        <is>
          <t>[금천동]</t>
        </is>
      </c>
      <c r="B6" s="0" t="n">
        <v>10306</v>
      </c>
      <c r="C6" s="0" t="n">
        <v>3</v>
      </c>
      <c r="D6" s="0" t="inlineStr">
        <is>
          <t>장자마을2단지현대</t>
        </is>
      </c>
      <c r="E6" s="0" t="inlineStr">
        <is>
          <t>2002.10.</t>
        </is>
      </c>
      <c r="F6" s="0" t="n">
        <v>636</v>
      </c>
      <c r="G6" s="0" t="n">
        <v>33.1</v>
      </c>
      <c r="H6" s="0" t="n">
        <v>109.45</v>
      </c>
      <c r="I6" s="0" t="n">
        <v>25.67</v>
      </c>
      <c r="J6" s="0" t="n">
        <v>84.89</v>
      </c>
      <c r="K6" s="0" t="n">
        <v>176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15</v>
      </c>
      <c r="Y6" s="0" t="n">
        <v>10</v>
      </c>
      <c r="Z6" s="0" t="inlineStr">
        <is>
          <t>https://new.land.naver.com/complexes/10306?tab=detail&amp;rf=Y</t>
        </is>
      </c>
      <c r="AA6" s="0" t="inlineStr">
        <is>
          <t>충청북도 청주시 상당구 금천동 270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상당구</t>
        </is>
      </c>
      <c r="AE6" s="0" t="inlineStr">
        <is>
          <t>금천동</t>
        </is>
      </c>
      <c r="AG6" s="0" t="inlineStr">
        <is>
          <t>충청북도 청주시 상당구 수영로 328</t>
        </is>
      </c>
      <c r="AH6" s="0" t="n">
        <v>0</v>
      </c>
      <c r="AI6" s="0" t="n">
        <v>219</v>
      </c>
      <c r="AJ6" s="0" t="n">
        <v>19</v>
      </c>
      <c r="AK6" s="0" t="n">
        <v>729</v>
      </c>
      <c r="AL6" s="0" t="n">
        <v>1.15</v>
      </c>
    </row>
    <row r="7">
      <c r="A7" s="0" t="inlineStr">
        <is>
          <t>[금천동]</t>
        </is>
      </c>
      <c r="B7" s="0" t="n">
        <v>7011</v>
      </c>
      <c r="C7" s="0" t="n">
        <v>1</v>
      </c>
      <c r="D7" s="0" t="inlineStr">
        <is>
          <t>금천현대</t>
        </is>
      </c>
      <c r="E7" s="0" t="inlineStr">
        <is>
          <t>1992.12.</t>
        </is>
      </c>
      <c r="F7" s="0" t="n">
        <v>1032</v>
      </c>
      <c r="G7" s="0" t="n">
        <v>24.7</v>
      </c>
      <c r="H7" s="0" t="n">
        <v>81.68000000000001</v>
      </c>
      <c r="I7" s="0" t="n">
        <v>18.77</v>
      </c>
      <c r="J7" s="0" t="n">
        <v>62.08</v>
      </c>
      <c r="K7" s="0" t="n">
        <v>180</v>
      </c>
      <c r="T7" s="0" t="n">
        <v>2</v>
      </c>
      <c r="U7" s="0" t="n">
        <v>1</v>
      </c>
      <c r="V7" s="0" t="inlineStr">
        <is>
          <t>복도식</t>
        </is>
      </c>
      <c r="W7" s="0" t="n">
        <v>81</v>
      </c>
      <c r="X7" s="0" t="n">
        <v>15</v>
      </c>
      <c r="Y7" s="0" t="n">
        <v>12</v>
      </c>
      <c r="Z7" s="0" t="inlineStr">
        <is>
          <t>https://new.land.naver.com/complexes/7011?tab=detail&amp;rf=Y</t>
        </is>
      </c>
      <c r="AA7" s="0" t="inlineStr">
        <is>
          <t>충청북도 청주시 상당구 금천동 199-1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상당구</t>
        </is>
      </c>
      <c r="AE7" s="0" t="inlineStr">
        <is>
          <t>금천동</t>
        </is>
      </c>
      <c r="AG7" s="0" t="inlineStr">
        <is>
          <t>충청북도 청주시 상당구 중고개로337번길 23</t>
        </is>
      </c>
      <c r="AH7" s="0" t="n">
        <v>0</v>
      </c>
      <c r="AI7" s="0" t="n">
        <v>266</v>
      </c>
      <c r="AJ7" s="0" t="n">
        <v>21</v>
      </c>
      <c r="AK7" s="0" t="n">
        <v>556</v>
      </c>
      <c r="AL7" s="0" t="n">
        <v>0.54</v>
      </c>
    </row>
    <row r="8">
      <c r="A8" s="0" t="inlineStr">
        <is>
          <t>[금천동]</t>
        </is>
      </c>
      <c r="B8" s="0" t="n">
        <v>7011</v>
      </c>
      <c r="C8" s="0" t="n">
        <v>2</v>
      </c>
      <c r="D8" s="0" t="inlineStr">
        <is>
          <t>금천현대</t>
        </is>
      </c>
      <c r="E8" s="0" t="inlineStr">
        <is>
          <t>1992.12.</t>
        </is>
      </c>
      <c r="F8" s="0" t="n">
        <v>1032</v>
      </c>
      <c r="G8" s="0" t="n">
        <v>26.16</v>
      </c>
      <c r="H8" s="0" t="n">
        <v>86.5</v>
      </c>
      <c r="I8" s="0" t="n">
        <v>21.24</v>
      </c>
      <c r="J8" s="0" t="n">
        <v>70.22</v>
      </c>
      <c r="K8" s="0" t="n">
        <v>262</v>
      </c>
      <c r="T8" s="0" t="n">
        <v>3</v>
      </c>
      <c r="U8" s="0" t="n">
        <v>1</v>
      </c>
      <c r="V8" s="0" t="inlineStr">
        <is>
          <t>계단식</t>
        </is>
      </c>
      <c r="W8" s="0" t="n">
        <v>86</v>
      </c>
      <c r="X8" s="0" t="n">
        <v>15</v>
      </c>
      <c r="Y8" s="0" t="n">
        <v>12</v>
      </c>
      <c r="Z8" s="0" t="inlineStr">
        <is>
          <t>https://new.land.naver.com/complexes/7011?tab=detail&amp;rf=Y</t>
        </is>
      </c>
      <c r="AA8" s="0" t="inlineStr">
        <is>
          <t>충청북도 청주시 상당구 금천동 199-1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상당구</t>
        </is>
      </c>
      <c r="AE8" s="0" t="inlineStr">
        <is>
          <t>금천동</t>
        </is>
      </c>
      <c r="AG8" s="0" t="inlineStr">
        <is>
          <t>충청북도 청주시 상당구 중고개로337번길 23</t>
        </is>
      </c>
      <c r="AH8" s="0" t="n">
        <v>0</v>
      </c>
      <c r="AI8" s="0" t="n">
        <v>266</v>
      </c>
      <c r="AJ8" s="0" t="n">
        <v>21</v>
      </c>
      <c r="AK8" s="0" t="n">
        <v>556</v>
      </c>
      <c r="AL8" s="0" t="n">
        <v>0.54</v>
      </c>
    </row>
    <row r="9">
      <c r="A9" s="0" t="inlineStr">
        <is>
          <t>[금천동]</t>
        </is>
      </c>
      <c r="B9" s="0" t="n">
        <v>7011</v>
      </c>
      <c r="C9" s="0" t="n">
        <v>3</v>
      </c>
      <c r="D9" s="0" t="inlineStr">
        <is>
          <t>금천현대</t>
        </is>
      </c>
      <c r="E9" s="0" t="inlineStr">
        <is>
          <t>1992.12.</t>
        </is>
      </c>
      <c r="F9" s="0" t="n">
        <v>1032</v>
      </c>
      <c r="G9" s="0" t="n">
        <v>30.98</v>
      </c>
      <c r="H9" s="0" t="n">
        <v>102.44</v>
      </c>
      <c r="I9" s="0" t="n">
        <v>25.66</v>
      </c>
      <c r="J9" s="0" t="n">
        <v>84.84</v>
      </c>
      <c r="K9" s="0" t="n">
        <v>448</v>
      </c>
      <c r="T9" s="0" t="n">
        <v>3</v>
      </c>
      <c r="U9" s="0" t="n">
        <v>2</v>
      </c>
      <c r="V9" s="0" t="inlineStr">
        <is>
          <t>계단식</t>
        </is>
      </c>
      <c r="W9" s="0" t="n">
        <v>102</v>
      </c>
      <c r="X9" s="0" t="n">
        <v>15</v>
      </c>
      <c r="Y9" s="0" t="n">
        <v>12</v>
      </c>
      <c r="Z9" s="0" t="inlineStr">
        <is>
          <t>https://new.land.naver.com/complexes/7011?tab=detail&amp;rf=Y</t>
        </is>
      </c>
      <c r="AA9" s="0" t="inlineStr">
        <is>
          <t>충청북도 청주시 상당구 금천동 199-1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상당구</t>
        </is>
      </c>
      <c r="AE9" s="0" t="inlineStr">
        <is>
          <t>금천동</t>
        </is>
      </c>
      <c r="AG9" s="0" t="inlineStr">
        <is>
          <t>충청북도 청주시 상당구 중고개로337번길 23</t>
        </is>
      </c>
      <c r="AH9" s="0" t="n">
        <v>0</v>
      </c>
      <c r="AI9" s="0" t="n">
        <v>266</v>
      </c>
      <c r="AJ9" s="0" t="n">
        <v>21</v>
      </c>
      <c r="AK9" s="0" t="n">
        <v>556</v>
      </c>
      <c r="AL9" s="0" t="n">
        <v>0.54</v>
      </c>
    </row>
    <row r="10">
      <c r="A10" s="0" t="inlineStr">
        <is>
          <t>[금천동]</t>
        </is>
      </c>
      <c r="B10" s="0" t="n">
        <v>7011</v>
      </c>
      <c r="C10" s="0" t="n">
        <v>4</v>
      </c>
      <c r="D10" s="0" t="inlineStr">
        <is>
          <t>금천현대</t>
        </is>
      </c>
      <c r="E10" s="0" t="inlineStr">
        <is>
          <t>1992.12.</t>
        </is>
      </c>
      <c r="F10" s="0" t="n">
        <v>1032</v>
      </c>
      <c r="G10" s="0" t="n">
        <v>45.03</v>
      </c>
      <c r="H10" s="0" t="n">
        <v>148.89</v>
      </c>
      <c r="I10" s="0" t="n">
        <v>38.48</v>
      </c>
      <c r="J10" s="0" t="n">
        <v>127.22</v>
      </c>
      <c r="K10" s="0" t="n">
        <v>142</v>
      </c>
      <c r="T10" s="0" t="n">
        <v>4</v>
      </c>
      <c r="U10" s="0" t="n">
        <v>2</v>
      </c>
      <c r="V10" s="0" t="inlineStr">
        <is>
          <t>계단식</t>
        </is>
      </c>
      <c r="W10" s="0" t="n">
        <v>148</v>
      </c>
      <c r="X10" s="0" t="n">
        <v>15</v>
      </c>
      <c r="Y10" s="0" t="n">
        <v>12</v>
      </c>
      <c r="Z10" s="0" t="inlineStr">
        <is>
          <t>https://new.land.naver.com/complexes/7011?tab=detail&amp;rf=Y</t>
        </is>
      </c>
      <c r="AA10" s="0" t="inlineStr">
        <is>
          <t>충청북도 청주시 상당구 금천동 199-1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상당구</t>
        </is>
      </c>
      <c r="AE10" s="0" t="inlineStr">
        <is>
          <t>금천동</t>
        </is>
      </c>
      <c r="AG10" s="0" t="inlineStr">
        <is>
          <t>충청북도 청주시 상당구 중고개로337번길 23</t>
        </is>
      </c>
      <c r="AH10" s="0" t="n">
        <v>0</v>
      </c>
      <c r="AI10" s="0" t="n">
        <v>266</v>
      </c>
      <c r="AJ10" s="0" t="n">
        <v>21</v>
      </c>
      <c r="AK10" s="0" t="n">
        <v>556</v>
      </c>
      <c r="AL10" s="0" t="n">
        <v>0.54</v>
      </c>
    </row>
    <row r="11">
      <c r="A11" s="0" t="inlineStr">
        <is>
          <t>[금천동]</t>
        </is>
      </c>
      <c r="B11" s="0" t="n">
        <v>7001</v>
      </c>
      <c r="C11" s="0" t="n">
        <v>1</v>
      </c>
      <c r="D11" s="0" t="inlineStr">
        <is>
          <t>수정</t>
        </is>
      </c>
      <c r="E11" s="0" t="inlineStr">
        <is>
          <t>1993.04.</t>
        </is>
      </c>
      <c r="F11" s="0" t="n">
        <v>191</v>
      </c>
      <c r="G11" s="0" t="n">
        <v>24.26</v>
      </c>
      <c r="H11" s="0" t="n">
        <v>80.22</v>
      </c>
      <c r="I11" s="0" t="n">
        <v>18.1</v>
      </c>
      <c r="J11" s="0" t="n">
        <v>59.85</v>
      </c>
      <c r="K11" s="0" t="n">
        <v>84</v>
      </c>
      <c r="T11" s="0" t="n">
        <v>2</v>
      </c>
      <c r="U11" s="0" t="n">
        <v>1</v>
      </c>
      <c r="V11" s="0" t="inlineStr">
        <is>
          <t>계단식</t>
        </is>
      </c>
      <c r="W11" s="0" t="n">
        <v>80</v>
      </c>
      <c r="X11" s="0" t="n">
        <v>14</v>
      </c>
      <c r="Y11" s="0" t="n">
        <v>6</v>
      </c>
      <c r="Z11" s="0" t="inlineStr">
        <is>
          <t>https://new.land.naver.com/complexes/7001?tab=detail&amp;rf=Y</t>
        </is>
      </c>
      <c r="AA11" s="0" t="inlineStr">
        <is>
          <t>충청북도 청주시 상당구 금천동 115-1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상당구</t>
        </is>
      </c>
      <c r="AE11" s="0" t="inlineStr">
        <is>
          <t>금천동</t>
        </is>
      </c>
      <c r="AG11" s="0" t="inlineStr">
        <is>
          <t>충청북도 청주시 상당구 꽃산동로 40</t>
        </is>
      </c>
      <c r="AH11" s="0" t="n">
        <v>0</v>
      </c>
      <c r="AI11" s="0" t="n">
        <v>239</v>
      </c>
      <c r="AJ11" s="0" t="n">
        <v>31</v>
      </c>
      <c r="AK11" s="0" t="n">
        <v>171</v>
      </c>
      <c r="AL11" s="0" t="n">
        <v>0.9</v>
      </c>
    </row>
    <row r="12">
      <c r="A12" s="0" t="inlineStr">
        <is>
          <t>[금천동]</t>
        </is>
      </c>
      <c r="B12" s="0" t="n">
        <v>7001</v>
      </c>
      <c r="C12" s="0" t="n">
        <v>2</v>
      </c>
      <c r="D12" s="0" t="inlineStr">
        <is>
          <t>수정</t>
        </is>
      </c>
      <c r="E12" s="0" t="inlineStr">
        <is>
          <t>1993.04.</t>
        </is>
      </c>
      <c r="F12" s="0" t="n">
        <v>191</v>
      </c>
      <c r="G12" s="0" t="n">
        <v>34.94</v>
      </c>
      <c r="H12" s="0" t="n">
        <v>115.53</v>
      </c>
      <c r="I12" s="0" t="n">
        <v>25.69</v>
      </c>
      <c r="J12" s="0" t="n">
        <v>84.95</v>
      </c>
      <c r="K12" s="0" t="n">
        <v>107</v>
      </c>
      <c r="T12" s="0" t="n">
        <v>3</v>
      </c>
      <c r="U12" s="0" t="n">
        <v>2</v>
      </c>
      <c r="V12" s="0" t="inlineStr">
        <is>
          <t>계단식</t>
        </is>
      </c>
      <c r="W12" s="0" t="n">
        <v>115</v>
      </c>
      <c r="X12" s="0" t="n">
        <v>14</v>
      </c>
      <c r="Y12" s="0" t="n">
        <v>6</v>
      </c>
      <c r="Z12" s="0" t="inlineStr">
        <is>
          <t>https://new.land.naver.com/complexes/7001?tab=detail&amp;rf=Y</t>
        </is>
      </c>
      <c r="AA12" s="0" t="inlineStr">
        <is>
          <t>충청북도 청주시 상당구 금천동 115-1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상당구</t>
        </is>
      </c>
      <c r="AE12" s="0" t="inlineStr">
        <is>
          <t>금천동</t>
        </is>
      </c>
      <c r="AG12" s="0" t="inlineStr">
        <is>
          <t>충청북도 청주시 상당구 꽃산동로 40</t>
        </is>
      </c>
      <c r="AH12" s="0" t="n">
        <v>0</v>
      </c>
      <c r="AI12" s="0" t="n">
        <v>239</v>
      </c>
      <c r="AJ12" s="0" t="n">
        <v>31</v>
      </c>
      <c r="AK12" s="0" t="n">
        <v>171</v>
      </c>
      <c r="AL12" s="0" t="n">
        <v>0.9</v>
      </c>
    </row>
    <row r="13">
      <c r="A13" s="0" t="inlineStr">
        <is>
          <t>[금천동]</t>
        </is>
      </c>
      <c r="B13" s="0" t="n">
        <v>12784</v>
      </c>
      <c r="C13" s="0" t="n">
        <v>1</v>
      </c>
      <c r="D13" s="0" t="inlineStr">
        <is>
          <t>진흥</t>
        </is>
      </c>
      <c r="E13" s="0" t="inlineStr">
        <is>
          <t>1987.11.</t>
        </is>
      </c>
      <c r="F13" s="0" t="n">
        <v>50</v>
      </c>
      <c r="G13" s="0" t="n">
        <v>21.83</v>
      </c>
      <c r="H13" s="0" t="n">
        <v>72.19</v>
      </c>
      <c r="I13" s="0" t="n">
        <v>16.77</v>
      </c>
      <c r="J13" s="0" t="n">
        <v>55.44</v>
      </c>
      <c r="K13" s="0" t="n">
        <v>5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72A</t>
        </is>
      </c>
      <c r="X13" s="0" t="n">
        <v>5</v>
      </c>
      <c r="Y13" s="0" t="n">
        <v>5</v>
      </c>
      <c r="Z13" s="0" t="inlineStr">
        <is>
          <t>https://new.land.naver.com/complexes/12784?tab=detail&amp;rf=Y</t>
        </is>
      </c>
      <c r="AA13" s="0" t="inlineStr">
        <is>
          <t>충청북도 청주시 상당구 금천동 181-1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상당구</t>
        </is>
      </c>
      <c r="AE13" s="0" t="inlineStr">
        <is>
          <t>금천동</t>
        </is>
      </c>
      <c r="AG13" s="0" t="inlineStr">
        <is>
          <t>충청북도 청주시 상당구 쇠내로59번길 41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[금천동]</t>
        </is>
      </c>
      <c r="B14" s="0" t="n">
        <v>12784</v>
      </c>
      <c r="C14" s="0" t="n">
        <v>2</v>
      </c>
      <c r="D14" s="0" t="inlineStr">
        <is>
          <t>진흥</t>
        </is>
      </c>
      <c r="E14" s="0" t="inlineStr">
        <is>
          <t>1987.11.</t>
        </is>
      </c>
      <c r="F14" s="0" t="n">
        <v>50</v>
      </c>
      <c r="G14" s="0" t="n">
        <v>22.08</v>
      </c>
      <c r="H14" s="0" t="n">
        <v>73.01000000000001</v>
      </c>
      <c r="I14" s="0" t="n">
        <v>18.59</v>
      </c>
      <c r="J14" s="0" t="n">
        <v>61.47</v>
      </c>
      <c r="K14" s="0" t="n">
        <v>5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73B</t>
        </is>
      </c>
      <c r="X14" s="0" t="n">
        <v>5</v>
      </c>
      <c r="Y14" s="0" t="n">
        <v>5</v>
      </c>
      <c r="Z14" s="0" t="inlineStr">
        <is>
          <t>https://new.land.naver.com/complexes/12784?tab=detail&amp;rf=Y</t>
        </is>
      </c>
      <c r="AA14" s="0" t="inlineStr">
        <is>
          <t>충청북도 청주시 상당구 금천동 181-1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상당구</t>
        </is>
      </c>
      <c r="AE14" s="0" t="inlineStr">
        <is>
          <t>금천동</t>
        </is>
      </c>
      <c r="AG14" s="0" t="inlineStr">
        <is>
          <t>충청북도 청주시 상당구 쇠내로59번길 41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[금천동]</t>
        </is>
      </c>
      <c r="B15" s="0" t="n">
        <v>12784</v>
      </c>
      <c r="C15" s="0" t="n">
        <v>3</v>
      </c>
      <c r="D15" s="0" t="inlineStr">
        <is>
          <t>진흥</t>
        </is>
      </c>
      <c r="E15" s="0" t="inlineStr">
        <is>
          <t>1987.11.</t>
        </is>
      </c>
      <c r="F15" s="0" t="n">
        <v>50</v>
      </c>
      <c r="G15" s="0" t="n">
        <v>24.41</v>
      </c>
      <c r="H15" s="0" t="n">
        <v>80.72</v>
      </c>
      <c r="I15" s="0" t="n">
        <v>19.12</v>
      </c>
      <c r="J15" s="0" t="n">
        <v>63.21</v>
      </c>
      <c r="K15" s="0" t="n">
        <v>5</v>
      </c>
      <c r="T15" s="0" t="n">
        <v>2</v>
      </c>
      <c r="U15" s="0" t="n">
        <v>1</v>
      </c>
      <c r="V15" s="0" t="inlineStr">
        <is>
          <t>계단식</t>
        </is>
      </c>
      <c r="W15" s="0" t="n">
        <v>80</v>
      </c>
      <c r="X15" s="0" t="n">
        <v>5</v>
      </c>
      <c r="Y15" s="0" t="n">
        <v>5</v>
      </c>
      <c r="Z15" s="0" t="inlineStr">
        <is>
          <t>https://new.land.naver.com/complexes/12784?tab=detail&amp;rf=Y</t>
        </is>
      </c>
      <c r="AA15" s="0" t="inlineStr">
        <is>
          <t>충청북도 청주시 상당구 금천동 181-1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상당구</t>
        </is>
      </c>
      <c r="AE15" s="0" t="inlineStr">
        <is>
          <t>금천동</t>
        </is>
      </c>
      <c r="AG15" s="0" t="inlineStr">
        <is>
          <t>충청북도 청주시 상당구 쇠내로59번길 41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[금천동]</t>
        </is>
      </c>
      <c r="B16" s="0" t="n">
        <v>12784</v>
      </c>
      <c r="C16" s="0" t="n">
        <v>4</v>
      </c>
      <c r="D16" s="0" t="inlineStr">
        <is>
          <t>진흥</t>
        </is>
      </c>
      <c r="E16" s="0" t="inlineStr">
        <is>
          <t>1987.11.</t>
        </is>
      </c>
      <c r="F16" s="0" t="n">
        <v>50</v>
      </c>
      <c r="G16" s="0" t="n">
        <v>25.29</v>
      </c>
      <c r="H16" s="0" t="n">
        <v>83.62</v>
      </c>
      <c r="I16" s="0" t="n">
        <v>21.56</v>
      </c>
      <c r="J16" s="0" t="n">
        <v>71.28</v>
      </c>
      <c r="K16" s="0" t="n">
        <v>10</v>
      </c>
      <c r="T16" s="0" t="n">
        <v>2</v>
      </c>
      <c r="U16" s="0" t="n">
        <v>1</v>
      </c>
      <c r="V16" s="0" t="inlineStr">
        <is>
          <t>계단식</t>
        </is>
      </c>
      <c r="W16" s="0" t="n">
        <v>83</v>
      </c>
      <c r="X16" s="0" t="n">
        <v>5</v>
      </c>
      <c r="Y16" s="0" t="n">
        <v>5</v>
      </c>
      <c r="Z16" s="0" t="inlineStr">
        <is>
          <t>https://new.land.naver.com/complexes/12784?tab=detail&amp;rf=Y</t>
        </is>
      </c>
      <c r="AA16" s="0" t="inlineStr">
        <is>
          <t>충청북도 청주시 상당구 금천동 181-1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상당구</t>
        </is>
      </c>
      <c r="AE16" s="0" t="inlineStr">
        <is>
          <t>금천동</t>
        </is>
      </c>
      <c r="AG16" s="0" t="inlineStr">
        <is>
          <t>충청북도 청주시 상당구 쇠내로59번길 41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[금천동]</t>
        </is>
      </c>
      <c r="B17" s="0" t="n">
        <v>12784</v>
      </c>
      <c r="C17" s="0" t="n">
        <v>5</v>
      </c>
      <c r="D17" s="0" t="inlineStr">
        <is>
          <t>진흥</t>
        </is>
      </c>
      <c r="E17" s="0" t="inlineStr">
        <is>
          <t>1987.11.</t>
        </is>
      </c>
      <c r="F17" s="0" t="n">
        <v>50</v>
      </c>
      <c r="G17" s="0" t="n">
        <v>27.98</v>
      </c>
      <c r="H17" s="0" t="n">
        <v>92.51000000000001</v>
      </c>
      <c r="I17" s="0" t="n">
        <v>24</v>
      </c>
      <c r="J17" s="0" t="n">
        <v>79.34999999999999</v>
      </c>
      <c r="K17" s="0" t="n">
        <v>25</v>
      </c>
      <c r="T17" s="0" t="n">
        <v>2</v>
      </c>
      <c r="U17" s="0" t="n">
        <v>1</v>
      </c>
      <c r="V17" s="0" t="inlineStr">
        <is>
          <t>계단식</t>
        </is>
      </c>
      <c r="W17" s="0" t="n">
        <v>92</v>
      </c>
      <c r="X17" s="0" t="n">
        <v>5</v>
      </c>
      <c r="Y17" s="0" t="n">
        <v>5</v>
      </c>
      <c r="Z17" s="0" t="inlineStr">
        <is>
          <t>https://new.land.naver.com/complexes/12784?tab=detail&amp;rf=Y</t>
        </is>
      </c>
      <c r="AA17" s="0" t="inlineStr">
        <is>
          <t>충청북도 청주시 상당구 금천동 181-1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상당구</t>
        </is>
      </c>
      <c r="AE17" s="0" t="inlineStr">
        <is>
          <t>금천동</t>
        </is>
      </c>
      <c r="AG17" s="0" t="inlineStr">
        <is>
          <t>충청북도 청주시 상당구 쇠내로59번길 41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[금천동]</t>
        </is>
      </c>
      <c r="B18" s="0" t="n">
        <v>6998</v>
      </c>
      <c r="C18" s="0" t="n">
        <v>1</v>
      </c>
      <c r="D18" s="0" t="inlineStr">
        <is>
          <t>삼일</t>
        </is>
      </c>
      <c r="E18" s="0" t="inlineStr">
        <is>
          <t>1987.11.</t>
        </is>
      </c>
      <c r="F18" s="0" t="n">
        <v>299</v>
      </c>
      <c r="G18" s="0" t="n">
        <v>20.08</v>
      </c>
      <c r="H18" s="0" t="n">
        <v>66.39</v>
      </c>
      <c r="I18" s="0" t="n">
        <v>16.72</v>
      </c>
      <c r="J18" s="0" t="n">
        <v>55.28</v>
      </c>
      <c r="K18" s="0" t="n">
        <v>5</v>
      </c>
      <c r="T18" s="0" t="n">
        <v>2</v>
      </c>
      <c r="U18" s="0" t="n">
        <v>1</v>
      </c>
      <c r="V18" s="0" t="inlineStr">
        <is>
          <t>계단식</t>
        </is>
      </c>
      <c r="W18" s="0" t="n">
        <v>66</v>
      </c>
      <c r="X18" s="0" t="n">
        <v>6</v>
      </c>
      <c r="Y18" s="0" t="n">
        <v>4</v>
      </c>
      <c r="Z18" s="0" t="inlineStr">
        <is>
          <t>https://new.land.naver.com/complexes/6998?tab=detail&amp;rf=Y</t>
        </is>
      </c>
      <c r="AA18" s="0" t="inlineStr">
        <is>
          <t>충청북도 청주시 상당구 금천동 122-15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상당구</t>
        </is>
      </c>
      <c r="AE18" s="0" t="inlineStr">
        <is>
          <t>금천동</t>
        </is>
      </c>
      <c r="AG18" s="0" t="inlineStr">
        <is>
          <t>충청북도 청주시 상당구 쇠내로126번길 40</t>
        </is>
      </c>
      <c r="AH18" s="0" t="n">
        <v>0</v>
      </c>
      <c r="AI18" s="0" t="n">
        <v>0</v>
      </c>
      <c r="AJ18" s="0" t="n">
        <v>0</v>
      </c>
      <c r="AK18" s="0" t="n">
        <v>149</v>
      </c>
      <c r="AL18" s="0" t="n">
        <v>0.5</v>
      </c>
    </row>
    <row r="19">
      <c r="A19" s="0" t="inlineStr">
        <is>
          <t>[금천동]</t>
        </is>
      </c>
      <c r="B19" s="0" t="n">
        <v>6998</v>
      </c>
      <c r="C19" s="0" t="n">
        <v>2</v>
      </c>
      <c r="D19" s="0" t="inlineStr">
        <is>
          <t>삼일</t>
        </is>
      </c>
      <c r="E19" s="0" t="inlineStr">
        <is>
          <t>1987.11.</t>
        </is>
      </c>
      <c r="F19" s="0" t="n">
        <v>299</v>
      </c>
      <c r="G19" s="0" t="n">
        <v>21.65</v>
      </c>
      <c r="H19" s="0" t="n">
        <v>71.59</v>
      </c>
      <c r="I19" s="0" t="n">
        <v>18.06</v>
      </c>
      <c r="J19" s="0" t="n">
        <v>59.72</v>
      </c>
      <c r="K19" s="0" t="n">
        <v>28</v>
      </c>
      <c r="T19" s="0" t="n">
        <v>3</v>
      </c>
      <c r="U19" s="0" t="n">
        <v>1</v>
      </c>
      <c r="V19" s="0" t="inlineStr">
        <is>
          <t>계단식</t>
        </is>
      </c>
      <c r="W19" s="0" t="n">
        <v>71</v>
      </c>
      <c r="X19" s="0" t="n">
        <v>6</v>
      </c>
      <c r="Y19" s="0" t="n">
        <v>4</v>
      </c>
      <c r="Z19" s="0" t="inlineStr">
        <is>
          <t>https://new.land.naver.com/complexes/6998?tab=detail&amp;rf=Y</t>
        </is>
      </c>
      <c r="AA19" s="0" t="inlineStr">
        <is>
          <t>충청북도 청주시 상당구 금천동 122-15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상당구</t>
        </is>
      </c>
      <c r="AE19" s="0" t="inlineStr">
        <is>
          <t>금천동</t>
        </is>
      </c>
      <c r="AG19" s="0" t="inlineStr">
        <is>
          <t>충청북도 청주시 상당구 쇠내로126번길 40</t>
        </is>
      </c>
      <c r="AH19" s="0" t="n">
        <v>0</v>
      </c>
      <c r="AI19" s="0" t="n">
        <v>0</v>
      </c>
      <c r="AJ19" s="0" t="n">
        <v>0</v>
      </c>
      <c r="AK19" s="0" t="n">
        <v>149</v>
      </c>
      <c r="AL19" s="0" t="n">
        <v>0.5</v>
      </c>
    </row>
    <row r="20">
      <c r="A20" s="0" t="inlineStr">
        <is>
          <t>[금천동]</t>
        </is>
      </c>
      <c r="B20" s="0" t="n">
        <v>6998</v>
      </c>
      <c r="C20" s="0" t="n">
        <v>3</v>
      </c>
      <c r="D20" s="0" t="inlineStr">
        <is>
          <t>삼일</t>
        </is>
      </c>
      <c r="E20" s="0" t="inlineStr">
        <is>
          <t>1987.11.</t>
        </is>
      </c>
      <c r="F20" s="0" t="n">
        <v>299</v>
      </c>
      <c r="G20" s="0" t="n">
        <v>23.64</v>
      </c>
      <c r="H20" s="0" t="n">
        <v>78.16</v>
      </c>
      <c r="I20" s="0" t="n">
        <v>18.1</v>
      </c>
      <c r="J20" s="0" t="n">
        <v>59.84</v>
      </c>
      <c r="K20" s="0" t="n">
        <v>266</v>
      </c>
      <c r="T20" s="0" t="n">
        <v>3</v>
      </c>
      <c r="U20" s="0" t="n">
        <v>1</v>
      </c>
      <c r="V20" s="0" t="inlineStr">
        <is>
          <t>계단식</t>
        </is>
      </c>
      <c r="W20" s="0" t="n">
        <v>78</v>
      </c>
      <c r="X20" s="0" t="n">
        <v>6</v>
      </c>
      <c r="Y20" s="0" t="n">
        <v>4</v>
      </c>
      <c r="Z20" s="0" t="inlineStr">
        <is>
          <t>https://new.land.naver.com/complexes/6998?tab=detail&amp;rf=Y</t>
        </is>
      </c>
      <c r="AA20" s="0" t="inlineStr">
        <is>
          <t>충청북도 청주시 상당구 금천동 122-15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상당구</t>
        </is>
      </c>
      <c r="AE20" s="0" t="inlineStr">
        <is>
          <t>금천동</t>
        </is>
      </c>
      <c r="AG20" s="0" t="inlineStr">
        <is>
          <t>충청북도 청주시 상당구 쇠내로126번길 40</t>
        </is>
      </c>
      <c r="AH20" s="0" t="n">
        <v>0</v>
      </c>
      <c r="AI20" s="0" t="n">
        <v>0</v>
      </c>
      <c r="AJ20" s="0" t="n">
        <v>0</v>
      </c>
      <c r="AK20" s="0" t="n">
        <v>149</v>
      </c>
      <c r="AL20" s="0" t="n">
        <v>0.5</v>
      </c>
    </row>
    <row r="21">
      <c r="A21" s="0" t="inlineStr">
        <is>
          <t>[금천동]</t>
        </is>
      </c>
      <c r="B21" s="0" t="n">
        <v>105393</v>
      </c>
      <c r="C21" s="0" t="n">
        <v>1</v>
      </c>
      <c r="D21" s="0" t="inlineStr">
        <is>
          <t>장자마을7단지부영</t>
        </is>
      </c>
      <c r="E21" s="0" t="inlineStr">
        <is>
          <t>2001.11.</t>
        </is>
      </c>
      <c r="F21" s="0" t="n">
        <v>725</v>
      </c>
      <c r="G21" s="0" t="n">
        <v>22.46</v>
      </c>
      <c r="H21" s="0" t="n">
        <v>74.25</v>
      </c>
      <c r="I21" s="0" t="n">
        <v>14.63</v>
      </c>
      <c r="J21" s="0" t="n">
        <v>48.38</v>
      </c>
      <c r="K21" s="0" t="n">
        <v>350</v>
      </c>
      <c r="T21" s="0" t="n">
        <v>2</v>
      </c>
      <c r="U21" s="0" t="n">
        <v>1</v>
      </c>
      <c r="V21" s="0" t="inlineStr">
        <is>
          <t>복도식</t>
        </is>
      </c>
      <c r="W21" s="0" t="n">
        <v>74</v>
      </c>
      <c r="X21" s="0" t="n">
        <v>15</v>
      </c>
      <c r="Y21" s="0" t="n">
        <v>11</v>
      </c>
      <c r="Z21" s="0" t="inlineStr">
        <is>
          <t>https://new.land.naver.com/complexes/105393?tab=detail&amp;rf=Y</t>
        </is>
      </c>
      <c r="AA21" s="0" t="inlineStr">
        <is>
          <t>충청북도 청주시 상당구 금천동 275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상당구</t>
        </is>
      </c>
      <c r="AE21" s="0" t="inlineStr">
        <is>
          <t>금천동</t>
        </is>
      </c>
      <c r="AG21" s="0" t="inlineStr">
        <is>
          <t>충청북도 청주시 상당구</t>
        </is>
      </c>
      <c r="AH21" s="0" t="n">
        <v>0</v>
      </c>
      <c r="AI21" s="0" t="n">
        <v>213</v>
      </c>
      <c r="AJ21" s="0" t="n">
        <v>23</v>
      </c>
      <c r="AK21" s="0" t="n">
        <v>614</v>
      </c>
      <c r="AL21" s="0" t="n">
        <v>0.85</v>
      </c>
    </row>
    <row r="22">
      <c r="A22" s="0" t="inlineStr">
        <is>
          <t>[금천동]</t>
        </is>
      </c>
      <c r="B22" s="0" t="n">
        <v>105393</v>
      </c>
      <c r="C22" s="0" t="n">
        <v>2</v>
      </c>
      <c r="D22" s="0" t="inlineStr">
        <is>
          <t>장자마을7단지부영</t>
        </is>
      </c>
      <c r="E22" s="0" t="inlineStr">
        <is>
          <t>2001.11.</t>
        </is>
      </c>
      <c r="F22" s="0" t="n">
        <v>725</v>
      </c>
      <c r="G22" s="0" t="n">
        <v>25.14</v>
      </c>
      <c r="H22" s="0" t="n">
        <v>83.12</v>
      </c>
      <c r="I22" s="0" t="n">
        <v>17.93</v>
      </c>
      <c r="J22" s="0" t="n">
        <v>59.29</v>
      </c>
      <c r="K22" s="0" t="n">
        <v>375</v>
      </c>
      <c r="T22" s="0" t="n">
        <v>3</v>
      </c>
      <c r="U22" s="0" t="n">
        <v>2</v>
      </c>
      <c r="V22" s="0" t="inlineStr">
        <is>
          <t>계단식</t>
        </is>
      </c>
      <c r="W22" s="0" t="n">
        <v>83</v>
      </c>
      <c r="X22" s="0" t="n">
        <v>15</v>
      </c>
      <c r="Y22" s="0" t="n">
        <v>11</v>
      </c>
      <c r="Z22" s="0" t="inlineStr">
        <is>
          <t>https://new.land.naver.com/complexes/105393?tab=detail&amp;rf=Y</t>
        </is>
      </c>
      <c r="AA22" s="0" t="inlineStr">
        <is>
          <t>충청북도 청주시 상당구 금천동 275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상당구</t>
        </is>
      </c>
      <c r="AE22" s="0" t="inlineStr">
        <is>
          <t>금천동</t>
        </is>
      </c>
      <c r="AG22" s="0" t="inlineStr">
        <is>
          <t>충청북도 청주시 상당구</t>
        </is>
      </c>
      <c r="AH22" s="0" t="n">
        <v>0</v>
      </c>
      <c r="AI22" s="0" t="n">
        <v>213</v>
      </c>
      <c r="AJ22" s="0" t="n">
        <v>23</v>
      </c>
      <c r="AK22" s="0" t="n">
        <v>614</v>
      </c>
      <c r="AL22" s="0" t="n">
        <v>0.85</v>
      </c>
    </row>
    <row r="23">
      <c r="A23" s="0" t="inlineStr">
        <is>
          <t>[금천동]</t>
        </is>
      </c>
      <c r="B23" s="0" t="n">
        <v>7007</v>
      </c>
      <c r="C23" s="0" t="n">
        <v>1</v>
      </c>
      <c r="D23" s="0" t="inlineStr">
        <is>
          <t>풍림</t>
        </is>
      </c>
      <c r="E23" s="0" t="inlineStr">
        <is>
          <t>1992.08.</t>
        </is>
      </c>
      <c r="F23" s="0" t="n">
        <v>327</v>
      </c>
      <c r="G23" s="0" t="n">
        <v>22.06</v>
      </c>
      <c r="H23" s="0" t="n">
        <v>72.93000000000001</v>
      </c>
      <c r="I23" s="0" t="n">
        <v>17.98</v>
      </c>
      <c r="J23" s="0" t="n">
        <v>59.46</v>
      </c>
      <c r="K23" s="0" t="n">
        <v>38</v>
      </c>
      <c r="T23" s="0" t="n">
        <v>3</v>
      </c>
      <c r="U23" s="0" t="n">
        <v>1</v>
      </c>
      <c r="V23" s="0" t="inlineStr">
        <is>
          <t>계단식</t>
        </is>
      </c>
      <c r="W23" s="0" t="n">
        <v>72</v>
      </c>
      <c r="X23" s="0" t="n">
        <v>13</v>
      </c>
      <c r="Y23" s="0" t="n">
        <v>4</v>
      </c>
      <c r="Z23" s="0" t="inlineStr">
        <is>
          <t>https://new.land.naver.com/complexes/7007?tab=detail&amp;rf=Y</t>
        </is>
      </c>
      <c r="AA23" s="0" t="inlineStr">
        <is>
          <t>충청북도 청주시 상당구 금천동 106-1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상당구</t>
        </is>
      </c>
      <c r="AE23" s="0" t="inlineStr">
        <is>
          <t>금천동</t>
        </is>
      </c>
      <c r="AG23" s="0" t="inlineStr">
        <is>
          <t>충청북도 청주시 상당구 꽃산동로 36</t>
        </is>
      </c>
      <c r="AH23" s="0" t="n">
        <v>0</v>
      </c>
      <c r="AI23" s="0" t="n">
        <v>182</v>
      </c>
      <c r="AJ23" s="0" t="n">
        <v>25</v>
      </c>
      <c r="AK23" s="0" t="n">
        <v>248</v>
      </c>
      <c r="AL23" s="0" t="n">
        <v>0.76</v>
      </c>
    </row>
    <row r="24">
      <c r="A24" s="0" t="inlineStr">
        <is>
          <t>[금천동]</t>
        </is>
      </c>
      <c r="B24" s="0" t="n">
        <v>7007</v>
      </c>
      <c r="C24" s="0" t="n">
        <v>2</v>
      </c>
      <c r="D24" s="0" t="inlineStr">
        <is>
          <t>풍림</t>
        </is>
      </c>
      <c r="E24" s="0" t="inlineStr">
        <is>
          <t>1992.08.</t>
        </is>
      </c>
      <c r="F24" s="0" t="n">
        <v>327</v>
      </c>
      <c r="G24" s="0" t="n">
        <v>31.58</v>
      </c>
      <c r="H24" s="0" t="n">
        <v>104.41</v>
      </c>
      <c r="I24" s="0" t="n">
        <v>25.59</v>
      </c>
      <c r="J24" s="0" t="n">
        <v>84.62</v>
      </c>
      <c r="K24" s="0" t="n">
        <v>229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13</v>
      </c>
      <c r="Y24" s="0" t="n">
        <v>4</v>
      </c>
      <c r="Z24" s="0" t="inlineStr">
        <is>
          <t>https://new.land.naver.com/complexes/7007?tab=detail&amp;rf=Y</t>
        </is>
      </c>
      <c r="AA24" s="0" t="inlineStr">
        <is>
          <t>충청북도 청주시 상당구 금천동 106-1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상당구</t>
        </is>
      </c>
      <c r="AE24" s="0" t="inlineStr">
        <is>
          <t>금천동</t>
        </is>
      </c>
      <c r="AG24" s="0" t="inlineStr">
        <is>
          <t>충청북도 청주시 상당구 꽃산동로 36</t>
        </is>
      </c>
      <c r="AH24" s="0" t="n">
        <v>0</v>
      </c>
      <c r="AI24" s="0" t="n">
        <v>182</v>
      </c>
      <c r="AJ24" s="0" t="n">
        <v>25</v>
      </c>
      <c r="AK24" s="0" t="n">
        <v>248</v>
      </c>
      <c r="AL24" s="0" t="n">
        <v>0.76</v>
      </c>
    </row>
    <row r="25">
      <c r="A25" s="0" t="inlineStr">
        <is>
          <t>[금천동]</t>
        </is>
      </c>
      <c r="B25" s="0" t="n">
        <v>7007</v>
      </c>
      <c r="C25" s="0" t="n">
        <v>3</v>
      </c>
      <c r="D25" s="0" t="inlineStr">
        <is>
          <t>풍림</t>
        </is>
      </c>
      <c r="E25" s="0" t="inlineStr">
        <is>
          <t>1992.08.</t>
        </is>
      </c>
      <c r="F25" s="0" t="n">
        <v>327</v>
      </c>
      <c r="G25" s="0" t="n">
        <v>49.13</v>
      </c>
      <c r="H25" s="0" t="n">
        <v>162.44</v>
      </c>
      <c r="I25" s="0" t="n">
        <v>41.29</v>
      </c>
      <c r="J25" s="0" t="n">
        <v>136.51</v>
      </c>
      <c r="K25" s="0" t="n">
        <v>60</v>
      </c>
      <c r="T25" s="0" t="n">
        <v>4</v>
      </c>
      <c r="U25" s="0" t="n">
        <v>2</v>
      </c>
      <c r="V25" s="0" t="inlineStr">
        <is>
          <t>계단식</t>
        </is>
      </c>
      <c r="W25" s="0" t="n">
        <v>162</v>
      </c>
      <c r="X25" s="0" t="n">
        <v>13</v>
      </c>
      <c r="Y25" s="0" t="n">
        <v>4</v>
      </c>
      <c r="Z25" s="0" t="inlineStr">
        <is>
          <t>https://new.land.naver.com/complexes/7007?tab=detail&amp;rf=Y</t>
        </is>
      </c>
      <c r="AA25" s="0" t="inlineStr">
        <is>
          <t>충청북도 청주시 상당구 금천동 106-1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상당구</t>
        </is>
      </c>
      <c r="AE25" s="0" t="inlineStr">
        <is>
          <t>금천동</t>
        </is>
      </c>
      <c r="AG25" s="0" t="inlineStr">
        <is>
          <t>충청북도 청주시 상당구 꽃산동로 36</t>
        </is>
      </c>
      <c r="AH25" s="0" t="n">
        <v>0</v>
      </c>
      <c r="AI25" s="0" t="n">
        <v>182</v>
      </c>
      <c r="AJ25" s="0" t="n">
        <v>25</v>
      </c>
      <c r="AK25" s="0" t="n">
        <v>248</v>
      </c>
      <c r="AL25" s="0" t="n">
        <v>0.76</v>
      </c>
    </row>
    <row r="26">
      <c r="A26" s="0" t="inlineStr">
        <is>
          <t>[금천동]</t>
        </is>
      </c>
      <c r="B26" s="0" t="n">
        <v>110257</v>
      </c>
      <c r="C26" s="0" t="n">
        <v>1</v>
      </c>
      <c r="D26" s="0" t="inlineStr">
        <is>
          <t>장미</t>
        </is>
      </c>
      <c r="E26" s="0" t="inlineStr">
        <is>
          <t>1990.03.</t>
        </is>
      </c>
      <c r="F26" s="0" t="n">
        <v>70</v>
      </c>
      <c r="G26" s="0" t="n">
        <v>17.79</v>
      </c>
      <c r="H26" s="0" t="n">
        <v>58.83</v>
      </c>
      <c r="I26" s="0" t="n">
        <v>12.33</v>
      </c>
      <c r="J26" s="0" t="n">
        <v>40.77</v>
      </c>
      <c r="K26" s="0" t="n">
        <v>1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58A</t>
        </is>
      </c>
      <c r="X26" s="0" t="n">
        <v>5</v>
      </c>
      <c r="Y26" s="0" t="n">
        <v>5</v>
      </c>
      <c r="Z26" s="0" t="inlineStr">
        <is>
          <t>https://new.land.naver.com/complexes/110257?tab=detail&amp;rf=Y</t>
        </is>
      </c>
      <c r="AA26" s="0" t="inlineStr">
        <is>
          <t>충청북도 청주시 상당구 금천동 103-2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상당구</t>
        </is>
      </c>
      <c r="AE26" s="0" t="inlineStr">
        <is>
          <t>금천동</t>
        </is>
      </c>
      <c r="AG26" s="0" t="inlineStr">
        <is>
          <t>충청북도 청주시 상당구 꽃산서로8번길 16</t>
        </is>
      </c>
      <c r="AH26" s="0" t="n">
        <v>0</v>
      </c>
      <c r="AI26" s="0" t="n">
        <v>230</v>
      </c>
      <c r="AJ26" s="0" t="n">
        <v>46</v>
      </c>
      <c r="AK26" s="0" t="n">
        <v>0</v>
      </c>
      <c r="AL26" s="0" t="n">
        <v>0</v>
      </c>
    </row>
    <row r="27">
      <c r="A27" s="0" t="inlineStr">
        <is>
          <t>[금천동]</t>
        </is>
      </c>
      <c r="B27" s="0" t="n">
        <v>110257</v>
      </c>
      <c r="C27" s="0" t="n">
        <v>2</v>
      </c>
      <c r="D27" s="0" t="inlineStr">
        <is>
          <t>장미</t>
        </is>
      </c>
      <c r="E27" s="0" t="inlineStr">
        <is>
          <t>1990.03.</t>
        </is>
      </c>
      <c r="F27" s="0" t="n">
        <v>70</v>
      </c>
      <c r="G27" s="0" t="n">
        <v>18.01</v>
      </c>
      <c r="H27" s="0" t="n">
        <v>59.55</v>
      </c>
      <c r="I27" s="0" t="n">
        <v>12.55</v>
      </c>
      <c r="J27" s="0" t="n">
        <v>41.49</v>
      </c>
      <c r="K27" s="0" t="n">
        <v>4</v>
      </c>
      <c r="T27" s="0" t="n">
        <v>2</v>
      </c>
      <c r="U27" s="0" t="n">
        <v>1</v>
      </c>
      <c r="V27" s="0" t="inlineStr">
        <is>
          <t>계단식</t>
        </is>
      </c>
      <c r="W27" s="0" t="inlineStr">
        <is>
          <t>59B</t>
        </is>
      </c>
      <c r="X27" s="0" t="n">
        <v>5</v>
      </c>
      <c r="Y27" s="0" t="n">
        <v>5</v>
      </c>
      <c r="Z27" s="0" t="inlineStr">
        <is>
          <t>https://new.land.naver.com/complexes/110257?tab=detail&amp;rf=Y</t>
        </is>
      </c>
      <c r="AA27" s="0" t="inlineStr">
        <is>
          <t>충청북도 청주시 상당구 금천동 103-2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상당구</t>
        </is>
      </c>
      <c r="AE27" s="0" t="inlineStr">
        <is>
          <t>금천동</t>
        </is>
      </c>
      <c r="AG27" s="0" t="inlineStr">
        <is>
          <t>충청북도 청주시 상당구 꽃산서로8번길 16</t>
        </is>
      </c>
      <c r="AH27" s="0" t="n">
        <v>0</v>
      </c>
      <c r="AI27" s="0" t="n">
        <v>230</v>
      </c>
      <c r="AJ27" s="0" t="n">
        <v>46</v>
      </c>
      <c r="AK27" s="0" t="n">
        <v>0</v>
      </c>
      <c r="AL27" s="0" t="n">
        <v>0</v>
      </c>
    </row>
    <row r="28">
      <c r="A28" s="0" t="inlineStr">
        <is>
          <t>[금천동]</t>
        </is>
      </c>
      <c r="B28" s="0" t="n">
        <v>110257</v>
      </c>
      <c r="C28" s="0" t="n">
        <v>3</v>
      </c>
      <c r="D28" s="0" t="inlineStr">
        <is>
          <t>장미</t>
        </is>
      </c>
      <c r="E28" s="0" t="inlineStr">
        <is>
          <t>1990.03.</t>
        </is>
      </c>
      <c r="F28" s="0" t="n">
        <v>70</v>
      </c>
      <c r="G28" s="0" t="n">
        <v>23.18</v>
      </c>
      <c r="H28" s="0" t="n">
        <v>76.65000000000001</v>
      </c>
      <c r="I28" s="0" t="n">
        <v>17.72</v>
      </c>
      <c r="J28" s="0" t="n">
        <v>58.59</v>
      </c>
      <c r="K28" s="0" t="n">
        <v>13</v>
      </c>
      <c r="T28" s="0" t="n">
        <v>3</v>
      </c>
      <c r="U28" s="0" t="n">
        <v>2</v>
      </c>
      <c r="V28" s="0" t="inlineStr">
        <is>
          <t>계단식</t>
        </is>
      </c>
      <c r="W28" s="0" t="n">
        <v>76</v>
      </c>
      <c r="X28" s="0" t="n">
        <v>5</v>
      </c>
      <c r="Y28" s="0" t="n">
        <v>5</v>
      </c>
      <c r="Z28" s="0" t="inlineStr">
        <is>
          <t>https://new.land.naver.com/complexes/110257?tab=detail&amp;rf=Y</t>
        </is>
      </c>
      <c r="AA28" s="0" t="inlineStr">
        <is>
          <t>충청북도 청주시 상당구 금천동 103-2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상당구</t>
        </is>
      </c>
      <c r="AE28" s="0" t="inlineStr">
        <is>
          <t>금천동</t>
        </is>
      </c>
      <c r="AG28" s="0" t="inlineStr">
        <is>
          <t>충청북도 청주시 상당구 꽃산서로8번길 16</t>
        </is>
      </c>
      <c r="AH28" s="0" t="n">
        <v>0</v>
      </c>
      <c r="AI28" s="0" t="n">
        <v>230</v>
      </c>
      <c r="AJ28" s="0" t="n">
        <v>46</v>
      </c>
      <c r="AK28" s="0" t="n">
        <v>0</v>
      </c>
      <c r="AL28" s="0" t="n">
        <v>0</v>
      </c>
    </row>
    <row r="29">
      <c r="A29" s="0" t="inlineStr">
        <is>
          <t>[금천동]</t>
        </is>
      </c>
      <c r="B29" s="0" t="n">
        <v>110257</v>
      </c>
      <c r="C29" s="0" t="n">
        <v>4</v>
      </c>
      <c r="D29" s="0" t="inlineStr">
        <is>
          <t>장미</t>
        </is>
      </c>
      <c r="E29" s="0" t="inlineStr">
        <is>
          <t>1990.03.</t>
        </is>
      </c>
      <c r="F29" s="0" t="n">
        <v>70</v>
      </c>
      <c r="G29" s="0" t="n">
        <v>24.16</v>
      </c>
      <c r="H29" s="0" t="n">
        <v>79.89</v>
      </c>
      <c r="I29" s="0" t="n">
        <v>18.7</v>
      </c>
      <c r="J29" s="0" t="n">
        <v>61.83</v>
      </c>
      <c r="K29" s="0" t="n">
        <v>52</v>
      </c>
      <c r="T29" s="0" t="n">
        <v>3</v>
      </c>
      <c r="U29" s="0" t="n">
        <v>2</v>
      </c>
      <c r="V29" s="0" t="inlineStr">
        <is>
          <t>계단식</t>
        </is>
      </c>
      <c r="W29" s="0" t="n">
        <v>79</v>
      </c>
      <c r="X29" s="0" t="n">
        <v>5</v>
      </c>
      <c r="Y29" s="0" t="n">
        <v>5</v>
      </c>
      <c r="Z29" s="0" t="inlineStr">
        <is>
          <t>https://new.land.naver.com/complexes/110257?tab=detail&amp;rf=Y</t>
        </is>
      </c>
      <c r="AA29" s="0" t="inlineStr">
        <is>
          <t>충청북도 청주시 상당구 금천동 103-2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상당구</t>
        </is>
      </c>
      <c r="AE29" s="0" t="inlineStr">
        <is>
          <t>금천동</t>
        </is>
      </c>
      <c r="AG29" s="0" t="inlineStr">
        <is>
          <t>충청북도 청주시 상당구 꽃산서로8번길 16</t>
        </is>
      </c>
      <c r="AH29" s="0" t="n">
        <v>0</v>
      </c>
      <c r="AI29" s="0" t="n">
        <v>230</v>
      </c>
      <c r="AJ29" s="0" t="n">
        <v>46</v>
      </c>
      <c r="AK29" s="0" t="n">
        <v>0</v>
      </c>
      <c r="AL29" s="0" t="n">
        <v>0</v>
      </c>
    </row>
    <row r="30">
      <c r="A30" s="0" t="inlineStr">
        <is>
          <t>[금천동]</t>
        </is>
      </c>
      <c r="B30" s="0" t="n">
        <v>105569</v>
      </c>
      <c r="C30" s="0" t="n">
        <v>1</v>
      </c>
      <c r="D30" s="0" t="inlineStr">
        <is>
          <t>금천우미린</t>
        </is>
      </c>
      <c r="E30" s="0" t="inlineStr">
        <is>
          <t>2014.10.</t>
        </is>
      </c>
      <c r="F30" s="0" t="n">
        <v>319</v>
      </c>
      <c r="G30" s="0" t="n">
        <v>29.25</v>
      </c>
      <c r="H30" s="0" t="n">
        <v>96.72</v>
      </c>
      <c r="I30" s="0" t="n">
        <v>22.99</v>
      </c>
      <c r="J30" s="0" t="n">
        <v>76.03</v>
      </c>
      <c r="K30" s="0" t="n">
        <v>15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96B</t>
        </is>
      </c>
      <c r="X30" s="0" t="n">
        <v>15</v>
      </c>
      <c r="Y30" s="0" t="n">
        <v>14</v>
      </c>
      <c r="Z30" s="0" t="inlineStr">
        <is>
          <t>https://new.land.naver.com/complexes/105569?tab=detail&amp;rf=Y</t>
        </is>
      </c>
      <c r="AA30" s="0" t="inlineStr">
        <is>
          <t>충청북도 청주시 상당구 금천동 476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상당구</t>
        </is>
      </c>
      <c r="AE30" s="0" t="inlineStr">
        <is>
          <t>금천동</t>
        </is>
      </c>
      <c r="AG30" s="0" t="inlineStr">
        <is>
          <t>충청북도 청주시 상당구 꽃산동로 25</t>
        </is>
      </c>
      <c r="AH30" s="0" t="n">
        <v>0</v>
      </c>
      <c r="AI30" s="0" t="n">
        <v>191</v>
      </c>
      <c r="AJ30" s="0" t="n">
        <v>21</v>
      </c>
      <c r="AK30" s="0" t="n">
        <v>418</v>
      </c>
      <c r="AL30" s="0" t="n">
        <v>1.31</v>
      </c>
    </row>
    <row r="31">
      <c r="A31" s="0" t="inlineStr">
        <is>
          <t>[금천동]</t>
        </is>
      </c>
      <c r="B31" s="0" t="n">
        <v>105569</v>
      </c>
      <c r="C31" s="0" t="n">
        <v>2</v>
      </c>
      <c r="D31" s="0" t="inlineStr">
        <is>
          <t>금천우미린</t>
        </is>
      </c>
      <c r="E31" s="0" t="inlineStr">
        <is>
          <t>2014.10.</t>
        </is>
      </c>
      <c r="F31" s="0" t="n">
        <v>319</v>
      </c>
      <c r="G31" s="0" t="n">
        <v>29.57</v>
      </c>
      <c r="H31" s="0" t="n">
        <v>97.78</v>
      </c>
      <c r="I31" s="0" t="n">
        <v>23.01</v>
      </c>
      <c r="J31" s="0" t="n">
        <v>76.09</v>
      </c>
      <c r="K31" s="0" t="n">
        <v>234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97A</t>
        </is>
      </c>
      <c r="X31" s="0" t="n">
        <v>15</v>
      </c>
      <c r="Y31" s="0" t="n">
        <v>14</v>
      </c>
      <c r="Z31" s="0" t="inlineStr">
        <is>
          <t>https://new.land.naver.com/complexes/105569?tab=detail&amp;rf=Y</t>
        </is>
      </c>
      <c r="AA31" s="0" t="inlineStr">
        <is>
          <t>충청북도 청주시 상당구 금천동 476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상당구</t>
        </is>
      </c>
      <c r="AE31" s="0" t="inlineStr">
        <is>
          <t>금천동</t>
        </is>
      </c>
      <c r="AG31" s="0" t="inlineStr">
        <is>
          <t>충청북도 청주시 상당구 꽃산동로 25</t>
        </is>
      </c>
      <c r="AH31" s="0" t="n">
        <v>0</v>
      </c>
      <c r="AI31" s="0" t="n">
        <v>191</v>
      </c>
      <c r="AJ31" s="0" t="n">
        <v>21</v>
      </c>
      <c r="AK31" s="0" t="n">
        <v>418</v>
      </c>
      <c r="AL31" s="0" t="n">
        <v>1.31</v>
      </c>
    </row>
    <row r="32">
      <c r="A32" s="0" t="inlineStr">
        <is>
          <t>[금천동]</t>
        </is>
      </c>
      <c r="B32" s="0" t="n">
        <v>105569</v>
      </c>
      <c r="C32" s="0" t="n">
        <v>3</v>
      </c>
      <c r="D32" s="0" t="inlineStr">
        <is>
          <t>금천우미린</t>
        </is>
      </c>
      <c r="E32" s="0" t="inlineStr">
        <is>
          <t>2014.10.</t>
        </is>
      </c>
      <c r="F32" s="0" t="n">
        <v>319</v>
      </c>
      <c r="G32" s="0" t="n">
        <v>33.06</v>
      </c>
      <c r="H32" s="0" t="n">
        <v>109.31</v>
      </c>
      <c r="I32" s="0" t="n">
        <v>25.7</v>
      </c>
      <c r="J32" s="0" t="n">
        <v>84.97</v>
      </c>
      <c r="K32" s="0" t="n">
        <v>42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109A</t>
        </is>
      </c>
      <c r="X32" s="0" t="n">
        <v>15</v>
      </c>
      <c r="Y32" s="0" t="n">
        <v>14</v>
      </c>
      <c r="Z32" s="0" t="inlineStr">
        <is>
          <t>https://new.land.naver.com/complexes/105569?tab=detail&amp;rf=Y</t>
        </is>
      </c>
      <c r="AA32" s="0" t="inlineStr">
        <is>
          <t>충청북도 청주시 상당구 금천동 476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상당구</t>
        </is>
      </c>
      <c r="AE32" s="0" t="inlineStr">
        <is>
          <t>금천동</t>
        </is>
      </c>
      <c r="AG32" s="0" t="inlineStr">
        <is>
          <t>충청북도 청주시 상당구 꽃산동로 25</t>
        </is>
      </c>
      <c r="AH32" s="0" t="n">
        <v>0</v>
      </c>
      <c r="AI32" s="0" t="n">
        <v>191</v>
      </c>
      <c r="AJ32" s="0" t="n">
        <v>21</v>
      </c>
      <c r="AK32" s="0" t="n">
        <v>418</v>
      </c>
      <c r="AL32" s="0" t="n">
        <v>1.31</v>
      </c>
    </row>
    <row r="33">
      <c r="A33" s="0" t="inlineStr">
        <is>
          <t>[금천동]</t>
        </is>
      </c>
      <c r="B33" s="0" t="n">
        <v>105569</v>
      </c>
      <c r="C33" s="0" t="n">
        <v>4</v>
      </c>
      <c r="D33" s="0" t="inlineStr">
        <is>
          <t>금천우미린</t>
        </is>
      </c>
      <c r="E33" s="0" t="inlineStr">
        <is>
          <t>2014.10.</t>
        </is>
      </c>
      <c r="F33" s="0" t="n">
        <v>319</v>
      </c>
      <c r="G33" s="0" t="n">
        <v>33.57</v>
      </c>
      <c r="H33" s="0" t="n">
        <v>111</v>
      </c>
      <c r="I33" s="0" t="n">
        <v>25.7</v>
      </c>
      <c r="J33" s="0" t="n">
        <v>84.97</v>
      </c>
      <c r="K33" s="0" t="n">
        <v>28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111B</t>
        </is>
      </c>
      <c r="X33" s="0" t="n">
        <v>15</v>
      </c>
      <c r="Y33" s="0" t="n">
        <v>14</v>
      </c>
      <c r="Z33" s="0" t="inlineStr">
        <is>
          <t>https://new.land.naver.com/complexes/105569?tab=detail&amp;rf=Y</t>
        </is>
      </c>
      <c r="AA33" s="0" t="inlineStr">
        <is>
          <t>충청북도 청주시 상당구 금천동 476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상당구</t>
        </is>
      </c>
      <c r="AE33" s="0" t="inlineStr">
        <is>
          <t>금천동</t>
        </is>
      </c>
      <c r="AG33" s="0" t="inlineStr">
        <is>
          <t>충청북도 청주시 상당구 꽃산동로 25</t>
        </is>
      </c>
      <c r="AH33" s="0" t="n">
        <v>0</v>
      </c>
      <c r="AI33" s="0" t="n">
        <v>191</v>
      </c>
      <c r="AJ33" s="0" t="n">
        <v>21</v>
      </c>
      <c r="AK33" s="0" t="n">
        <v>418</v>
      </c>
      <c r="AL33" s="0" t="n">
        <v>1.31</v>
      </c>
    </row>
    <row r="34">
      <c r="A34" s="0" t="inlineStr">
        <is>
          <t>[금천동]</t>
        </is>
      </c>
      <c r="B34" s="0" t="n">
        <v>105992</v>
      </c>
      <c r="C34" s="0" t="n">
        <v>1</v>
      </c>
      <c r="D34" s="0" t="inlineStr">
        <is>
          <t>장자마을9단지부영</t>
        </is>
      </c>
      <c r="E34" s="0" t="inlineStr">
        <is>
          <t>2002.08.</t>
        </is>
      </c>
      <c r="F34" s="0" t="n">
        <v>456</v>
      </c>
      <c r="G34" s="0" t="n">
        <v>22.73</v>
      </c>
      <c r="H34" s="0" t="n">
        <v>75.16</v>
      </c>
      <c r="I34" s="0" t="n">
        <v>14.63</v>
      </c>
      <c r="J34" s="0" t="n">
        <v>48.38</v>
      </c>
      <c r="K34" s="0" t="n">
        <v>72</v>
      </c>
      <c r="T34" s="0" t="n">
        <v>2</v>
      </c>
      <c r="U34" s="0" t="n">
        <v>1</v>
      </c>
      <c r="V34" s="0" t="inlineStr">
        <is>
          <t>복도식</t>
        </is>
      </c>
      <c r="W34" s="0" t="n">
        <v>75</v>
      </c>
      <c r="X34" s="0" t="n">
        <v>15</v>
      </c>
      <c r="Y34" s="0" t="n">
        <v>10</v>
      </c>
      <c r="Z34" s="0" t="inlineStr">
        <is>
          <t>https://new.land.naver.com/complexes/105992?tab=detail&amp;rf=Y</t>
        </is>
      </c>
      <c r="AA34" s="0" t="inlineStr">
        <is>
          <t>충청북도 청주시 상당구 금천동 317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상당구</t>
        </is>
      </c>
      <c r="AE34" s="0" t="inlineStr">
        <is>
          <t>금천동</t>
        </is>
      </c>
      <c r="AG34" s="0" t="inlineStr">
        <is>
          <t>충청북도 청주시 상당구 중고개로 286</t>
        </is>
      </c>
      <c r="AH34" s="0" t="n">
        <v>0</v>
      </c>
      <c r="AI34" s="0" t="n">
        <v>213</v>
      </c>
      <c r="AJ34" s="0" t="n">
        <v>23</v>
      </c>
      <c r="AK34" s="0" t="n">
        <v>389</v>
      </c>
      <c r="AL34" s="0" t="n">
        <v>0.85</v>
      </c>
    </row>
    <row r="35">
      <c r="A35" s="0" t="inlineStr">
        <is>
          <t>[금천동]</t>
        </is>
      </c>
      <c r="B35" s="0" t="n">
        <v>105992</v>
      </c>
      <c r="C35" s="0" t="n">
        <v>2</v>
      </c>
      <c r="D35" s="0" t="inlineStr">
        <is>
          <t>장자마을9단지부영</t>
        </is>
      </c>
      <c r="E35" s="0" t="inlineStr">
        <is>
          <t>2002.08.</t>
        </is>
      </c>
      <c r="F35" s="0" t="n">
        <v>456</v>
      </c>
      <c r="G35" s="0" t="n">
        <v>24.97</v>
      </c>
      <c r="H35" s="0" t="n">
        <v>82.56999999999999</v>
      </c>
      <c r="I35" s="0" t="n">
        <v>17.93</v>
      </c>
      <c r="J35" s="0" t="n">
        <v>59.29</v>
      </c>
      <c r="K35" s="0" t="n">
        <v>384</v>
      </c>
      <c r="T35" s="0" t="n">
        <v>3</v>
      </c>
      <c r="U35" s="0" t="n">
        <v>2</v>
      </c>
      <c r="V35" s="0" t="inlineStr">
        <is>
          <t>복도식</t>
        </is>
      </c>
      <c r="W35" s="0" t="n">
        <v>82</v>
      </c>
      <c r="X35" s="0" t="n">
        <v>15</v>
      </c>
      <c r="Y35" s="0" t="n">
        <v>10</v>
      </c>
      <c r="Z35" s="0" t="inlineStr">
        <is>
          <t>https://new.land.naver.com/complexes/105992?tab=detail&amp;rf=Y</t>
        </is>
      </c>
      <c r="AA35" s="0" t="inlineStr">
        <is>
          <t>충청북도 청주시 상당구 금천동 317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상당구</t>
        </is>
      </c>
      <c r="AE35" s="0" t="inlineStr">
        <is>
          <t>금천동</t>
        </is>
      </c>
      <c r="AG35" s="0" t="inlineStr">
        <is>
          <t>충청북도 청주시 상당구 중고개로 286</t>
        </is>
      </c>
      <c r="AH35" s="0" t="n">
        <v>0</v>
      </c>
      <c r="AI35" s="0" t="n">
        <v>213</v>
      </c>
      <c r="AJ35" s="0" t="n">
        <v>23</v>
      </c>
      <c r="AK35" s="0" t="n">
        <v>389</v>
      </c>
      <c r="AL35" s="0" t="n">
        <v>0.85</v>
      </c>
    </row>
    <row r="36">
      <c r="A36" s="0" t="inlineStr">
        <is>
          <t>[금천동]</t>
        </is>
      </c>
      <c r="B36" s="0" t="n">
        <v>101185</v>
      </c>
      <c r="C36" s="0" t="n">
        <v>1</v>
      </c>
      <c r="D36" s="0" t="inlineStr">
        <is>
          <t>장자마을10단지부영</t>
        </is>
      </c>
      <c r="E36" s="0" t="inlineStr">
        <is>
          <t>2002.08.</t>
        </is>
      </c>
      <c r="F36" s="0" t="n">
        <v>330</v>
      </c>
      <c r="G36" s="0" t="n">
        <v>32.14</v>
      </c>
      <c r="H36" s="0" t="n">
        <v>106.25</v>
      </c>
      <c r="I36" s="0" t="n">
        <v>25.7</v>
      </c>
      <c r="J36" s="0" t="n">
        <v>84.97</v>
      </c>
      <c r="K36" s="0" t="n">
        <v>330</v>
      </c>
      <c r="T36" s="0" t="n">
        <v>3</v>
      </c>
      <c r="U36" s="0" t="n">
        <v>2</v>
      </c>
      <c r="V36" s="0" t="inlineStr">
        <is>
          <t>계단식</t>
        </is>
      </c>
      <c r="W36" s="0" t="n">
        <v>106</v>
      </c>
      <c r="X36" s="0" t="n">
        <v>15</v>
      </c>
      <c r="Y36" s="0" t="n">
        <v>7</v>
      </c>
      <c r="Z36" s="0" t="inlineStr">
        <is>
          <t>https://new.land.naver.com/complexes/101185?tab=detail&amp;rf=Y</t>
        </is>
      </c>
      <c r="AA36" s="0" t="inlineStr">
        <is>
          <t>충청북도 청주시 상당구 금천동 318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상당구</t>
        </is>
      </c>
      <c r="AE36" s="0" t="inlineStr">
        <is>
          <t>금천동</t>
        </is>
      </c>
      <c r="AG36" s="0" t="inlineStr">
        <is>
          <t>충청북도 청주시 상당구 호미로233번길 74</t>
        </is>
      </c>
      <c r="AH36" s="0" t="n">
        <v>0</v>
      </c>
      <c r="AI36" s="0" t="n">
        <v>216</v>
      </c>
      <c r="AJ36" s="0" t="n">
        <v>22</v>
      </c>
      <c r="AK36" s="0" t="n">
        <v>384</v>
      </c>
      <c r="AL36" s="0" t="n">
        <v>1.16</v>
      </c>
    </row>
    <row r="37">
      <c r="A37" s="0" t="inlineStr">
        <is>
          <t>[금천동]</t>
        </is>
      </c>
      <c r="B37" s="0" t="n">
        <v>15388</v>
      </c>
      <c r="C37" s="0" t="n">
        <v>1</v>
      </c>
      <c r="D37" s="0" t="inlineStr">
        <is>
          <t>금천경희</t>
        </is>
      </c>
      <c r="E37" s="0" t="inlineStr">
        <is>
          <t>1997.09.</t>
        </is>
      </c>
      <c r="F37" s="0" t="n">
        <v>470</v>
      </c>
      <c r="G37" s="0" t="n">
        <v>14.29</v>
      </c>
      <c r="H37" s="0" t="n">
        <v>47.26</v>
      </c>
      <c r="I37" s="0" t="n">
        <v>9.43</v>
      </c>
      <c r="J37" s="0" t="n">
        <v>31.2</v>
      </c>
      <c r="K37" s="0" t="n">
        <v>381</v>
      </c>
      <c r="T37" s="0" t="n">
        <v>1</v>
      </c>
      <c r="U37" s="0" t="n">
        <v>1</v>
      </c>
      <c r="V37" s="0" t="inlineStr">
        <is>
          <t>복도식</t>
        </is>
      </c>
      <c r="W37" s="0" t="n">
        <v>47</v>
      </c>
      <c r="X37" s="0" t="n">
        <v>15</v>
      </c>
      <c r="Y37" s="0" t="n">
        <v>9</v>
      </c>
      <c r="Z37" s="0" t="inlineStr">
        <is>
          <t>https://new.land.naver.com/complexes/15388?tab=detail&amp;rf=Y</t>
        </is>
      </c>
      <c r="AA37" s="0" t="inlineStr">
        <is>
          <t>충청북도 청주시 상당구 금천동 50-3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상당구</t>
        </is>
      </c>
      <c r="AE37" s="0" t="inlineStr">
        <is>
          <t>금천동</t>
        </is>
      </c>
      <c r="AG37" s="0" t="inlineStr">
        <is>
          <t>충청북도 청주시 상당구 꽃산동로 4-2</t>
        </is>
      </c>
      <c r="AH37" s="0" t="n">
        <v>0</v>
      </c>
      <c r="AI37" s="0" t="n">
        <v>262</v>
      </c>
      <c r="AJ37" s="0" t="n">
        <v>24</v>
      </c>
      <c r="AK37" s="0" t="n">
        <v>305</v>
      </c>
      <c r="AL37" s="0" t="n">
        <v>0.65</v>
      </c>
    </row>
    <row r="38">
      <c r="A38" s="0" t="inlineStr">
        <is>
          <t>[금천동]</t>
        </is>
      </c>
      <c r="B38" s="0" t="n">
        <v>15388</v>
      </c>
      <c r="C38" s="0" t="n">
        <v>2</v>
      </c>
      <c r="D38" s="0" t="inlineStr">
        <is>
          <t>금천경희</t>
        </is>
      </c>
      <c r="E38" s="0" t="inlineStr">
        <is>
          <t>1997.09.</t>
        </is>
      </c>
      <c r="F38" s="0" t="n">
        <v>470</v>
      </c>
      <c r="G38" s="0" t="n">
        <v>23.23</v>
      </c>
      <c r="H38" s="0" t="n">
        <v>76.8</v>
      </c>
      <c r="I38" s="0" t="n">
        <v>18.11</v>
      </c>
      <c r="J38" s="0" t="n">
        <v>59.9</v>
      </c>
      <c r="K38" s="0" t="n">
        <v>89</v>
      </c>
      <c r="T38" s="0" t="n">
        <v>3</v>
      </c>
      <c r="U38" s="0" t="n">
        <v>1</v>
      </c>
      <c r="V38" s="0" t="inlineStr">
        <is>
          <t>계단식</t>
        </is>
      </c>
      <c r="W38" s="0" t="n">
        <v>76</v>
      </c>
      <c r="X38" s="0" t="n">
        <v>15</v>
      </c>
      <c r="Y38" s="0" t="n">
        <v>9</v>
      </c>
      <c r="Z38" s="0" t="inlineStr">
        <is>
          <t>https://new.land.naver.com/complexes/15388?tab=detail&amp;rf=Y</t>
        </is>
      </c>
      <c r="AA38" s="0" t="inlineStr">
        <is>
          <t>충청북도 청주시 상당구 금천동 50-3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상당구</t>
        </is>
      </c>
      <c r="AE38" s="0" t="inlineStr">
        <is>
          <t>금천동</t>
        </is>
      </c>
      <c r="AG38" s="0" t="inlineStr">
        <is>
          <t>충청북도 청주시 상당구 꽃산동로 4-2</t>
        </is>
      </c>
      <c r="AH38" s="0" t="n">
        <v>0</v>
      </c>
      <c r="AI38" s="0" t="n">
        <v>262</v>
      </c>
      <c r="AJ38" s="0" t="n">
        <v>24</v>
      </c>
      <c r="AK38" s="0" t="n">
        <v>305</v>
      </c>
      <c r="AL38" s="0" t="n">
        <v>0.65</v>
      </c>
    </row>
    <row r="39">
      <c r="A39" s="0" t="inlineStr">
        <is>
          <t>[금천동]</t>
        </is>
      </c>
      <c r="B39" s="0" t="n">
        <v>101024</v>
      </c>
      <c r="C39" s="0" t="n">
        <v>1</v>
      </c>
      <c r="D39" s="0" t="inlineStr">
        <is>
          <t>장자마을6단지부영그린타운2차</t>
        </is>
      </c>
      <c r="E39" s="0" t="inlineStr">
        <is>
          <t>2005.11.</t>
        </is>
      </c>
      <c r="F39" s="0" t="n">
        <v>320</v>
      </c>
      <c r="G39" s="0" t="n">
        <v>35.36</v>
      </c>
      <c r="H39" s="0" t="n">
        <v>116.9</v>
      </c>
      <c r="I39" s="0" t="n">
        <v>25.67</v>
      </c>
      <c r="J39" s="0" t="n">
        <v>84.86</v>
      </c>
      <c r="K39" s="0" t="n">
        <v>320</v>
      </c>
      <c r="T39" s="0" t="n">
        <v>3</v>
      </c>
      <c r="U39" s="0" t="n">
        <v>2</v>
      </c>
      <c r="V39" s="0" t="inlineStr">
        <is>
          <t>계단식</t>
        </is>
      </c>
      <c r="W39" s="0" t="n">
        <v>116</v>
      </c>
      <c r="X39" s="0" t="n">
        <v>15</v>
      </c>
      <c r="Y39" s="0" t="n">
        <v>12</v>
      </c>
      <c r="Z39" s="0" t="inlineStr">
        <is>
          <t>https://new.land.naver.com/complexes/101024?tab=detail&amp;rf=Y</t>
        </is>
      </c>
      <c r="AA39" s="0" t="inlineStr">
        <is>
          <t>충청북도 청주시 상당구 금천동 311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상당구</t>
        </is>
      </c>
      <c r="AE39" s="0" t="inlineStr">
        <is>
          <t>금천동</t>
        </is>
      </c>
      <c r="AG39" s="0" t="inlineStr">
        <is>
          <t>충청북도 청주시 상당구 수영로 294</t>
        </is>
      </c>
      <c r="AH39" s="0" t="n">
        <v>0</v>
      </c>
      <c r="AI39" s="0" t="n">
        <v>189</v>
      </c>
      <c r="AJ39" s="0" t="n">
        <v>19</v>
      </c>
      <c r="AK39" s="0" t="n">
        <v>325</v>
      </c>
      <c r="AL39" s="0" t="n">
        <v>1.02</v>
      </c>
    </row>
    <row r="40">
      <c r="A40" s="0" t="inlineStr">
        <is>
          <t>[금천동]</t>
        </is>
      </c>
      <c r="B40" s="0" t="n">
        <v>101184</v>
      </c>
      <c r="C40" s="0" t="n">
        <v>1</v>
      </c>
      <c r="D40" s="0" t="inlineStr">
        <is>
          <t>장자마을8단지부영</t>
        </is>
      </c>
      <c r="E40" s="0" t="inlineStr">
        <is>
          <t>2002.12.</t>
        </is>
      </c>
      <c r="F40" s="0" t="n">
        <v>663</v>
      </c>
      <c r="G40" s="0" t="n">
        <v>34.29</v>
      </c>
      <c r="H40" s="0" t="n">
        <v>113.37</v>
      </c>
      <c r="I40" s="0" t="n">
        <v>25.7</v>
      </c>
      <c r="J40" s="0" t="n">
        <v>84.97</v>
      </c>
      <c r="K40" s="0" t="n">
        <v>663</v>
      </c>
      <c r="T40" s="0" t="n">
        <v>3</v>
      </c>
      <c r="U40" s="0" t="n">
        <v>2</v>
      </c>
      <c r="V40" s="0" t="inlineStr">
        <is>
          <t>계단식</t>
        </is>
      </c>
      <c r="W40" s="0" t="n">
        <v>113</v>
      </c>
      <c r="X40" s="0" t="n">
        <v>15</v>
      </c>
      <c r="Y40" s="0" t="n">
        <v>13</v>
      </c>
      <c r="Z40" s="0" t="inlineStr">
        <is>
          <t>https://new.land.naver.com/complexes/101184?tab=detail&amp;rf=Y</t>
        </is>
      </c>
      <c r="AA40" s="0" t="inlineStr">
        <is>
          <t>충청북도 청주시 상당구 금천동 320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상당구</t>
        </is>
      </c>
      <c r="AE40" s="0" t="inlineStr">
        <is>
          <t>금천동</t>
        </is>
      </c>
      <c r="AG40" s="0" t="inlineStr">
        <is>
          <t>충청북도 청주시 상당구 호미로 261-1</t>
        </is>
      </c>
      <c r="AH40" s="0" t="n">
        <v>0</v>
      </c>
      <c r="AI40" s="0" t="n">
        <v>216</v>
      </c>
      <c r="AJ40" s="0" t="n">
        <v>20</v>
      </c>
      <c r="AK40" s="0" t="n">
        <v>757</v>
      </c>
      <c r="AL40" s="0" t="n">
        <v>1.14</v>
      </c>
    </row>
    <row r="41">
      <c r="A41" s="0" t="inlineStr">
        <is>
          <t>[금천동]</t>
        </is>
      </c>
      <c r="B41" s="0" t="n">
        <v>101023</v>
      </c>
      <c r="C41" s="0" t="n">
        <v>1</v>
      </c>
      <c r="D41" s="0" t="inlineStr">
        <is>
          <t>장자마을5단지부영</t>
        </is>
      </c>
      <c r="E41" s="0" t="inlineStr">
        <is>
          <t>2003.04.</t>
        </is>
      </c>
      <c r="F41" s="0" t="n">
        <v>379</v>
      </c>
      <c r="G41" s="0" t="n">
        <v>34.5</v>
      </c>
      <c r="H41" s="0" t="n">
        <v>114.07</v>
      </c>
      <c r="I41" s="0" t="n">
        <v>25.7</v>
      </c>
      <c r="J41" s="0" t="n">
        <v>84.97</v>
      </c>
      <c r="K41" s="0" t="n">
        <v>379</v>
      </c>
      <c r="T41" s="0" t="n">
        <v>3</v>
      </c>
      <c r="U41" s="0" t="n">
        <v>2</v>
      </c>
      <c r="V41" s="0" t="inlineStr">
        <is>
          <t>계단식</t>
        </is>
      </c>
      <c r="W41" s="0" t="n">
        <v>114</v>
      </c>
      <c r="X41" s="0" t="n">
        <v>15</v>
      </c>
      <c r="Y41" s="0" t="n">
        <v>9</v>
      </c>
      <c r="Z41" s="0" t="inlineStr">
        <is>
          <t>https://new.land.naver.com/complexes/101023?tab=detail&amp;rf=Y</t>
        </is>
      </c>
      <c r="AA41" s="0" t="inlineStr">
        <is>
          <t>충청북도 청주시 상당구 금천동 312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상당구</t>
        </is>
      </c>
      <c r="AE41" s="0" t="inlineStr">
        <is>
          <t>금천동</t>
        </is>
      </c>
      <c r="AG41" s="0" t="inlineStr">
        <is>
          <t>충청북도 청주시 상당구 수영로 306</t>
        </is>
      </c>
      <c r="AH41" s="0" t="n">
        <v>0</v>
      </c>
      <c r="AI41" s="0" t="n">
        <v>203</v>
      </c>
      <c r="AJ41" s="0" t="n">
        <v>18</v>
      </c>
      <c r="AK41" s="0" t="n">
        <v>436</v>
      </c>
      <c r="AL41" s="0" t="n">
        <v>1.15</v>
      </c>
    </row>
    <row r="42">
      <c r="A42" s="0" t="inlineStr">
        <is>
          <t>[금천동]</t>
        </is>
      </c>
      <c r="B42" s="0" t="n">
        <v>6993</v>
      </c>
      <c r="C42" s="0" t="n">
        <v>1</v>
      </c>
      <c r="D42" s="0" t="inlineStr">
        <is>
          <t>금천뉴타운</t>
        </is>
      </c>
      <c r="E42" s="0" t="inlineStr">
        <is>
          <t>1993.05.</t>
        </is>
      </c>
      <c r="F42" s="0" t="n">
        <v>783</v>
      </c>
      <c r="G42" s="0" t="n">
        <v>22.56</v>
      </c>
      <c r="H42" s="0" t="n">
        <v>74.61</v>
      </c>
      <c r="I42" s="0" t="n">
        <v>18.13</v>
      </c>
      <c r="J42" s="0" t="n">
        <v>59.96</v>
      </c>
      <c r="K42" s="0" t="n">
        <v>286</v>
      </c>
      <c r="T42" s="0" t="n">
        <v>3</v>
      </c>
      <c r="U42" s="0" t="n">
        <v>1</v>
      </c>
      <c r="V42" s="0" t="inlineStr">
        <is>
          <t>계단식</t>
        </is>
      </c>
      <c r="W42" s="0" t="n">
        <v>74</v>
      </c>
      <c r="X42" s="0" t="n">
        <v>15</v>
      </c>
      <c r="Y42" s="0" t="n">
        <v>10</v>
      </c>
      <c r="Z42" s="0" t="inlineStr">
        <is>
          <t>https://new.land.naver.com/complexes/6993?tab=detail&amp;rf=Y</t>
        </is>
      </c>
      <c r="AA42" s="0" t="inlineStr">
        <is>
          <t>충청북도 청주시 상당구 금천동 77-7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상당구</t>
        </is>
      </c>
      <c r="AE42" s="0" t="inlineStr">
        <is>
          <t>금천동</t>
        </is>
      </c>
      <c r="AG42" s="0" t="inlineStr">
        <is>
          <t>충청북도 청주시 상당구 꽃산동로 41</t>
        </is>
      </c>
      <c r="AH42" s="0" t="n">
        <v>0</v>
      </c>
      <c r="AI42" s="0" t="n">
        <v>239</v>
      </c>
      <c r="AJ42" s="0" t="n">
        <v>21</v>
      </c>
      <c r="AK42" s="0" t="n">
        <v>782</v>
      </c>
      <c r="AL42" s="0" t="n">
        <v>1</v>
      </c>
    </row>
    <row r="43">
      <c r="A43" s="0" t="inlineStr">
        <is>
          <t>[금천동]</t>
        </is>
      </c>
      <c r="B43" s="0" t="n">
        <v>6993</v>
      </c>
      <c r="C43" s="0" t="n">
        <v>2</v>
      </c>
      <c r="D43" s="0" t="inlineStr">
        <is>
          <t>금천뉴타운</t>
        </is>
      </c>
      <c r="E43" s="0" t="inlineStr">
        <is>
          <t>1993.05.</t>
        </is>
      </c>
      <c r="F43" s="0" t="n">
        <v>783</v>
      </c>
      <c r="G43" s="0" t="n">
        <v>30.98</v>
      </c>
      <c r="H43" s="0" t="n">
        <v>102.44</v>
      </c>
      <c r="I43" s="0" t="n">
        <v>25.68</v>
      </c>
      <c r="J43" s="0" t="n">
        <v>84.90000000000001</v>
      </c>
      <c r="K43" s="0" t="n">
        <v>325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10</v>
      </c>
      <c r="Z43" s="0" t="inlineStr">
        <is>
          <t>https://new.land.naver.com/complexes/6993?tab=detail&amp;rf=Y</t>
        </is>
      </c>
      <c r="AA43" s="0" t="inlineStr">
        <is>
          <t>충청북도 청주시 상당구 금천동 77-7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상당구</t>
        </is>
      </c>
      <c r="AE43" s="0" t="inlineStr">
        <is>
          <t>금천동</t>
        </is>
      </c>
      <c r="AG43" s="0" t="inlineStr">
        <is>
          <t>충청북도 청주시 상당구 꽃산동로 41</t>
        </is>
      </c>
      <c r="AH43" s="0" t="n">
        <v>0</v>
      </c>
      <c r="AI43" s="0" t="n">
        <v>239</v>
      </c>
      <c r="AJ43" s="0" t="n">
        <v>21</v>
      </c>
      <c r="AK43" s="0" t="n">
        <v>782</v>
      </c>
      <c r="AL43" s="0" t="n">
        <v>1</v>
      </c>
    </row>
    <row r="44">
      <c r="A44" s="0" t="inlineStr">
        <is>
          <t>[금천동]</t>
        </is>
      </c>
      <c r="B44" s="0" t="n">
        <v>6993</v>
      </c>
      <c r="C44" s="0" t="n">
        <v>3</v>
      </c>
      <c r="D44" s="0" t="inlineStr">
        <is>
          <t>금천뉴타운</t>
        </is>
      </c>
      <c r="E44" s="0" t="inlineStr">
        <is>
          <t>1993.05.</t>
        </is>
      </c>
      <c r="F44" s="0" t="n">
        <v>783</v>
      </c>
      <c r="G44" s="0" t="n">
        <v>47.56</v>
      </c>
      <c r="H44" s="0" t="n">
        <v>157.23</v>
      </c>
      <c r="I44" s="0" t="n">
        <v>40.72</v>
      </c>
      <c r="J44" s="0" t="n">
        <v>134.64</v>
      </c>
      <c r="K44" s="0" t="n">
        <v>120</v>
      </c>
      <c r="T44" s="0" t="n">
        <v>4</v>
      </c>
      <c r="U44" s="0" t="n">
        <v>2</v>
      </c>
      <c r="V44" s="0" t="inlineStr">
        <is>
          <t>계단식</t>
        </is>
      </c>
      <c r="W44" s="0" t="n">
        <v>157</v>
      </c>
      <c r="X44" s="0" t="n">
        <v>15</v>
      </c>
      <c r="Y44" s="0" t="n">
        <v>10</v>
      </c>
      <c r="Z44" s="0" t="inlineStr">
        <is>
          <t>https://new.land.naver.com/complexes/6993?tab=detail&amp;rf=Y</t>
        </is>
      </c>
      <c r="AA44" s="0" t="inlineStr">
        <is>
          <t>충청북도 청주시 상당구 금천동 77-7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상당구</t>
        </is>
      </c>
      <c r="AE44" s="0" t="inlineStr">
        <is>
          <t>금천동</t>
        </is>
      </c>
      <c r="AG44" s="0" t="inlineStr">
        <is>
          <t>충청북도 청주시 상당구 꽃산동로 41</t>
        </is>
      </c>
      <c r="AH44" s="0" t="n">
        <v>0</v>
      </c>
      <c r="AI44" s="0" t="n">
        <v>239</v>
      </c>
      <c r="AJ44" s="0" t="n">
        <v>21</v>
      </c>
      <c r="AK44" s="0" t="n">
        <v>782</v>
      </c>
      <c r="AL44" s="0" t="n">
        <v>1</v>
      </c>
    </row>
    <row r="45">
      <c r="A45" s="0" t="inlineStr">
        <is>
          <t>[금천동]</t>
        </is>
      </c>
      <c r="B45" s="0" t="n">
        <v>6993</v>
      </c>
      <c r="C45" s="0" t="n">
        <v>4</v>
      </c>
      <c r="D45" s="0" t="inlineStr">
        <is>
          <t>금천뉴타운</t>
        </is>
      </c>
      <c r="E45" s="0" t="inlineStr">
        <is>
          <t>1993.05.</t>
        </is>
      </c>
      <c r="F45" s="0" t="n">
        <v>783</v>
      </c>
      <c r="G45" s="0" t="n">
        <v>57.52</v>
      </c>
      <c r="H45" s="0" t="n">
        <v>190.17</v>
      </c>
      <c r="I45" s="0" t="n">
        <v>49.72</v>
      </c>
      <c r="J45" s="0" t="n">
        <v>164.37</v>
      </c>
      <c r="K45" s="0" t="n">
        <v>52</v>
      </c>
      <c r="T45" s="0" t="n">
        <v>5</v>
      </c>
      <c r="U45" s="0" t="n">
        <v>2</v>
      </c>
      <c r="V45" s="0" t="inlineStr">
        <is>
          <t>계단식</t>
        </is>
      </c>
      <c r="W45" s="0" t="n">
        <v>190</v>
      </c>
      <c r="X45" s="0" t="n">
        <v>15</v>
      </c>
      <c r="Y45" s="0" t="n">
        <v>10</v>
      </c>
      <c r="Z45" s="0" t="inlineStr">
        <is>
          <t>https://new.land.naver.com/complexes/6993?tab=detail&amp;rf=Y</t>
        </is>
      </c>
      <c r="AA45" s="0" t="inlineStr">
        <is>
          <t>충청북도 청주시 상당구 금천동 77-7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상당구</t>
        </is>
      </c>
      <c r="AE45" s="0" t="inlineStr">
        <is>
          <t>금천동</t>
        </is>
      </c>
      <c r="AG45" s="0" t="inlineStr">
        <is>
          <t>충청북도 청주시 상당구 꽃산동로 41</t>
        </is>
      </c>
      <c r="AH45" s="0" t="n">
        <v>0</v>
      </c>
      <c r="AI45" s="0" t="n">
        <v>239</v>
      </c>
      <c r="AJ45" s="0" t="n">
        <v>21</v>
      </c>
      <c r="AK45" s="0" t="n">
        <v>782</v>
      </c>
      <c r="AL45" s="0" t="n">
        <v>1</v>
      </c>
    </row>
    <row r="46">
      <c r="A46" s="0" t="inlineStr">
        <is>
          <t>[금천동]</t>
        </is>
      </c>
      <c r="B46" s="0" t="n">
        <v>12729</v>
      </c>
      <c r="C46" s="0" t="n">
        <v>1</v>
      </c>
      <c r="D46" s="0" t="inlineStr">
        <is>
          <t>효성1차</t>
        </is>
      </c>
      <c r="E46" s="0" t="inlineStr">
        <is>
          <t>1998.08.</t>
        </is>
      </c>
      <c r="F46" s="0" t="n">
        <v>495</v>
      </c>
      <c r="G46" s="0" t="n">
        <v>11.83</v>
      </c>
      <c r="H46" s="0" t="n">
        <v>39.11</v>
      </c>
      <c r="I46" s="0" t="n">
        <v>8.25</v>
      </c>
      <c r="J46" s="0" t="n">
        <v>27.29</v>
      </c>
      <c r="K46" s="0" t="n">
        <v>300</v>
      </c>
      <c r="T46" s="0" t="n">
        <v>1</v>
      </c>
      <c r="U46" s="0" t="n">
        <v>1</v>
      </c>
      <c r="V46" s="0" t="inlineStr">
        <is>
          <t>복도식</t>
        </is>
      </c>
      <c r="W46" s="0" t="n">
        <v>39</v>
      </c>
      <c r="X46" s="0" t="n">
        <v>15</v>
      </c>
      <c r="Y46" s="0" t="n">
        <v>15</v>
      </c>
      <c r="Z46" s="0" t="inlineStr">
        <is>
          <t>https://new.land.naver.com/complexes/12729?tab=detail&amp;rf=Y</t>
        </is>
      </c>
      <c r="AA46" s="0" t="inlineStr">
        <is>
          <t>충청북도 청주시 상당구 금천동 124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상당구</t>
        </is>
      </c>
      <c r="AE46" s="0" t="inlineStr">
        <is>
          <t>금천동</t>
        </is>
      </c>
      <c r="AG46" s="0" t="inlineStr">
        <is>
          <t>충청북도 청주시 상당구 수영로 204</t>
        </is>
      </c>
      <c r="AH46" s="0" t="n">
        <v>0</v>
      </c>
      <c r="AI46" s="0" t="n">
        <v>253</v>
      </c>
      <c r="AJ46" s="0" t="n">
        <v>30</v>
      </c>
      <c r="AK46" s="0" t="n">
        <v>410</v>
      </c>
      <c r="AL46" s="0" t="n">
        <v>0.83</v>
      </c>
    </row>
    <row r="47">
      <c r="A47" s="0" t="inlineStr">
        <is>
          <t>[금천동]</t>
        </is>
      </c>
      <c r="B47" s="0" t="n">
        <v>12729</v>
      </c>
      <c r="C47" s="0" t="n">
        <v>2</v>
      </c>
      <c r="D47" s="0" t="inlineStr">
        <is>
          <t>효성1차</t>
        </is>
      </c>
      <c r="E47" s="0" t="inlineStr">
        <is>
          <t>1998.08.</t>
        </is>
      </c>
      <c r="F47" s="0" t="n">
        <v>495</v>
      </c>
      <c r="G47" s="0" t="n">
        <v>25.96</v>
      </c>
      <c r="H47" s="0" t="n">
        <v>85.84999999999999</v>
      </c>
      <c r="I47" s="0" t="n">
        <v>18.11</v>
      </c>
      <c r="J47" s="0" t="n">
        <v>59.9</v>
      </c>
      <c r="K47" s="0" t="n">
        <v>45</v>
      </c>
      <c r="T47" s="0" t="n">
        <v>3</v>
      </c>
      <c r="U47" s="0" t="n">
        <v>1</v>
      </c>
      <c r="V47" s="0" t="inlineStr">
        <is>
          <t>복도식</t>
        </is>
      </c>
      <c r="W47" s="0" t="n">
        <v>85</v>
      </c>
      <c r="X47" s="0" t="n">
        <v>15</v>
      </c>
      <c r="Y47" s="0" t="n">
        <v>15</v>
      </c>
      <c r="Z47" s="0" t="inlineStr">
        <is>
          <t>https://new.land.naver.com/complexes/12729?tab=detail&amp;rf=Y</t>
        </is>
      </c>
      <c r="AA47" s="0" t="inlineStr">
        <is>
          <t>충청북도 청주시 상당구 금천동 124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상당구</t>
        </is>
      </c>
      <c r="AE47" s="0" t="inlineStr">
        <is>
          <t>금천동</t>
        </is>
      </c>
      <c r="AG47" s="0" t="inlineStr">
        <is>
          <t>충청북도 청주시 상당구 수영로 204</t>
        </is>
      </c>
      <c r="AH47" s="0" t="n">
        <v>0</v>
      </c>
      <c r="AI47" s="0" t="n">
        <v>253</v>
      </c>
      <c r="AJ47" s="0" t="n">
        <v>30</v>
      </c>
      <c r="AK47" s="0" t="n">
        <v>410</v>
      </c>
      <c r="AL47" s="0" t="n">
        <v>0.83</v>
      </c>
    </row>
    <row r="48">
      <c r="A48" s="0" t="inlineStr">
        <is>
          <t>[금천동]</t>
        </is>
      </c>
      <c r="B48" s="0" t="n">
        <v>12729</v>
      </c>
      <c r="C48" s="0" t="n">
        <v>3</v>
      </c>
      <c r="D48" s="0" t="inlineStr">
        <is>
          <t>효성1차</t>
        </is>
      </c>
      <c r="E48" s="0" t="inlineStr">
        <is>
          <t>1998.08.</t>
        </is>
      </c>
      <c r="F48" s="0" t="n">
        <v>495</v>
      </c>
      <c r="G48" s="0" t="n">
        <v>31.32</v>
      </c>
      <c r="H48" s="0" t="n">
        <v>103.55</v>
      </c>
      <c r="I48" s="0" t="n">
        <v>25.7</v>
      </c>
      <c r="J48" s="0" t="n">
        <v>84.98999999999999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103</v>
      </c>
      <c r="X48" s="0" t="n">
        <v>15</v>
      </c>
      <c r="Y48" s="0" t="n">
        <v>15</v>
      </c>
      <c r="Z48" s="0" t="inlineStr">
        <is>
          <t>https://new.land.naver.com/complexes/12729?tab=detail&amp;rf=Y</t>
        </is>
      </c>
      <c r="AA48" s="0" t="inlineStr">
        <is>
          <t>충청북도 청주시 상당구 금천동 124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상당구</t>
        </is>
      </c>
      <c r="AE48" s="0" t="inlineStr">
        <is>
          <t>금천동</t>
        </is>
      </c>
      <c r="AG48" s="0" t="inlineStr">
        <is>
          <t>충청북도 청주시 상당구 수영로 204</t>
        </is>
      </c>
      <c r="AH48" s="0" t="n">
        <v>0</v>
      </c>
      <c r="AI48" s="0" t="n">
        <v>253</v>
      </c>
      <c r="AJ48" s="0" t="n">
        <v>30</v>
      </c>
      <c r="AK48" s="0" t="n">
        <v>410</v>
      </c>
      <c r="AL48" s="0" t="n">
        <v>0.83</v>
      </c>
    </row>
    <row r="49">
      <c r="A49" s="0" t="inlineStr">
        <is>
          <t>[금천동]</t>
        </is>
      </c>
      <c r="B49" s="0" t="n">
        <v>113384</v>
      </c>
      <c r="C49" s="0" t="n">
        <v>1</v>
      </c>
      <c r="D49" s="0" t="inlineStr">
        <is>
          <t>진주</t>
        </is>
      </c>
      <c r="E49" s="0" t="inlineStr">
        <is>
          <t>1984.01.</t>
        </is>
      </c>
      <c r="F49" s="0" t="n">
        <v>120</v>
      </c>
      <c r="G49" s="0" t="n">
        <v>20.47</v>
      </c>
      <c r="H49" s="0" t="n">
        <v>67.68000000000001</v>
      </c>
      <c r="I49" s="0" t="n">
        <v>18.73</v>
      </c>
      <c r="J49" s="0" t="n">
        <v>61.92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67</v>
      </c>
      <c r="X49" s="0" t="n">
        <v>5</v>
      </c>
      <c r="Y49" s="0" t="n">
        <v>5</v>
      </c>
      <c r="Z49" s="0" t="inlineStr">
        <is>
          <t>https://new.land.naver.com/complexes/113384?tab=detail&amp;rf=Y</t>
        </is>
      </c>
      <c r="AA49" s="0" t="inlineStr">
        <is>
          <t>충청북도 청주시 상당구 금천동 167-3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상당구</t>
        </is>
      </c>
      <c r="AE49" s="0" t="inlineStr">
        <is>
          <t>금천동</t>
        </is>
      </c>
      <c r="AG49" s="0" t="inlineStr">
        <is>
          <t>충청북도 청주시 상당구 단재로 55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[금천동]</t>
        </is>
      </c>
      <c r="B50" s="0" t="n">
        <v>113384</v>
      </c>
      <c r="C50" s="0" t="n">
        <v>2</v>
      </c>
      <c r="D50" s="0" t="inlineStr">
        <is>
          <t>진주</t>
        </is>
      </c>
      <c r="E50" s="0" t="inlineStr">
        <is>
          <t>1984.01.</t>
        </is>
      </c>
      <c r="F50" s="0" t="n">
        <v>120</v>
      </c>
      <c r="G50" s="0" t="n">
        <v>21.24</v>
      </c>
      <c r="H50" s="0" t="n">
        <v>70.23</v>
      </c>
      <c r="I50" s="0" t="n">
        <v>17.07</v>
      </c>
      <c r="J50" s="0" t="n">
        <v>56.43</v>
      </c>
      <c r="K50" s="0" t="n">
        <v>50</v>
      </c>
      <c r="T50" s="0" t="n">
        <v>3</v>
      </c>
      <c r="U50" s="0" t="n">
        <v>2</v>
      </c>
      <c r="V50" s="0" t="inlineStr">
        <is>
          <t>계단식</t>
        </is>
      </c>
      <c r="W50" s="0" t="n">
        <v>70</v>
      </c>
      <c r="X50" s="0" t="n">
        <v>5</v>
      </c>
      <c r="Y50" s="0" t="n">
        <v>5</v>
      </c>
      <c r="Z50" s="0" t="inlineStr">
        <is>
          <t>https://new.land.naver.com/complexes/113384?tab=detail&amp;rf=Y</t>
        </is>
      </c>
      <c r="AA50" s="0" t="inlineStr">
        <is>
          <t>충청북도 청주시 상당구 금천동 167-3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상당구</t>
        </is>
      </c>
      <c r="AE50" s="0" t="inlineStr">
        <is>
          <t>금천동</t>
        </is>
      </c>
      <c r="AG50" s="0" t="inlineStr">
        <is>
          <t>충청북도 청주시 상당구 단재로 55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[금천동]</t>
        </is>
      </c>
      <c r="B51" s="0" t="n">
        <v>113384</v>
      </c>
      <c r="C51" s="0" t="n">
        <v>3</v>
      </c>
      <c r="D51" s="0" t="inlineStr">
        <is>
          <t>진주</t>
        </is>
      </c>
      <c r="E51" s="0" t="inlineStr">
        <is>
          <t>1984.01.</t>
        </is>
      </c>
      <c r="F51" s="0" t="n">
        <v>120</v>
      </c>
      <c r="G51" s="0" t="n">
        <v>21.67</v>
      </c>
      <c r="H51" s="0" t="n">
        <v>71.64</v>
      </c>
      <c r="I51" s="0" t="n">
        <v>19.92</v>
      </c>
      <c r="J51" s="0" t="n">
        <v>65.88</v>
      </c>
      <c r="K51" s="0" t="n">
        <v>39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71B</t>
        </is>
      </c>
      <c r="X51" s="0" t="n">
        <v>5</v>
      </c>
      <c r="Y51" s="0" t="n">
        <v>5</v>
      </c>
      <c r="Z51" s="0" t="inlineStr">
        <is>
          <t>https://new.land.naver.com/complexes/113384?tab=detail&amp;rf=Y</t>
        </is>
      </c>
      <c r="AA51" s="0" t="inlineStr">
        <is>
          <t>충청북도 청주시 상당구 금천동 167-3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상당구</t>
        </is>
      </c>
      <c r="AE51" s="0" t="inlineStr">
        <is>
          <t>금천동</t>
        </is>
      </c>
      <c r="AG51" s="0" t="inlineStr">
        <is>
          <t>충청북도 청주시 상당구 단재로 55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[금천동]</t>
        </is>
      </c>
      <c r="B52" s="0" t="n">
        <v>113384</v>
      </c>
      <c r="C52" s="0" t="n">
        <v>4</v>
      </c>
      <c r="D52" s="0" t="inlineStr">
        <is>
          <t>진주</t>
        </is>
      </c>
      <c r="E52" s="0" t="inlineStr">
        <is>
          <t>1984.01.</t>
        </is>
      </c>
      <c r="F52" s="0" t="n">
        <v>120</v>
      </c>
      <c r="G52" s="0" t="n">
        <v>21.95</v>
      </c>
      <c r="H52" s="0" t="n">
        <v>72.56999999999999</v>
      </c>
      <c r="I52" s="0" t="n">
        <v>17.66</v>
      </c>
      <c r="J52" s="0" t="n">
        <v>58.41</v>
      </c>
      <c r="K52" s="0" t="n">
        <v>30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72A</t>
        </is>
      </c>
      <c r="X52" s="0" t="n">
        <v>5</v>
      </c>
      <c r="Y52" s="0" t="n">
        <v>5</v>
      </c>
      <c r="Z52" s="0" t="inlineStr">
        <is>
          <t>https://new.land.naver.com/complexes/113384?tab=detail&amp;rf=Y</t>
        </is>
      </c>
      <c r="AA52" s="0" t="inlineStr">
        <is>
          <t>충청북도 청주시 상당구 금천동 167-3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상당구</t>
        </is>
      </c>
      <c r="AE52" s="0" t="inlineStr">
        <is>
          <t>금천동</t>
        </is>
      </c>
      <c r="AG52" s="0" t="inlineStr">
        <is>
          <t>충청북도 청주시 상당구 단재로 55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[금천동]</t>
        </is>
      </c>
      <c r="B53" s="0" t="n">
        <v>7004</v>
      </c>
      <c r="C53" s="0" t="n">
        <v>1</v>
      </c>
      <c r="D53" s="0" t="inlineStr">
        <is>
          <t>양지</t>
        </is>
      </c>
      <c r="E53" s="0" t="inlineStr">
        <is>
          <t>1990.03.</t>
        </is>
      </c>
      <c r="F53" s="0" t="n">
        <v>100</v>
      </c>
      <c r="G53" s="0" t="n">
        <v>15.99</v>
      </c>
      <c r="H53" s="0" t="n">
        <v>52.87</v>
      </c>
      <c r="I53" s="0" t="n">
        <v>14.23</v>
      </c>
      <c r="J53" s="0" t="n">
        <v>47.07</v>
      </c>
      <c r="K53" s="0" t="n">
        <v>60</v>
      </c>
      <c r="T53" s="0" t="n">
        <v>2</v>
      </c>
      <c r="U53" s="0" t="n">
        <v>1</v>
      </c>
      <c r="V53" s="0" t="inlineStr">
        <is>
          <t>계단식</t>
        </is>
      </c>
      <c r="W53" s="0" t="n">
        <v>52</v>
      </c>
      <c r="X53" s="0" t="n">
        <v>5</v>
      </c>
      <c r="Y53" s="0" t="n">
        <v>5</v>
      </c>
      <c r="Z53" s="0" t="inlineStr">
        <is>
          <t>https://new.land.naver.com/complexes/7004?tab=detail&amp;rf=Y</t>
        </is>
      </c>
      <c r="AA53" s="0" t="inlineStr">
        <is>
          <t>충청북도 청주시 상당구 금천동 70-1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상당구</t>
        </is>
      </c>
      <c r="AE53" s="0" t="inlineStr">
        <is>
          <t>금천동</t>
        </is>
      </c>
      <c r="AG53" s="0" t="inlineStr">
        <is>
          <t>충청북도 청주시 상당구 꽃산동로 13-1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[금천동]</t>
        </is>
      </c>
      <c r="B54" s="0" t="n">
        <v>7004</v>
      </c>
      <c r="C54" s="0" t="n">
        <v>2</v>
      </c>
      <c r="D54" s="0" t="inlineStr">
        <is>
          <t>양지</t>
        </is>
      </c>
      <c r="E54" s="0" t="inlineStr">
        <is>
          <t>1990.03.</t>
        </is>
      </c>
      <c r="F54" s="0" t="n">
        <v>100</v>
      </c>
      <c r="G54" s="0" t="n">
        <v>16.86</v>
      </c>
      <c r="H54" s="0" t="n">
        <v>55.76</v>
      </c>
      <c r="I54" s="0" t="n">
        <v>15.08</v>
      </c>
      <c r="J54" s="0" t="n">
        <v>49.86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55</v>
      </c>
      <c r="X54" s="0" t="n">
        <v>5</v>
      </c>
      <c r="Y54" s="0" t="n">
        <v>5</v>
      </c>
      <c r="Z54" s="0" t="inlineStr">
        <is>
          <t>https://new.land.naver.com/complexes/7004?tab=detail&amp;rf=Y</t>
        </is>
      </c>
      <c r="AA54" s="0" t="inlineStr">
        <is>
          <t>충청북도 청주시 상당구 금천동 70-1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상당구</t>
        </is>
      </c>
      <c r="AE54" s="0" t="inlineStr">
        <is>
          <t>금천동</t>
        </is>
      </c>
      <c r="AG54" s="0" t="inlineStr">
        <is>
          <t>충청북도 청주시 상당구 꽃산동로 13-1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[금천동]</t>
        </is>
      </c>
      <c r="B55" s="0" t="n">
        <v>117643</v>
      </c>
      <c r="C55" s="0" t="n">
        <v>1</v>
      </c>
      <c r="D55" s="0" t="inlineStr">
        <is>
          <t>청주금천센트럴파크스타힐스</t>
        </is>
      </c>
      <c r="E55" s="0" t="inlineStr">
        <is>
          <t>2020.11.</t>
        </is>
      </c>
      <c r="F55" s="0" t="n">
        <v>749</v>
      </c>
      <c r="G55" s="0" t="n">
        <v>27.99</v>
      </c>
      <c r="H55" s="0" t="n">
        <v>92.56</v>
      </c>
      <c r="I55" s="0" t="n">
        <v>20.49</v>
      </c>
      <c r="J55" s="0" t="n">
        <v>67.73999999999999</v>
      </c>
      <c r="K55" s="0" t="n">
        <v>272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92A</t>
        </is>
      </c>
      <c r="X55" s="0" t="n">
        <v>29</v>
      </c>
      <c r="Y55" s="0" t="n">
        <v>20</v>
      </c>
      <c r="Z55" s="0" t="inlineStr">
        <is>
          <t>https://new.land.naver.com/complexes/117643?tab=detail&amp;rf=Y</t>
        </is>
      </c>
      <c r="AA55" s="0" t="inlineStr">
        <is>
          <t>충청북도 청주시 상당구 금천동 477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상당구</t>
        </is>
      </c>
      <c r="AE55" s="0" t="inlineStr">
        <is>
          <t>금천동</t>
        </is>
      </c>
      <c r="AG55" s="0" t="inlineStr">
        <is>
          <t>충청북도 청주시 상당구 쇠내로 48</t>
        </is>
      </c>
      <c r="AH55" s="0" t="n">
        <v>0</v>
      </c>
      <c r="AI55" s="0" t="n">
        <v>228</v>
      </c>
      <c r="AJ55" s="0" t="n">
        <v>13</v>
      </c>
      <c r="AK55" s="0" t="n">
        <v>1045</v>
      </c>
      <c r="AL55" s="0" t="n">
        <v>1.4</v>
      </c>
    </row>
    <row r="56">
      <c r="A56" s="0" t="inlineStr">
        <is>
          <t>[금천동]</t>
        </is>
      </c>
      <c r="B56" s="0" t="n">
        <v>117643</v>
      </c>
      <c r="C56" s="0" t="n">
        <v>2</v>
      </c>
      <c r="D56" s="0" t="inlineStr">
        <is>
          <t>청주금천센트럴파크스타힐스</t>
        </is>
      </c>
      <c r="E56" s="0" t="inlineStr">
        <is>
          <t>2020.11.</t>
        </is>
      </c>
      <c r="F56" s="0" t="n">
        <v>749</v>
      </c>
      <c r="G56" s="0" t="n">
        <v>27.99</v>
      </c>
      <c r="H56" s="0" t="n">
        <v>92.56</v>
      </c>
      <c r="I56" s="0" t="n">
        <v>20.49</v>
      </c>
      <c r="J56" s="0" t="n">
        <v>67.73999999999999</v>
      </c>
      <c r="K56" s="0" t="n">
        <v>94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92B</t>
        </is>
      </c>
      <c r="X56" s="0" t="n">
        <v>29</v>
      </c>
      <c r="Y56" s="0" t="n">
        <v>20</v>
      </c>
      <c r="Z56" s="0" t="inlineStr">
        <is>
          <t>https://new.land.naver.com/complexes/117643?tab=detail&amp;rf=Y</t>
        </is>
      </c>
      <c r="AA56" s="0" t="inlineStr">
        <is>
          <t>충청북도 청주시 상당구 금천동 477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상당구</t>
        </is>
      </c>
      <c r="AE56" s="0" t="inlineStr">
        <is>
          <t>금천동</t>
        </is>
      </c>
      <c r="AG56" s="0" t="inlineStr">
        <is>
          <t>충청북도 청주시 상당구 쇠내로 48</t>
        </is>
      </c>
      <c r="AH56" s="0" t="n">
        <v>0</v>
      </c>
      <c r="AI56" s="0" t="n">
        <v>228</v>
      </c>
      <c r="AJ56" s="0" t="n">
        <v>13</v>
      </c>
      <c r="AK56" s="0" t="n">
        <v>1045</v>
      </c>
      <c r="AL56" s="0" t="n">
        <v>1.4</v>
      </c>
    </row>
    <row r="57">
      <c r="A57" s="0" t="inlineStr">
        <is>
          <t>[금천동]</t>
        </is>
      </c>
      <c r="B57" s="0" t="n">
        <v>117643</v>
      </c>
      <c r="C57" s="0" t="n">
        <v>3</v>
      </c>
      <c r="D57" s="0" t="inlineStr">
        <is>
          <t>청주금천센트럴파크스타힐스</t>
        </is>
      </c>
      <c r="E57" s="0" t="inlineStr">
        <is>
          <t>2020.11.</t>
        </is>
      </c>
      <c r="F57" s="0" t="n">
        <v>749</v>
      </c>
      <c r="G57" s="0" t="n">
        <v>31.52</v>
      </c>
      <c r="H57" s="0" t="n">
        <v>104.21</v>
      </c>
      <c r="I57" s="0" t="n">
        <v>23.25</v>
      </c>
      <c r="J57" s="0" t="n">
        <v>76.87</v>
      </c>
      <c r="K57" s="0" t="n">
        <v>54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104A</t>
        </is>
      </c>
      <c r="X57" s="0" t="n">
        <v>29</v>
      </c>
      <c r="Y57" s="0" t="n">
        <v>20</v>
      </c>
      <c r="Z57" s="0" t="inlineStr">
        <is>
          <t>https://new.land.naver.com/complexes/117643?tab=detail&amp;rf=Y</t>
        </is>
      </c>
      <c r="AA57" s="0" t="inlineStr">
        <is>
          <t>충청북도 청주시 상당구 금천동 477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상당구</t>
        </is>
      </c>
      <c r="AE57" s="0" t="inlineStr">
        <is>
          <t>금천동</t>
        </is>
      </c>
      <c r="AG57" s="0" t="inlineStr">
        <is>
          <t>충청북도 청주시 상당구 쇠내로 48</t>
        </is>
      </c>
      <c r="AH57" s="0" t="n">
        <v>0</v>
      </c>
      <c r="AI57" s="0" t="n">
        <v>228</v>
      </c>
      <c r="AJ57" s="0" t="n">
        <v>13</v>
      </c>
      <c r="AK57" s="0" t="n">
        <v>1045</v>
      </c>
      <c r="AL57" s="0" t="n">
        <v>1.4</v>
      </c>
    </row>
    <row r="58">
      <c r="A58" s="0" t="inlineStr">
        <is>
          <t>[금천동]</t>
        </is>
      </c>
      <c r="B58" s="0" t="n">
        <v>117643</v>
      </c>
      <c r="C58" s="0" t="n">
        <v>4</v>
      </c>
      <c r="D58" s="0" t="inlineStr">
        <is>
          <t>청주금천센트럴파크스타힐스</t>
        </is>
      </c>
      <c r="E58" s="0" t="inlineStr">
        <is>
          <t>2020.11.</t>
        </is>
      </c>
      <c r="F58" s="0" t="n">
        <v>749</v>
      </c>
      <c r="G58" s="0" t="n">
        <v>31.53</v>
      </c>
      <c r="H58" s="0" t="n">
        <v>104.24</v>
      </c>
      <c r="I58" s="0" t="n">
        <v>23.25</v>
      </c>
      <c r="J58" s="0" t="n">
        <v>76.87</v>
      </c>
      <c r="K58" s="0" t="n">
        <v>27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104B</t>
        </is>
      </c>
      <c r="X58" s="0" t="n">
        <v>29</v>
      </c>
      <c r="Y58" s="0" t="n">
        <v>20</v>
      </c>
      <c r="Z58" s="0" t="inlineStr">
        <is>
          <t>https://new.land.naver.com/complexes/117643?tab=detail&amp;rf=Y</t>
        </is>
      </c>
      <c r="AA58" s="0" t="inlineStr">
        <is>
          <t>충청북도 청주시 상당구 금천동 477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상당구</t>
        </is>
      </c>
      <c r="AE58" s="0" t="inlineStr">
        <is>
          <t>금천동</t>
        </is>
      </c>
      <c r="AG58" s="0" t="inlineStr">
        <is>
          <t>충청북도 청주시 상당구 쇠내로 48</t>
        </is>
      </c>
      <c r="AH58" s="0" t="n">
        <v>0</v>
      </c>
      <c r="AI58" s="0" t="n">
        <v>228</v>
      </c>
      <c r="AJ58" s="0" t="n">
        <v>13</v>
      </c>
      <c r="AK58" s="0" t="n">
        <v>1045</v>
      </c>
      <c r="AL58" s="0" t="n">
        <v>1.4</v>
      </c>
    </row>
    <row r="59">
      <c r="A59" s="0" t="inlineStr">
        <is>
          <t>[금천동]</t>
        </is>
      </c>
      <c r="B59" s="0" t="n">
        <v>117643</v>
      </c>
      <c r="C59" s="0" t="n">
        <v>5</v>
      </c>
      <c r="D59" s="0" t="inlineStr">
        <is>
          <t>청주금천센트럴파크스타힐스</t>
        </is>
      </c>
      <c r="E59" s="0" t="inlineStr">
        <is>
          <t>2020.11.</t>
        </is>
      </c>
      <c r="F59" s="0" t="n">
        <v>749</v>
      </c>
      <c r="G59" s="0" t="n">
        <v>34.62</v>
      </c>
      <c r="H59" s="0" t="n">
        <v>114.47</v>
      </c>
      <c r="I59" s="0" t="n">
        <v>25.61</v>
      </c>
      <c r="J59" s="0" t="n">
        <v>84.67</v>
      </c>
      <c r="K59" s="0" t="n">
        <v>222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114A</t>
        </is>
      </c>
      <c r="X59" s="0" t="n">
        <v>29</v>
      </c>
      <c r="Y59" s="0" t="n">
        <v>20</v>
      </c>
      <c r="Z59" s="0" t="inlineStr">
        <is>
          <t>https://new.land.naver.com/complexes/117643?tab=detail&amp;rf=Y</t>
        </is>
      </c>
      <c r="AA59" s="0" t="inlineStr">
        <is>
          <t>충청북도 청주시 상당구 금천동 477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상당구</t>
        </is>
      </c>
      <c r="AE59" s="0" t="inlineStr">
        <is>
          <t>금천동</t>
        </is>
      </c>
      <c r="AG59" s="0" t="inlineStr">
        <is>
          <t>충청북도 청주시 상당구 쇠내로 48</t>
        </is>
      </c>
      <c r="AH59" s="0" t="n">
        <v>0</v>
      </c>
      <c r="AI59" s="0" t="n">
        <v>228</v>
      </c>
      <c r="AJ59" s="0" t="n">
        <v>13</v>
      </c>
      <c r="AK59" s="0" t="n">
        <v>1045</v>
      </c>
      <c r="AL59" s="0" t="n">
        <v>1.4</v>
      </c>
    </row>
    <row r="60">
      <c r="A60" s="0" t="inlineStr">
        <is>
          <t>[금천동]</t>
        </is>
      </c>
      <c r="B60" s="0" t="n">
        <v>117643</v>
      </c>
      <c r="C60" s="0" t="n">
        <v>6</v>
      </c>
      <c r="D60" s="0" t="inlineStr">
        <is>
          <t>청주금천센트럴파크스타힐스</t>
        </is>
      </c>
      <c r="E60" s="0" t="inlineStr">
        <is>
          <t>2020.11.</t>
        </is>
      </c>
      <c r="F60" s="0" t="n">
        <v>749</v>
      </c>
      <c r="G60" s="0" t="n">
        <v>34.62</v>
      </c>
      <c r="H60" s="0" t="n">
        <v>114.47</v>
      </c>
      <c r="I60" s="0" t="n">
        <v>25.61</v>
      </c>
      <c r="J60" s="0" t="n">
        <v>84.67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114B</t>
        </is>
      </c>
      <c r="X60" s="0" t="n">
        <v>29</v>
      </c>
      <c r="Y60" s="0" t="n">
        <v>20</v>
      </c>
      <c r="Z60" s="0" t="inlineStr">
        <is>
          <t>https://new.land.naver.com/complexes/117643?tab=detail&amp;rf=Y</t>
        </is>
      </c>
      <c r="AA60" s="0" t="inlineStr">
        <is>
          <t>충청북도 청주시 상당구 금천동 477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상당구</t>
        </is>
      </c>
      <c r="AE60" s="0" t="inlineStr">
        <is>
          <t>금천동</t>
        </is>
      </c>
      <c r="AG60" s="0" t="inlineStr">
        <is>
          <t>충청북도 청주시 상당구 쇠내로 48</t>
        </is>
      </c>
      <c r="AH60" s="0" t="n">
        <v>0</v>
      </c>
      <c r="AI60" s="0" t="n">
        <v>228</v>
      </c>
      <c r="AJ60" s="0" t="n">
        <v>13</v>
      </c>
      <c r="AK60" s="0" t="n">
        <v>1045</v>
      </c>
      <c r="AL60" s="0" t="n">
        <v>1.4</v>
      </c>
    </row>
    <row r="61">
      <c r="A61" s="0" t="inlineStr">
        <is>
          <t>[금천동]</t>
        </is>
      </c>
      <c r="B61" s="0" t="n">
        <v>6997</v>
      </c>
      <c r="C61" s="0" t="n">
        <v>1</v>
      </c>
      <c r="D61" s="0" t="inlineStr">
        <is>
          <t>덕성</t>
        </is>
      </c>
      <c r="E61" s="0" t="inlineStr">
        <is>
          <t>1993.04.</t>
        </is>
      </c>
      <c r="F61" s="0" t="n">
        <v>105</v>
      </c>
      <c r="G61" s="0" t="n">
        <v>28.45</v>
      </c>
      <c r="H61" s="0" t="n">
        <v>94.05</v>
      </c>
      <c r="I61" s="0" t="n">
        <v>17.75</v>
      </c>
      <c r="J61" s="0" t="n">
        <v>58.68</v>
      </c>
      <c r="K61" s="0" t="n">
        <v>105</v>
      </c>
      <c r="T61" s="0" t="n">
        <v>3</v>
      </c>
      <c r="U61" s="0" t="n">
        <v>1</v>
      </c>
      <c r="V61" s="0" t="inlineStr">
        <is>
          <t>복도식</t>
        </is>
      </c>
      <c r="W61" s="0" t="n">
        <v>94</v>
      </c>
      <c r="X61" s="0" t="n">
        <v>15</v>
      </c>
      <c r="Y61" s="0" t="n">
        <v>15</v>
      </c>
      <c r="Z61" s="0" t="inlineStr">
        <is>
          <t>https://new.land.naver.com/complexes/6997?tab=detail&amp;rf=Y</t>
        </is>
      </c>
      <c r="AA61" s="0" t="inlineStr">
        <is>
          <t>충청북도 청주시 상당구 금천동 81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상당구</t>
        </is>
      </c>
      <c r="AE61" s="0" t="inlineStr">
        <is>
          <t>금천동</t>
        </is>
      </c>
      <c r="AG61" s="0" t="inlineStr">
        <is>
          <t>충청북도 청주시 상당구 꽃산동로 15-1</t>
        </is>
      </c>
      <c r="AH61" s="0" t="n">
        <v>0</v>
      </c>
      <c r="AI61" s="0" t="n">
        <v>260</v>
      </c>
      <c r="AJ61" s="0" t="n">
        <v>24</v>
      </c>
      <c r="AK61" s="0" t="n">
        <v>90</v>
      </c>
      <c r="AL61" s="0" t="n">
        <v>0.86</v>
      </c>
    </row>
    <row r="62">
      <c r="A62" s="0" t="inlineStr">
        <is>
          <t>[금천동]</t>
        </is>
      </c>
      <c r="B62" s="0" t="n">
        <v>101731</v>
      </c>
      <c r="C62" s="0" t="n">
        <v>1</v>
      </c>
      <c r="D62" s="0" t="inlineStr">
        <is>
          <t>장자마을1단지부영</t>
        </is>
      </c>
      <c r="E62" s="0" t="inlineStr">
        <is>
          <t>2004.06.</t>
        </is>
      </c>
      <c r="F62" s="0" t="n">
        <v>284</v>
      </c>
      <c r="G62" s="0" t="n">
        <v>32.17</v>
      </c>
      <c r="H62" s="0" t="n">
        <v>106.37</v>
      </c>
      <c r="I62" s="0" t="n">
        <v>25.7</v>
      </c>
      <c r="J62" s="0" t="n">
        <v>84.98999999999999</v>
      </c>
      <c r="K62" s="0" t="n">
        <v>284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https://new.land.naver.com/complexes/101731?tab=detail&amp;rf=Y</t>
        </is>
      </c>
      <c r="AA62" s="0" t="inlineStr">
        <is>
          <t>충청북도 청주시 상당구 금천동 325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상당구</t>
        </is>
      </c>
      <c r="AE62" s="0" t="inlineStr">
        <is>
          <t>금천동</t>
        </is>
      </c>
      <c r="AG62" s="0" t="inlineStr">
        <is>
          <t>충청북도 청주시 상당구 수영로 350</t>
        </is>
      </c>
      <c r="AH62" s="0" t="n">
        <v>0</v>
      </c>
      <c r="AI62" s="0" t="n">
        <v>215</v>
      </c>
      <c r="AJ62" s="0" t="n">
        <v>19</v>
      </c>
      <c r="AK62" s="0" t="n">
        <v>335</v>
      </c>
      <c r="AL62" s="0" t="n">
        <v>1.18</v>
      </c>
    </row>
    <row r="63">
      <c r="A63" s="0" t="inlineStr">
        <is>
          <t>[금천동]</t>
        </is>
      </c>
      <c r="B63" s="0" t="n">
        <v>22417</v>
      </c>
      <c r="C63" s="0" t="n">
        <v>1</v>
      </c>
      <c r="D63" s="0" t="inlineStr">
        <is>
          <t>장자마을3단지부영</t>
        </is>
      </c>
      <c r="E63" s="0" t="inlineStr">
        <is>
          <t>2003.09.</t>
        </is>
      </c>
      <c r="F63" s="0" t="n">
        <v>378</v>
      </c>
      <c r="G63" s="0" t="n">
        <v>32.16</v>
      </c>
      <c r="H63" s="0" t="n">
        <v>106.32</v>
      </c>
      <c r="I63" s="0" t="n">
        <v>25.7</v>
      </c>
      <c r="J63" s="0" t="n">
        <v>84.98999999999999</v>
      </c>
      <c r="K63" s="0" t="n">
        <v>378</v>
      </c>
      <c r="T63" s="0" t="n">
        <v>3</v>
      </c>
      <c r="U63" s="0" t="n">
        <v>2</v>
      </c>
      <c r="V63" s="0" t="inlineStr">
        <is>
          <t>계단식</t>
        </is>
      </c>
      <c r="W63" s="0" t="n">
        <v>106</v>
      </c>
      <c r="X63" s="0" t="n">
        <v>15</v>
      </c>
      <c r="Y63" s="0" t="n">
        <v>15</v>
      </c>
      <c r="Z63" s="0" t="inlineStr">
        <is>
          <t>https://new.land.naver.com/complexes/22417?tab=detail&amp;rf=Y</t>
        </is>
      </c>
      <c r="AA63" s="0" t="inlineStr">
        <is>
          <t>충청북도 청주시 상당구 금천동 324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상당구</t>
        </is>
      </c>
      <c r="AE63" s="0" t="inlineStr">
        <is>
          <t>금천동</t>
        </is>
      </c>
      <c r="AG63" s="0" t="inlineStr">
        <is>
          <t>충청북도 청주시 상당구 호미로 285</t>
        </is>
      </c>
      <c r="AH63" s="0" t="n">
        <v>0</v>
      </c>
      <c r="AI63" s="0" t="n">
        <v>200</v>
      </c>
      <c r="AJ63" s="0" t="n">
        <v>17</v>
      </c>
      <c r="AK63" s="0" t="n">
        <v>431</v>
      </c>
      <c r="AL63" s="0" t="n">
        <v>1.14</v>
      </c>
    </row>
    <row r="64">
      <c r="A64" s="0" t="inlineStr">
        <is>
          <t>[남문로1가]</t>
        </is>
      </c>
      <c r="B64" s="0" t="n">
        <v>110400</v>
      </c>
      <c r="C64" s="0" t="n">
        <v>1</v>
      </c>
      <c r="D64" s="0" t="inlineStr">
        <is>
          <t>트레비앙(도시형)</t>
        </is>
      </c>
      <c r="E64" s="0" t="inlineStr">
        <is>
          <t>2016.02.</t>
        </is>
      </c>
      <c r="F64" s="0" t="n">
        <v>127</v>
      </c>
      <c r="G64" s="0" t="n">
        <v>9.08</v>
      </c>
      <c r="H64" s="0" t="n">
        <v>30.03</v>
      </c>
      <c r="I64" s="0" t="n">
        <v>6.79</v>
      </c>
      <c r="J64" s="0" t="n">
        <v>22.45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inlineStr">
        <is>
          <t>30M</t>
        </is>
      </c>
      <c r="X64" s="0" t="n">
        <v>12</v>
      </c>
      <c r="Y64" s="0" t="n">
        <v>7</v>
      </c>
      <c r="Z64" s="0" t="inlineStr">
        <is>
          <t>https://new.land.naver.com/complexes/110400?tab=detail&amp;rf=Y</t>
        </is>
      </c>
      <c r="AA64" s="0" t="inlineStr">
        <is>
          <t>충청북도 청주시 상당구 남문로1가 53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상당구</t>
        </is>
      </c>
      <c r="AE64" s="0" t="inlineStr">
        <is>
          <t>남문로1가</t>
        </is>
      </c>
      <c r="AG64" s="0" t="inlineStr">
        <is>
          <t>충청북도 청주시 상당구 상당로29번길 20</t>
        </is>
      </c>
      <c r="AH64" s="0" t="n">
        <v>0</v>
      </c>
      <c r="AI64" s="0" t="n">
        <v>465</v>
      </c>
      <c r="AJ64" s="0" t="n">
        <v>55</v>
      </c>
      <c r="AK64" s="0" t="n">
        <v>75</v>
      </c>
      <c r="AL64" s="0" t="n">
        <v>0.59</v>
      </c>
    </row>
    <row r="65">
      <c r="A65" s="0" t="inlineStr">
        <is>
          <t>[남문로1가]</t>
        </is>
      </c>
      <c r="B65" s="0" t="n">
        <v>110400</v>
      </c>
      <c r="C65" s="0" t="n">
        <v>2</v>
      </c>
      <c r="D65" s="0" t="inlineStr">
        <is>
          <t>트레비앙(도시형)</t>
        </is>
      </c>
      <c r="E65" s="0" t="inlineStr">
        <is>
          <t>2016.02.</t>
        </is>
      </c>
      <c r="F65" s="0" t="n">
        <v>127</v>
      </c>
      <c r="G65" s="0" t="n">
        <v>9.1</v>
      </c>
      <c r="H65" s="0" t="n">
        <v>30.11</v>
      </c>
      <c r="I65" s="0" t="n">
        <v>6.81</v>
      </c>
      <c r="J65" s="0" t="n">
        <v>22.54</v>
      </c>
      <c r="K65" s="0" t="n">
        <v>1</v>
      </c>
      <c r="T65" s="0" t="n">
        <v>1</v>
      </c>
      <c r="U65" s="0" t="n">
        <v>1</v>
      </c>
      <c r="V65" s="0" t="inlineStr">
        <is>
          <t>복도식</t>
        </is>
      </c>
      <c r="W65" s="0" t="inlineStr">
        <is>
          <t>30N</t>
        </is>
      </c>
      <c r="X65" s="0" t="n">
        <v>12</v>
      </c>
      <c r="Y65" s="0" t="n">
        <v>7</v>
      </c>
      <c r="Z65" s="0" t="inlineStr">
        <is>
          <t>https://new.land.naver.com/complexes/110400?tab=detail&amp;rf=Y</t>
        </is>
      </c>
      <c r="AA65" s="0" t="inlineStr">
        <is>
          <t>충청북도 청주시 상당구 남문로1가 53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상당구</t>
        </is>
      </c>
      <c r="AE65" s="0" t="inlineStr">
        <is>
          <t>남문로1가</t>
        </is>
      </c>
      <c r="AG65" s="0" t="inlineStr">
        <is>
          <t>충청북도 청주시 상당구 상당로29번길 20</t>
        </is>
      </c>
      <c r="AH65" s="0" t="n">
        <v>0</v>
      </c>
      <c r="AI65" s="0" t="n">
        <v>465</v>
      </c>
      <c r="AJ65" s="0" t="n">
        <v>55</v>
      </c>
      <c r="AK65" s="0" t="n">
        <v>75</v>
      </c>
      <c r="AL65" s="0" t="n">
        <v>0.59</v>
      </c>
    </row>
    <row r="66">
      <c r="A66" s="0" t="inlineStr">
        <is>
          <t>[남문로1가]</t>
        </is>
      </c>
      <c r="B66" s="0" t="n">
        <v>110400</v>
      </c>
      <c r="C66" s="0" t="n">
        <v>3</v>
      </c>
      <c r="D66" s="0" t="inlineStr">
        <is>
          <t>트레비앙(도시형)</t>
        </is>
      </c>
      <c r="E66" s="0" t="inlineStr">
        <is>
          <t>2016.02.</t>
        </is>
      </c>
      <c r="F66" s="0" t="n">
        <v>127</v>
      </c>
      <c r="G66" s="0" t="n">
        <v>10.18</v>
      </c>
      <c r="H66" s="0" t="n">
        <v>33.66</v>
      </c>
      <c r="I66" s="0" t="n">
        <v>7.62</v>
      </c>
      <c r="J66" s="0" t="n">
        <v>25.2</v>
      </c>
      <c r="K66" s="0" t="n">
        <v>44</v>
      </c>
      <c r="T66" s="0" t="n">
        <v>1</v>
      </c>
      <c r="U66" s="0" t="n">
        <v>1</v>
      </c>
      <c r="V66" s="0" t="inlineStr">
        <is>
          <t>복도식</t>
        </is>
      </c>
      <c r="W66" s="0" t="inlineStr">
        <is>
          <t>33B</t>
        </is>
      </c>
      <c r="X66" s="0" t="n">
        <v>12</v>
      </c>
      <c r="Y66" s="0" t="n">
        <v>7</v>
      </c>
      <c r="Z66" s="0" t="inlineStr">
        <is>
          <t>https://new.land.naver.com/complexes/110400?tab=detail&amp;rf=Y</t>
        </is>
      </c>
      <c r="AA66" s="0" t="inlineStr">
        <is>
          <t>충청북도 청주시 상당구 남문로1가 53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상당구</t>
        </is>
      </c>
      <c r="AE66" s="0" t="inlineStr">
        <is>
          <t>남문로1가</t>
        </is>
      </c>
      <c r="AG66" s="0" t="inlineStr">
        <is>
          <t>충청북도 청주시 상당구 상당로29번길 20</t>
        </is>
      </c>
      <c r="AH66" s="0" t="n">
        <v>0</v>
      </c>
      <c r="AI66" s="0" t="n">
        <v>465</v>
      </c>
      <c r="AJ66" s="0" t="n">
        <v>55</v>
      </c>
      <c r="AK66" s="0" t="n">
        <v>75</v>
      </c>
      <c r="AL66" s="0" t="n">
        <v>0.59</v>
      </c>
    </row>
    <row r="67">
      <c r="A67" s="0" t="inlineStr">
        <is>
          <t>[남문로1가]</t>
        </is>
      </c>
      <c r="B67" s="0" t="n">
        <v>110400</v>
      </c>
      <c r="C67" s="0" t="n">
        <v>4</v>
      </c>
      <c r="D67" s="0" t="inlineStr">
        <is>
          <t>트레비앙(도시형)</t>
        </is>
      </c>
      <c r="E67" s="0" t="inlineStr">
        <is>
          <t>2016.02.</t>
        </is>
      </c>
      <c r="F67" s="0" t="n">
        <v>127</v>
      </c>
      <c r="G67" s="0" t="n">
        <v>10.78</v>
      </c>
      <c r="H67" s="0" t="n">
        <v>35.65</v>
      </c>
      <c r="I67" s="0" t="n">
        <v>8.07</v>
      </c>
      <c r="J67" s="0" t="n">
        <v>26.68</v>
      </c>
      <c r="K67" s="0" t="n">
        <v>1</v>
      </c>
      <c r="T67" s="0" t="n">
        <v>1</v>
      </c>
      <c r="U67" s="0" t="n">
        <v>1</v>
      </c>
      <c r="V67" s="0" t="inlineStr">
        <is>
          <t>복도식</t>
        </is>
      </c>
      <c r="W67" s="0" t="inlineStr">
        <is>
          <t>35J</t>
        </is>
      </c>
      <c r="X67" s="0" t="n">
        <v>12</v>
      </c>
      <c r="Y67" s="0" t="n">
        <v>7</v>
      </c>
      <c r="Z67" s="0" t="inlineStr">
        <is>
          <t>https://new.land.naver.com/complexes/110400?tab=detail&amp;rf=Y</t>
        </is>
      </c>
      <c r="AA67" s="0" t="inlineStr">
        <is>
          <t>충청북도 청주시 상당구 남문로1가 53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상당구</t>
        </is>
      </c>
      <c r="AE67" s="0" t="inlineStr">
        <is>
          <t>남문로1가</t>
        </is>
      </c>
      <c r="AG67" s="0" t="inlineStr">
        <is>
          <t>충청북도 청주시 상당구 상당로29번길 20</t>
        </is>
      </c>
      <c r="AH67" s="0" t="n">
        <v>0</v>
      </c>
      <c r="AI67" s="0" t="n">
        <v>465</v>
      </c>
      <c r="AJ67" s="0" t="n">
        <v>55</v>
      </c>
      <c r="AK67" s="0" t="n">
        <v>75</v>
      </c>
      <c r="AL67" s="0" t="n">
        <v>0.59</v>
      </c>
    </row>
    <row r="68">
      <c r="A68" s="0" t="inlineStr">
        <is>
          <t>[남문로1가]</t>
        </is>
      </c>
      <c r="B68" s="0" t="n">
        <v>110400</v>
      </c>
      <c r="C68" s="0" t="n">
        <v>5</v>
      </c>
      <c r="D68" s="0" t="inlineStr">
        <is>
          <t>트레비앙(도시형)</t>
        </is>
      </c>
      <c r="E68" s="0" t="inlineStr">
        <is>
          <t>2016.02.</t>
        </is>
      </c>
      <c r="F68" s="0" t="n">
        <v>127</v>
      </c>
      <c r="G68" s="0" t="n">
        <v>10.82</v>
      </c>
      <c r="H68" s="0" t="n">
        <v>35.77</v>
      </c>
      <c r="I68" s="0" t="n">
        <v>8.09</v>
      </c>
      <c r="J68" s="0" t="n">
        <v>26.77</v>
      </c>
      <c r="K68" s="0" t="n">
        <v>1</v>
      </c>
      <c r="T68" s="0" t="n">
        <v>1</v>
      </c>
      <c r="U68" s="0" t="n">
        <v>1</v>
      </c>
      <c r="V68" s="0" t="inlineStr">
        <is>
          <t>복도식</t>
        </is>
      </c>
      <c r="W68" s="0" t="inlineStr">
        <is>
          <t>35K</t>
        </is>
      </c>
      <c r="X68" s="0" t="n">
        <v>12</v>
      </c>
      <c r="Y68" s="0" t="n">
        <v>7</v>
      </c>
      <c r="Z68" s="0" t="inlineStr">
        <is>
          <t>https://new.land.naver.com/complexes/110400?tab=detail&amp;rf=Y</t>
        </is>
      </c>
      <c r="AA68" s="0" t="inlineStr">
        <is>
          <t>충청북도 청주시 상당구 남문로1가 53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상당구</t>
        </is>
      </c>
      <c r="AE68" s="0" t="inlineStr">
        <is>
          <t>남문로1가</t>
        </is>
      </c>
      <c r="AG68" s="0" t="inlineStr">
        <is>
          <t>충청북도 청주시 상당구 상당로29번길 20</t>
        </is>
      </c>
      <c r="AH68" s="0" t="n">
        <v>0</v>
      </c>
      <c r="AI68" s="0" t="n">
        <v>465</v>
      </c>
      <c r="AJ68" s="0" t="n">
        <v>55</v>
      </c>
      <c r="AK68" s="0" t="n">
        <v>75</v>
      </c>
      <c r="AL68" s="0" t="n">
        <v>0.59</v>
      </c>
    </row>
    <row r="69">
      <c r="A69" s="0" t="inlineStr">
        <is>
          <t>[남문로1가]</t>
        </is>
      </c>
      <c r="B69" s="0" t="n">
        <v>110400</v>
      </c>
      <c r="C69" s="0" t="n">
        <v>6</v>
      </c>
      <c r="D69" s="0" t="inlineStr">
        <is>
          <t>트레비앙(도시형)</t>
        </is>
      </c>
      <c r="E69" s="0" t="inlineStr">
        <is>
          <t>2016.02.</t>
        </is>
      </c>
      <c r="F69" s="0" t="n">
        <v>127</v>
      </c>
      <c r="G69" s="0" t="n">
        <v>11.61</v>
      </c>
      <c r="H69" s="0" t="n">
        <v>38.4</v>
      </c>
      <c r="I69" s="0" t="n">
        <v>8.69</v>
      </c>
      <c r="J69" s="0" t="n">
        <v>28.74</v>
      </c>
      <c r="K69" s="0" t="n">
        <v>8</v>
      </c>
      <c r="T69" s="0" t="n">
        <v>1</v>
      </c>
      <c r="U69" s="0" t="n">
        <v>1</v>
      </c>
      <c r="V69" s="0" t="inlineStr">
        <is>
          <t>복도식</t>
        </is>
      </c>
      <c r="W69" s="0" t="inlineStr">
        <is>
          <t>38F</t>
        </is>
      </c>
      <c r="X69" s="0" t="n">
        <v>12</v>
      </c>
      <c r="Y69" s="0" t="n">
        <v>7</v>
      </c>
      <c r="Z69" s="0" t="inlineStr">
        <is>
          <t>https://new.land.naver.com/complexes/110400?tab=detail&amp;rf=Y</t>
        </is>
      </c>
      <c r="AA69" s="0" t="inlineStr">
        <is>
          <t>충청북도 청주시 상당구 남문로1가 53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상당구</t>
        </is>
      </c>
      <c r="AE69" s="0" t="inlineStr">
        <is>
          <t>남문로1가</t>
        </is>
      </c>
      <c r="AG69" s="0" t="inlineStr">
        <is>
          <t>충청북도 청주시 상당구 상당로29번길 20</t>
        </is>
      </c>
      <c r="AH69" s="0" t="n">
        <v>0</v>
      </c>
      <c r="AI69" s="0" t="n">
        <v>465</v>
      </c>
      <c r="AJ69" s="0" t="n">
        <v>55</v>
      </c>
      <c r="AK69" s="0" t="n">
        <v>75</v>
      </c>
      <c r="AL69" s="0" t="n">
        <v>0.59</v>
      </c>
    </row>
    <row r="70">
      <c r="A70" s="0" t="inlineStr">
        <is>
          <t>[남문로1가]</t>
        </is>
      </c>
      <c r="B70" s="0" t="n">
        <v>110400</v>
      </c>
      <c r="C70" s="0" t="n">
        <v>7</v>
      </c>
      <c r="D70" s="0" t="inlineStr">
        <is>
          <t>트레비앙(도시형)</t>
        </is>
      </c>
      <c r="E70" s="0" t="inlineStr">
        <is>
          <t>2016.02.</t>
        </is>
      </c>
      <c r="F70" s="0" t="n">
        <v>127</v>
      </c>
      <c r="G70" s="0" t="n">
        <v>11.88</v>
      </c>
      <c r="H70" s="0" t="n">
        <v>39.28</v>
      </c>
      <c r="I70" s="0" t="n">
        <v>8.890000000000001</v>
      </c>
      <c r="J70" s="0" t="n">
        <v>29.4</v>
      </c>
      <c r="K70" s="0" t="n">
        <v>11</v>
      </c>
      <c r="T70" s="0" t="n">
        <v>1</v>
      </c>
      <c r="U70" s="0" t="n">
        <v>1</v>
      </c>
      <c r="V70" s="0" t="inlineStr">
        <is>
          <t>복도식</t>
        </is>
      </c>
      <c r="W70" s="0" t="inlineStr">
        <is>
          <t>39A</t>
        </is>
      </c>
      <c r="X70" s="0" t="n">
        <v>12</v>
      </c>
      <c r="Y70" s="0" t="n">
        <v>7</v>
      </c>
      <c r="Z70" s="0" t="inlineStr">
        <is>
          <t>https://new.land.naver.com/complexes/110400?tab=detail&amp;rf=Y</t>
        </is>
      </c>
      <c r="AA70" s="0" t="inlineStr">
        <is>
          <t>충청북도 청주시 상당구 남문로1가 53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상당구</t>
        </is>
      </c>
      <c r="AE70" s="0" t="inlineStr">
        <is>
          <t>남문로1가</t>
        </is>
      </c>
      <c r="AG70" s="0" t="inlineStr">
        <is>
          <t>충청북도 청주시 상당구 상당로29번길 20</t>
        </is>
      </c>
      <c r="AH70" s="0" t="n">
        <v>0</v>
      </c>
      <c r="AI70" s="0" t="n">
        <v>465</v>
      </c>
      <c r="AJ70" s="0" t="n">
        <v>55</v>
      </c>
      <c r="AK70" s="0" t="n">
        <v>75</v>
      </c>
      <c r="AL70" s="0" t="n">
        <v>0.59</v>
      </c>
    </row>
    <row r="71">
      <c r="A71" s="0" t="inlineStr">
        <is>
          <t>[남문로1가]</t>
        </is>
      </c>
      <c r="B71" s="0" t="n">
        <v>110400</v>
      </c>
      <c r="C71" s="0" t="n">
        <v>8</v>
      </c>
      <c r="D71" s="0" t="inlineStr">
        <is>
          <t>트레비앙(도시형)</t>
        </is>
      </c>
      <c r="E71" s="0" t="inlineStr">
        <is>
          <t>2016.02.</t>
        </is>
      </c>
      <c r="F71" s="0" t="n">
        <v>127</v>
      </c>
      <c r="G71" s="0" t="n">
        <v>12.85</v>
      </c>
      <c r="H71" s="0" t="n">
        <v>42.5</v>
      </c>
      <c r="I71" s="0" t="n">
        <v>9.619999999999999</v>
      </c>
      <c r="J71" s="0" t="n">
        <v>31.82</v>
      </c>
      <c r="K71" s="0" t="n">
        <v>40</v>
      </c>
      <c r="T71" s="0" t="n">
        <v>1</v>
      </c>
      <c r="U71" s="0" t="n">
        <v>1</v>
      </c>
      <c r="V71" s="0" t="inlineStr">
        <is>
          <t>복도식</t>
        </is>
      </c>
      <c r="W71" s="0" t="inlineStr">
        <is>
          <t>42C</t>
        </is>
      </c>
      <c r="X71" s="0" t="n">
        <v>12</v>
      </c>
      <c r="Y71" s="0" t="n">
        <v>7</v>
      </c>
      <c r="Z71" s="0" t="inlineStr">
        <is>
          <t>https://new.land.naver.com/complexes/110400?tab=detail&amp;rf=Y</t>
        </is>
      </c>
      <c r="AA71" s="0" t="inlineStr">
        <is>
          <t>충청북도 청주시 상당구 남문로1가 53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상당구</t>
        </is>
      </c>
      <c r="AE71" s="0" t="inlineStr">
        <is>
          <t>남문로1가</t>
        </is>
      </c>
      <c r="AG71" s="0" t="inlineStr">
        <is>
          <t>충청북도 청주시 상당구 상당로29번길 20</t>
        </is>
      </c>
      <c r="AH71" s="0" t="n">
        <v>0</v>
      </c>
      <c r="AI71" s="0" t="n">
        <v>465</v>
      </c>
      <c r="AJ71" s="0" t="n">
        <v>55</v>
      </c>
      <c r="AK71" s="0" t="n">
        <v>75</v>
      </c>
      <c r="AL71" s="0" t="n">
        <v>0.59</v>
      </c>
    </row>
    <row r="72">
      <c r="A72" s="0" t="inlineStr">
        <is>
          <t>[남문로1가]</t>
        </is>
      </c>
      <c r="B72" s="0" t="n">
        <v>110400</v>
      </c>
      <c r="C72" s="0" t="n">
        <v>9</v>
      </c>
      <c r="D72" s="0" t="inlineStr">
        <is>
          <t>트레비앙(도시형)</t>
        </is>
      </c>
      <c r="E72" s="0" t="inlineStr">
        <is>
          <t>2016.02.</t>
        </is>
      </c>
      <c r="F72" s="0" t="n">
        <v>127</v>
      </c>
      <c r="G72" s="0" t="n">
        <v>14.3</v>
      </c>
      <c r="H72" s="0" t="n">
        <v>47.29</v>
      </c>
      <c r="I72" s="0" t="n">
        <v>10.7</v>
      </c>
      <c r="J72" s="0" t="n">
        <v>35.4</v>
      </c>
      <c r="K72" s="0" t="n">
        <v>4</v>
      </c>
      <c r="T72" s="0" t="n">
        <v>1</v>
      </c>
      <c r="U72" s="0" t="n">
        <v>1</v>
      </c>
      <c r="V72" s="0" t="inlineStr">
        <is>
          <t>복도식</t>
        </is>
      </c>
      <c r="W72" s="0" t="inlineStr">
        <is>
          <t>47L</t>
        </is>
      </c>
      <c r="X72" s="0" t="n">
        <v>12</v>
      </c>
      <c r="Y72" s="0" t="n">
        <v>7</v>
      </c>
      <c r="Z72" s="0" t="inlineStr">
        <is>
          <t>https://new.land.naver.com/complexes/110400?tab=detail&amp;rf=Y</t>
        </is>
      </c>
      <c r="AA72" s="0" t="inlineStr">
        <is>
          <t>충청북도 청주시 상당구 남문로1가 53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상당구</t>
        </is>
      </c>
      <c r="AE72" s="0" t="inlineStr">
        <is>
          <t>남문로1가</t>
        </is>
      </c>
      <c r="AG72" s="0" t="inlineStr">
        <is>
          <t>충청북도 청주시 상당구 상당로29번길 20</t>
        </is>
      </c>
      <c r="AH72" s="0" t="n">
        <v>0</v>
      </c>
      <c r="AI72" s="0" t="n">
        <v>465</v>
      </c>
      <c r="AJ72" s="0" t="n">
        <v>55</v>
      </c>
      <c r="AK72" s="0" t="n">
        <v>75</v>
      </c>
      <c r="AL72" s="0" t="n">
        <v>0.59</v>
      </c>
    </row>
    <row r="73">
      <c r="A73" s="0" t="inlineStr">
        <is>
          <t>[남문로1가]</t>
        </is>
      </c>
      <c r="B73" s="0" t="n">
        <v>110400</v>
      </c>
      <c r="C73" s="0" t="n">
        <v>10</v>
      </c>
      <c r="D73" s="0" t="inlineStr">
        <is>
          <t>트레비앙(도시형)</t>
        </is>
      </c>
      <c r="E73" s="0" t="inlineStr">
        <is>
          <t>2016.02.</t>
        </is>
      </c>
      <c r="F73" s="0" t="n">
        <v>127</v>
      </c>
      <c r="G73" s="0" t="n">
        <v>15.54</v>
      </c>
      <c r="H73" s="0" t="n">
        <v>51.4</v>
      </c>
      <c r="I73" s="0" t="n">
        <v>11.64</v>
      </c>
      <c r="J73" s="0" t="n">
        <v>38.48</v>
      </c>
      <c r="K73" s="0" t="n">
        <v>4</v>
      </c>
      <c r="T73" s="0" t="n">
        <v>1</v>
      </c>
      <c r="U73" s="0" t="n">
        <v>1</v>
      </c>
      <c r="V73" s="0" t="inlineStr">
        <is>
          <t>복도식</t>
        </is>
      </c>
      <c r="W73" s="0" t="inlineStr">
        <is>
          <t>51I</t>
        </is>
      </c>
      <c r="X73" s="0" t="n">
        <v>12</v>
      </c>
      <c r="Y73" s="0" t="n">
        <v>7</v>
      </c>
      <c r="Z73" s="0" t="inlineStr">
        <is>
          <t>https://new.land.naver.com/complexes/110400?tab=detail&amp;rf=Y</t>
        </is>
      </c>
      <c r="AA73" s="0" t="inlineStr">
        <is>
          <t>충청북도 청주시 상당구 남문로1가 53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상당구</t>
        </is>
      </c>
      <c r="AE73" s="0" t="inlineStr">
        <is>
          <t>남문로1가</t>
        </is>
      </c>
      <c r="AG73" s="0" t="inlineStr">
        <is>
          <t>충청북도 청주시 상당구 상당로29번길 20</t>
        </is>
      </c>
      <c r="AH73" s="0" t="n">
        <v>0</v>
      </c>
      <c r="AI73" s="0" t="n">
        <v>465</v>
      </c>
      <c r="AJ73" s="0" t="n">
        <v>55</v>
      </c>
      <c r="AK73" s="0" t="n">
        <v>75</v>
      </c>
      <c r="AL73" s="0" t="n">
        <v>0.59</v>
      </c>
    </row>
    <row r="74">
      <c r="A74" s="0" t="inlineStr">
        <is>
          <t>[남문로1가]</t>
        </is>
      </c>
      <c r="B74" s="0" t="n">
        <v>110400</v>
      </c>
      <c r="C74" s="0" t="n">
        <v>11</v>
      </c>
      <c r="D74" s="0" t="inlineStr">
        <is>
          <t>트레비앙(도시형)</t>
        </is>
      </c>
      <c r="E74" s="0" t="inlineStr">
        <is>
          <t>2016.02.</t>
        </is>
      </c>
      <c r="F74" s="0" t="n">
        <v>127</v>
      </c>
      <c r="G74" s="0" t="n">
        <v>15.63</v>
      </c>
      <c r="H74" s="0" t="n">
        <v>51.69</v>
      </c>
      <c r="I74" s="0" t="n">
        <v>11.7</v>
      </c>
      <c r="J74" s="0" t="n">
        <v>38.69</v>
      </c>
      <c r="K74" s="0" t="n">
        <v>1</v>
      </c>
      <c r="T74" s="0" t="n">
        <v>1</v>
      </c>
      <c r="U74" s="0" t="n">
        <v>1</v>
      </c>
      <c r="V74" s="0" t="inlineStr">
        <is>
          <t>복도식</t>
        </is>
      </c>
      <c r="W74" s="0" t="inlineStr">
        <is>
          <t>51G</t>
        </is>
      </c>
      <c r="X74" s="0" t="n">
        <v>12</v>
      </c>
      <c r="Y74" s="0" t="n">
        <v>7</v>
      </c>
      <c r="Z74" s="0" t="inlineStr">
        <is>
          <t>https://new.land.naver.com/complexes/110400?tab=detail&amp;rf=Y</t>
        </is>
      </c>
      <c r="AA74" s="0" t="inlineStr">
        <is>
          <t>충청북도 청주시 상당구 남문로1가 53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상당구</t>
        </is>
      </c>
      <c r="AE74" s="0" t="inlineStr">
        <is>
          <t>남문로1가</t>
        </is>
      </c>
      <c r="AG74" s="0" t="inlineStr">
        <is>
          <t>충청북도 청주시 상당구 상당로29번길 20</t>
        </is>
      </c>
      <c r="AH74" s="0" t="n">
        <v>0</v>
      </c>
      <c r="AI74" s="0" t="n">
        <v>465</v>
      </c>
      <c r="AJ74" s="0" t="n">
        <v>55</v>
      </c>
      <c r="AK74" s="0" t="n">
        <v>75</v>
      </c>
      <c r="AL74" s="0" t="n">
        <v>0.59</v>
      </c>
    </row>
    <row r="75">
      <c r="A75" s="0" t="inlineStr">
        <is>
          <t>[남문로1가]</t>
        </is>
      </c>
      <c r="B75" s="0" t="n">
        <v>110400</v>
      </c>
      <c r="C75" s="0" t="n">
        <v>12</v>
      </c>
      <c r="D75" s="0" t="inlineStr">
        <is>
          <t>트레비앙(도시형)</t>
        </is>
      </c>
      <c r="E75" s="0" t="inlineStr">
        <is>
          <t>2016.02.</t>
        </is>
      </c>
      <c r="F75" s="0" t="n">
        <v>127</v>
      </c>
      <c r="G75" s="0" t="n">
        <v>15.59</v>
      </c>
      <c r="H75" s="0" t="n">
        <v>51.57</v>
      </c>
      <c r="I75" s="0" t="n">
        <v>11.67</v>
      </c>
      <c r="J75" s="0" t="n">
        <v>38.6</v>
      </c>
      <c r="K75" s="0" t="n">
        <v>1</v>
      </c>
      <c r="T75" s="0" t="n">
        <v>1</v>
      </c>
      <c r="U75" s="0" t="n">
        <v>1</v>
      </c>
      <c r="V75" s="0" t="inlineStr">
        <is>
          <t>복도식</t>
        </is>
      </c>
      <c r="W75" s="0" t="inlineStr">
        <is>
          <t>51H</t>
        </is>
      </c>
      <c r="X75" s="0" t="n">
        <v>12</v>
      </c>
      <c r="Y75" s="0" t="n">
        <v>7</v>
      </c>
      <c r="Z75" s="0" t="inlineStr">
        <is>
          <t>https://new.land.naver.com/complexes/110400?tab=detail&amp;rf=Y</t>
        </is>
      </c>
      <c r="AA75" s="0" t="inlineStr">
        <is>
          <t>충청북도 청주시 상당구 남문로1가 53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상당구</t>
        </is>
      </c>
      <c r="AE75" s="0" t="inlineStr">
        <is>
          <t>남문로1가</t>
        </is>
      </c>
      <c r="AG75" s="0" t="inlineStr">
        <is>
          <t>충청북도 청주시 상당구 상당로29번길 20</t>
        </is>
      </c>
      <c r="AH75" s="0" t="n">
        <v>0</v>
      </c>
      <c r="AI75" s="0" t="n">
        <v>465</v>
      </c>
      <c r="AJ75" s="0" t="n">
        <v>55</v>
      </c>
      <c r="AK75" s="0" t="n">
        <v>75</v>
      </c>
      <c r="AL75" s="0" t="n">
        <v>0.59</v>
      </c>
    </row>
    <row r="76">
      <c r="A76" s="0" t="inlineStr">
        <is>
          <t>[남문로1가]</t>
        </is>
      </c>
      <c r="B76" s="0" t="n">
        <v>110400</v>
      </c>
      <c r="C76" s="0" t="n">
        <v>13</v>
      </c>
      <c r="D76" s="0" t="inlineStr">
        <is>
          <t>트레비앙(도시형)</t>
        </is>
      </c>
      <c r="E76" s="0" t="inlineStr">
        <is>
          <t>2016.02.</t>
        </is>
      </c>
      <c r="F76" s="0" t="n">
        <v>127</v>
      </c>
      <c r="G76" s="0" t="n">
        <v>17.34</v>
      </c>
      <c r="H76" s="0" t="n">
        <v>57.34</v>
      </c>
      <c r="I76" s="0" t="n">
        <v>12.98</v>
      </c>
      <c r="J76" s="0" t="n">
        <v>42.92</v>
      </c>
      <c r="K76" s="0" t="n">
        <v>5</v>
      </c>
      <c r="T76" s="0" t="n">
        <v>1</v>
      </c>
      <c r="U76" s="0" t="n">
        <v>1</v>
      </c>
      <c r="V76" s="0" t="inlineStr">
        <is>
          <t>복도식</t>
        </is>
      </c>
      <c r="W76" s="0" t="inlineStr">
        <is>
          <t>57D</t>
        </is>
      </c>
      <c r="X76" s="0" t="n">
        <v>12</v>
      </c>
      <c r="Y76" s="0" t="n">
        <v>7</v>
      </c>
      <c r="Z76" s="0" t="inlineStr">
        <is>
          <t>https://new.land.naver.com/complexes/110400?tab=detail&amp;rf=Y</t>
        </is>
      </c>
      <c r="AA76" s="0" t="inlineStr">
        <is>
          <t>충청북도 청주시 상당구 남문로1가 53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상당구</t>
        </is>
      </c>
      <c r="AE76" s="0" t="inlineStr">
        <is>
          <t>남문로1가</t>
        </is>
      </c>
      <c r="AG76" s="0" t="inlineStr">
        <is>
          <t>충청북도 청주시 상당구 상당로29번길 20</t>
        </is>
      </c>
      <c r="AH76" s="0" t="n">
        <v>0</v>
      </c>
      <c r="AI76" s="0" t="n">
        <v>465</v>
      </c>
      <c r="AJ76" s="0" t="n">
        <v>55</v>
      </c>
      <c r="AK76" s="0" t="n">
        <v>75</v>
      </c>
      <c r="AL76" s="0" t="n">
        <v>0.59</v>
      </c>
    </row>
    <row r="77">
      <c r="A77" s="0" t="inlineStr">
        <is>
          <t>[남문로1가]</t>
        </is>
      </c>
      <c r="B77" s="0" t="n">
        <v>110400</v>
      </c>
      <c r="C77" s="0" t="n">
        <v>14</v>
      </c>
      <c r="D77" s="0" t="inlineStr">
        <is>
          <t>트레비앙(도시형)</t>
        </is>
      </c>
      <c r="E77" s="0" t="inlineStr">
        <is>
          <t>2016.02.</t>
        </is>
      </c>
      <c r="F77" s="0" t="n">
        <v>127</v>
      </c>
      <c r="G77" s="0" t="n">
        <v>17.3</v>
      </c>
      <c r="H77" s="0" t="n">
        <v>57.22</v>
      </c>
      <c r="I77" s="0" t="n">
        <v>12.95</v>
      </c>
      <c r="J77" s="0" t="n">
        <v>42.83</v>
      </c>
      <c r="K77" s="0" t="n">
        <v>5</v>
      </c>
      <c r="T77" s="0" t="n">
        <v>1</v>
      </c>
      <c r="U77" s="0" t="n">
        <v>1</v>
      </c>
      <c r="V77" s="0" t="inlineStr">
        <is>
          <t>복도식</t>
        </is>
      </c>
      <c r="W77" s="0" t="inlineStr">
        <is>
          <t>57E</t>
        </is>
      </c>
      <c r="X77" s="0" t="n">
        <v>12</v>
      </c>
      <c r="Y77" s="0" t="n">
        <v>7</v>
      </c>
      <c r="Z77" s="0" t="inlineStr">
        <is>
          <t>https://new.land.naver.com/complexes/110400?tab=detail&amp;rf=Y</t>
        </is>
      </c>
      <c r="AA77" s="0" t="inlineStr">
        <is>
          <t>충청북도 청주시 상당구 남문로1가 53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상당구</t>
        </is>
      </c>
      <c r="AE77" s="0" t="inlineStr">
        <is>
          <t>남문로1가</t>
        </is>
      </c>
      <c r="AG77" s="0" t="inlineStr">
        <is>
          <t>충청북도 청주시 상당구 상당로29번길 20</t>
        </is>
      </c>
      <c r="AH77" s="0" t="n">
        <v>0</v>
      </c>
      <c r="AI77" s="0" t="n">
        <v>465</v>
      </c>
      <c r="AJ77" s="0" t="n">
        <v>55</v>
      </c>
      <c r="AK77" s="0" t="n">
        <v>75</v>
      </c>
      <c r="AL77" s="0" t="n">
        <v>0.59</v>
      </c>
    </row>
    <row r="78">
      <c r="A78" s="0" t="inlineStr">
        <is>
          <t>[남일면]</t>
        </is>
      </c>
      <c r="B78" s="0" t="n">
        <v>105573</v>
      </c>
      <c r="C78" s="0" t="n">
        <v>1</v>
      </c>
      <c r="D78" s="0" t="inlineStr">
        <is>
          <t>베네치아</t>
        </is>
      </c>
      <c r="E78" s="0" t="inlineStr">
        <is>
          <t>2011.06.</t>
        </is>
      </c>
      <c r="F78" s="0" t="n">
        <v>40</v>
      </c>
      <c r="G78" s="0" t="n">
        <v>30.91</v>
      </c>
      <c r="H78" s="0" t="n">
        <v>102.19</v>
      </c>
      <c r="I78" s="0" t="n">
        <v>23.8</v>
      </c>
      <c r="J78" s="0" t="n">
        <v>78.7</v>
      </c>
      <c r="K78" s="0" t="n">
        <v>40</v>
      </c>
      <c r="T78" s="0" t="n">
        <v>3</v>
      </c>
      <c r="U78" s="0" t="n">
        <v>2</v>
      </c>
      <c r="V78" s="0" t="inlineStr">
        <is>
          <t>복도식</t>
        </is>
      </c>
      <c r="W78" s="0" t="n">
        <v>102</v>
      </c>
      <c r="X78" s="0" t="n">
        <v>5</v>
      </c>
      <c r="Y78" s="0" t="n">
        <v>4</v>
      </c>
      <c r="Z78" s="0" t="inlineStr">
        <is>
          <t>https://new.land.naver.com/complexes/105573?tab=detail&amp;rf=Y</t>
        </is>
      </c>
      <c r="AA78" s="0" t="inlineStr">
        <is>
          <t>충청북도 청주시 상당구 남일면 효촌리 32-7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상당구</t>
        </is>
      </c>
      <c r="AE78" s="0" t="inlineStr">
        <is>
          <t>남일면</t>
        </is>
      </c>
      <c r="AG78" s="0" t="inlineStr">
        <is>
          <t>충청북도 청주시 상당구 효촌송정1길 21-5</t>
        </is>
      </c>
      <c r="AH78" s="0" t="n">
        <v>0</v>
      </c>
      <c r="AI78" s="0" t="n">
        <v>110</v>
      </c>
      <c r="AJ78" s="0" t="n">
        <v>35</v>
      </c>
      <c r="AK78" s="0" t="n">
        <v>41</v>
      </c>
      <c r="AL78" s="0" t="n">
        <v>1.02</v>
      </c>
    </row>
    <row r="79">
      <c r="A79" s="0" t="inlineStr">
        <is>
          <t>[남일면]</t>
        </is>
      </c>
      <c r="B79" s="0" t="n">
        <v>105837</v>
      </c>
      <c r="C79" s="0" t="n">
        <v>1</v>
      </c>
      <c r="D79" s="0" t="inlineStr">
        <is>
          <t>효자마을</t>
        </is>
      </c>
      <c r="E79" s="0" t="inlineStr">
        <is>
          <t>2007.07.</t>
        </is>
      </c>
      <c r="F79" s="0" t="n">
        <v>46</v>
      </c>
      <c r="G79" s="0" t="n">
        <v>23.96</v>
      </c>
      <c r="H79" s="0" t="n">
        <v>79.23</v>
      </c>
      <c r="I79" s="0" t="n">
        <v>19.2</v>
      </c>
      <c r="J79" s="0" t="n">
        <v>63.49</v>
      </c>
      <c r="K79" s="0" t="n">
        <v>2</v>
      </c>
      <c r="T79" s="0" t="n">
        <v>3</v>
      </c>
      <c r="U79" s="0" t="n">
        <v>2</v>
      </c>
      <c r="V79" s="0" t="inlineStr">
        <is>
          <t>복도식</t>
        </is>
      </c>
      <c r="W79" s="0" t="n">
        <v>79</v>
      </c>
      <c r="X79" s="0" t="n">
        <v>13</v>
      </c>
      <c r="Y79" s="0" t="n">
        <v>10</v>
      </c>
      <c r="Z79" s="0" t="inlineStr">
        <is>
          <t>https://new.land.naver.com/complexes/105837?tab=detail&amp;rf=Y</t>
        </is>
      </c>
      <c r="AA79" s="0" t="inlineStr">
        <is>
          <t>충청북도 청주시 상당구 남일면 효촌리 20-1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상당구</t>
        </is>
      </c>
      <c r="AE79" s="0" t="inlineStr">
        <is>
          <t>남일면</t>
        </is>
      </c>
      <c r="AG79" s="0" t="inlineStr">
        <is>
          <t>충청북도 청주시 상당구 효촌송암1길 33-2</t>
        </is>
      </c>
      <c r="AH79" s="0" t="n">
        <v>0</v>
      </c>
      <c r="AI79" s="0" t="n">
        <v>223</v>
      </c>
      <c r="AJ79" s="0" t="n">
        <v>23</v>
      </c>
      <c r="AK79" s="0" t="n">
        <v>47</v>
      </c>
      <c r="AL79" s="0" t="n">
        <v>1.02</v>
      </c>
    </row>
    <row r="80">
      <c r="A80" s="0" t="inlineStr">
        <is>
          <t>[남일면]</t>
        </is>
      </c>
      <c r="B80" s="0" t="n">
        <v>105837</v>
      </c>
      <c r="C80" s="0" t="n">
        <v>2</v>
      </c>
      <c r="D80" s="0" t="inlineStr">
        <is>
          <t>효자마을</t>
        </is>
      </c>
      <c r="E80" s="0" t="inlineStr">
        <is>
          <t>2007.07.</t>
        </is>
      </c>
      <c r="F80" s="0" t="n">
        <v>46</v>
      </c>
      <c r="G80" s="0" t="n">
        <v>26.24</v>
      </c>
      <c r="H80" s="0" t="n">
        <v>86.77</v>
      </c>
      <c r="I80" s="0" t="n">
        <v>20.6</v>
      </c>
      <c r="J80" s="0" t="n">
        <v>68.09999999999999</v>
      </c>
      <c r="K80" s="0" t="n">
        <v>1</v>
      </c>
      <c r="T80" s="0" t="n">
        <v>3</v>
      </c>
      <c r="U80" s="0" t="n">
        <v>2</v>
      </c>
      <c r="V80" s="0" t="inlineStr">
        <is>
          <t>복도식</t>
        </is>
      </c>
      <c r="W80" s="0" t="n">
        <v>86</v>
      </c>
      <c r="X80" s="0" t="n">
        <v>13</v>
      </c>
      <c r="Y80" s="0" t="n">
        <v>10</v>
      </c>
      <c r="Z80" s="0" t="inlineStr">
        <is>
          <t>https://new.land.naver.com/complexes/105837?tab=detail&amp;rf=Y</t>
        </is>
      </c>
      <c r="AA80" s="0" t="inlineStr">
        <is>
          <t>충청북도 청주시 상당구 남일면 효촌리 20-1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상당구</t>
        </is>
      </c>
      <c r="AE80" s="0" t="inlineStr">
        <is>
          <t>남일면</t>
        </is>
      </c>
      <c r="AG80" s="0" t="inlineStr">
        <is>
          <t>충청북도 청주시 상당구 효촌송암1길 33-2</t>
        </is>
      </c>
      <c r="AH80" s="0" t="n">
        <v>0</v>
      </c>
      <c r="AI80" s="0" t="n">
        <v>223</v>
      </c>
      <c r="AJ80" s="0" t="n">
        <v>23</v>
      </c>
      <c r="AK80" s="0" t="n">
        <v>47</v>
      </c>
      <c r="AL80" s="0" t="n">
        <v>1.02</v>
      </c>
    </row>
    <row r="81">
      <c r="A81" s="0" t="inlineStr">
        <is>
          <t>[남일면]</t>
        </is>
      </c>
      <c r="B81" s="0" t="n">
        <v>105837</v>
      </c>
      <c r="C81" s="0" t="n">
        <v>3</v>
      </c>
      <c r="D81" s="0" t="inlineStr">
        <is>
          <t>효자마을</t>
        </is>
      </c>
      <c r="E81" s="0" t="inlineStr">
        <is>
          <t>2007.07.</t>
        </is>
      </c>
      <c r="F81" s="0" t="n">
        <v>46</v>
      </c>
      <c r="G81" s="0" t="n">
        <v>30.8</v>
      </c>
      <c r="H81" s="0" t="n">
        <v>101.84</v>
      </c>
      <c r="I81" s="0" t="n">
        <v>24.56</v>
      </c>
      <c r="J81" s="0" t="n">
        <v>81.2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101</v>
      </c>
      <c r="X81" s="0" t="n">
        <v>13</v>
      </c>
      <c r="Y81" s="0" t="n">
        <v>10</v>
      </c>
      <c r="Z81" s="0" t="inlineStr">
        <is>
          <t>https://new.land.naver.com/complexes/105837?tab=detail&amp;rf=Y</t>
        </is>
      </c>
      <c r="AA81" s="0" t="inlineStr">
        <is>
          <t>충청북도 청주시 상당구 남일면 효촌리 20-1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상당구</t>
        </is>
      </c>
      <c r="AE81" s="0" t="inlineStr">
        <is>
          <t>남일면</t>
        </is>
      </c>
      <c r="AG81" s="0" t="inlineStr">
        <is>
          <t>충청북도 청주시 상당구 효촌송암1길 33-2</t>
        </is>
      </c>
      <c r="AH81" s="0" t="n">
        <v>0</v>
      </c>
      <c r="AI81" s="0" t="n">
        <v>223</v>
      </c>
      <c r="AJ81" s="0" t="n">
        <v>23</v>
      </c>
      <c r="AK81" s="0" t="n">
        <v>47</v>
      </c>
      <c r="AL81" s="0" t="n">
        <v>1.02</v>
      </c>
    </row>
    <row r="82">
      <c r="A82" s="0" t="inlineStr">
        <is>
          <t>[남일면]</t>
        </is>
      </c>
      <c r="B82" s="0" t="n">
        <v>105837</v>
      </c>
      <c r="C82" s="0" t="n">
        <v>4</v>
      </c>
      <c r="D82" s="0" t="inlineStr">
        <is>
          <t>효자마을</t>
        </is>
      </c>
      <c r="E82" s="0" t="inlineStr">
        <is>
          <t>2007.07.</t>
        </is>
      </c>
      <c r="F82" s="0" t="n">
        <v>46</v>
      </c>
      <c r="G82" s="0" t="n">
        <v>31.8</v>
      </c>
      <c r="H82" s="0" t="n">
        <v>105.13</v>
      </c>
      <c r="I82" s="0" t="n">
        <v>25.69</v>
      </c>
      <c r="J82" s="0" t="n">
        <v>84.94</v>
      </c>
      <c r="K82" s="0" t="n">
        <v>24</v>
      </c>
      <c r="T82" s="0" t="n">
        <v>3</v>
      </c>
      <c r="U82" s="0" t="n">
        <v>2</v>
      </c>
      <c r="V82" s="0" t="inlineStr">
        <is>
          <t>복도식</t>
        </is>
      </c>
      <c r="W82" s="0" t="inlineStr">
        <is>
          <t>105B</t>
        </is>
      </c>
      <c r="X82" s="0" t="n">
        <v>13</v>
      </c>
      <c r="Y82" s="0" t="n">
        <v>10</v>
      </c>
      <c r="Z82" s="0" t="inlineStr">
        <is>
          <t>https://new.land.naver.com/complexes/105837?tab=detail&amp;rf=Y</t>
        </is>
      </c>
      <c r="AA82" s="0" t="inlineStr">
        <is>
          <t>충청북도 청주시 상당구 남일면 효촌리 20-1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상당구</t>
        </is>
      </c>
      <c r="AE82" s="0" t="inlineStr">
        <is>
          <t>남일면</t>
        </is>
      </c>
      <c r="AG82" s="0" t="inlineStr">
        <is>
          <t>충청북도 청주시 상당구 효촌송암1길 33-2</t>
        </is>
      </c>
      <c r="AH82" s="0" t="n">
        <v>0</v>
      </c>
      <c r="AI82" s="0" t="n">
        <v>223</v>
      </c>
      <c r="AJ82" s="0" t="n">
        <v>23</v>
      </c>
      <c r="AK82" s="0" t="n">
        <v>47</v>
      </c>
      <c r="AL82" s="0" t="n">
        <v>1.02</v>
      </c>
    </row>
    <row r="83">
      <c r="A83" s="0" t="inlineStr">
        <is>
          <t>[남일면]</t>
        </is>
      </c>
      <c r="B83" s="0" t="n">
        <v>105837</v>
      </c>
      <c r="C83" s="0" t="n">
        <v>5</v>
      </c>
      <c r="D83" s="0" t="inlineStr">
        <is>
          <t>효자마을</t>
        </is>
      </c>
      <c r="E83" s="0" t="inlineStr">
        <is>
          <t>2007.07.</t>
        </is>
      </c>
      <c r="F83" s="0" t="n">
        <v>46</v>
      </c>
      <c r="G83" s="0" t="n">
        <v>32.11</v>
      </c>
      <c r="H83" s="0" t="n">
        <v>106.16</v>
      </c>
      <c r="I83" s="0" t="n">
        <v>25.62</v>
      </c>
      <c r="J83" s="0" t="n">
        <v>84.72</v>
      </c>
      <c r="K83" s="0" t="n">
        <v>18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106A</t>
        </is>
      </c>
      <c r="X83" s="0" t="n">
        <v>13</v>
      </c>
      <c r="Y83" s="0" t="n">
        <v>10</v>
      </c>
      <c r="Z83" s="0" t="inlineStr">
        <is>
          <t>https://new.land.naver.com/complexes/105837?tab=detail&amp;rf=Y</t>
        </is>
      </c>
      <c r="AA83" s="0" t="inlineStr">
        <is>
          <t>충청북도 청주시 상당구 남일면 효촌리 20-1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상당구</t>
        </is>
      </c>
      <c r="AE83" s="0" t="inlineStr">
        <is>
          <t>남일면</t>
        </is>
      </c>
      <c r="AG83" s="0" t="inlineStr">
        <is>
          <t>충청북도 청주시 상당구 효촌송암1길 33-2</t>
        </is>
      </c>
      <c r="AH83" s="0" t="n">
        <v>0</v>
      </c>
      <c r="AI83" s="0" t="n">
        <v>223</v>
      </c>
      <c r="AJ83" s="0" t="n">
        <v>23</v>
      </c>
      <c r="AK83" s="0" t="n">
        <v>47</v>
      </c>
      <c r="AL83" s="0" t="n">
        <v>1.02</v>
      </c>
    </row>
    <row r="84">
      <c r="A84" s="0" t="inlineStr">
        <is>
          <t>[남주동]</t>
        </is>
      </c>
      <c r="B84" s="0" t="n">
        <v>121782</v>
      </c>
      <c r="C84" s="0" t="n">
        <v>1</v>
      </c>
      <c r="D84" s="0" t="inlineStr">
        <is>
          <t>남주</t>
        </is>
      </c>
      <c r="E84" s="0" t="inlineStr">
        <is>
          <t>1985.12.</t>
        </is>
      </c>
      <c r="F84" s="0" t="n">
        <v>32</v>
      </c>
      <c r="G84" s="0" t="n">
        <v>19.86</v>
      </c>
      <c r="H84" s="0" t="n">
        <v>65.67</v>
      </c>
      <c r="I84" s="0" t="n">
        <v>16.55</v>
      </c>
      <c r="J84" s="0" t="n">
        <v>54.72</v>
      </c>
      <c r="K84" s="0" t="n">
        <v>32</v>
      </c>
      <c r="T84" s="0" t="n">
        <v>3</v>
      </c>
      <c r="U84" s="0" t="n">
        <v>1</v>
      </c>
      <c r="V84" s="0" t="inlineStr">
        <is>
          <t>계단식</t>
        </is>
      </c>
      <c r="W84" s="0" t="n">
        <v>65</v>
      </c>
      <c r="X84" s="0" t="n">
        <v>5</v>
      </c>
      <c r="Y84" s="0" t="n">
        <v>5</v>
      </c>
      <c r="Z84" s="0" t="inlineStr">
        <is>
          <t>https://new.land.naver.com/complexes/121782?tab=detail&amp;rf=Y</t>
        </is>
      </c>
      <c r="AA84" s="0" t="inlineStr">
        <is>
          <t>충청북도 청주시 상당구 남주동 164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상당구</t>
        </is>
      </c>
      <c r="AE84" s="0" t="inlineStr">
        <is>
          <t>남주동</t>
        </is>
      </c>
      <c r="AG84" s="0" t="inlineStr">
        <is>
          <t>충청북도 청주시 상당구 남사로94번길 37</t>
        </is>
      </c>
      <c r="AH84" s="0" t="n">
        <v>0</v>
      </c>
      <c r="AI84" s="0" t="n">
        <v>287</v>
      </c>
      <c r="AJ84" s="0" t="n">
        <v>57</v>
      </c>
      <c r="AK84" s="0" t="n">
        <v>0</v>
      </c>
      <c r="AL84" s="0" t="n">
        <v>0</v>
      </c>
    </row>
    <row r="85">
      <c r="A85" s="0" t="inlineStr">
        <is>
          <t>[남주동]</t>
        </is>
      </c>
      <c r="B85" s="0" t="n">
        <v>17229</v>
      </c>
      <c r="C85" s="0" t="n">
        <v>1</v>
      </c>
      <c r="D85" s="0" t="inlineStr">
        <is>
          <t>신일</t>
        </is>
      </c>
      <c r="E85" s="0" t="inlineStr">
        <is>
          <t>1996.04.</t>
        </is>
      </c>
      <c r="F85" s="0" t="n">
        <v>55</v>
      </c>
      <c r="G85" s="0" t="n">
        <v>29.7</v>
      </c>
      <c r="H85" s="0" t="n">
        <v>98.2</v>
      </c>
      <c r="I85" s="0" t="n">
        <v>23.54</v>
      </c>
      <c r="J85" s="0" t="n">
        <v>77.84999999999999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n">
        <v>98</v>
      </c>
      <c r="X85" s="0" t="n">
        <v>15</v>
      </c>
      <c r="Y85" s="0" t="n">
        <v>15</v>
      </c>
      <c r="Z85" s="0" t="inlineStr">
        <is>
          <t>https://new.land.naver.com/complexes/17229?tab=detail&amp;rf=Y</t>
        </is>
      </c>
      <c r="AA85" s="0" t="inlineStr">
        <is>
          <t>충청북도 청주시 상당구 남주동 449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상당구</t>
        </is>
      </c>
      <c r="AE85" s="0" t="inlineStr">
        <is>
          <t>남주동</t>
        </is>
      </c>
      <c r="AG85" s="0" t="inlineStr">
        <is>
          <t>충청북도 청주시 상당구 상당로5번길 89</t>
        </is>
      </c>
      <c r="AH85" s="0" t="n">
        <v>0</v>
      </c>
      <c r="AI85" s="0" t="n">
        <v>525</v>
      </c>
      <c r="AJ85" s="0" t="n">
        <v>64</v>
      </c>
      <c r="AK85" s="0" t="n">
        <v>112</v>
      </c>
      <c r="AL85" s="0" t="n">
        <v>2.04</v>
      </c>
    </row>
    <row r="86">
      <c r="A86" s="0" t="inlineStr">
        <is>
          <t>[남주동]</t>
        </is>
      </c>
      <c r="B86" s="0" t="n">
        <v>17229</v>
      </c>
      <c r="C86" s="0" t="n">
        <v>2</v>
      </c>
      <c r="D86" s="0" t="inlineStr">
        <is>
          <t>신일</t>
        </is>
      </c>
      <c r="E86" s="0" t="inlineStr">
        <is>
          <t>1996.04.</t>
        </is>
      </c>
      <c r="F86" s="0" t="n">
        <v>55</v>
      </c>
      <c r="G86" s="0" t="n">
        <v>30.9</v>
      </c>
      <c r="H86" s="0" t="n">
        <v>102.17</v>
      </c>
      <c r="I86" s="0" t="n">
        <v>24.5</v>
      </c>
      <c r="J86" s="0" t="n">
        <v>81</v>
      </c>
      <c r="K86" s="0" t="n">
        <v>44</v>
      </c>
      <c r="T86" s="0" t="n">
        <v>3</v>
      </c>
      <c r="U86" s="0" t="n">
        <v>2</v>
      </c>
      <c r="V86" s="0" t="inlineStr">
        <is>
          <t>복도식</t>
        </is>
      </c>
      <c r="W86" s="0" t="n">
        <v>102</v>
      </c>
      <c r="X86" s="0" t="n">
        <v>15</v>
      </c>
      <c r="Y86" s="0" t="n">
        <v>15</v>
      </c>
      <c r="Z86" s="0" t="inlineStr">
        <is>
          <t>https://new.land.naver.com/complexes/17229?tab=detail&amp;rf=Y</t>
        </is>
      </c>
      <c r="AA86" s="0" t="inlineStr">
        <is>
          <t>충청북도 청주시 상당구 남주동 449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상당구</t>
        </is>
      </c>
      <c r="AE86" s="0" t="inlineStr">
        <is>
          <t>남주동</t>
        </is>
      </c>
      <c r="AG86" s="0" t="inlineStr">
        <is>
          <t>충청북도 청주시 상당구 상당로5번길 89</t>
        </is>
      </c>
      <c r="AH86" s="0" t="n">
        <v>0</v>
      </c>
      <c r="AI86" s="0" t="n">
        <v>525</v>
      </c>
      <c r="AJ86" s="0" t="n">
        <v>64</v>
      </c>
      <c r="AK86" s="0" t="n">
        <v>112</v>
      </c>
      <c r="AL86" s="0" t="n">
        <v>2.04</v>
      </c>
    </row>
    <row r="87">
      <c r="A87" s="0" t="inlineStr">
        <is>
          <t>[대성동]</t>
        </is>
      </c>
      <c r="B87" s="0" t="n">
        <v>108570</v>
      </c>
      <c r="C87" s="0" t="n">
        <v>1</v>
      </c>
      <c r="D87" s="0" t="inlineStr">
        <is>
          <t>장미</t>
        </is>
      </c>
      <c r="E87" s="0" t="inlineStr">
        <is>
          <t>1982.11.</t>
        </is>
      </c>
      <c r="F87" s="0" t="n">
        <v>50</v>
      </c>
      <c r="G87" s="0" t="n">
        <v>24.54</v>
      </c>
      <c r="H87" s="0" t="n">
        <v>81.15000000000001</v>
      </c>
      <c r="I87" s="0" t="n">
        <v>20.48</v>
      </c>
      <c r="J87" s="0" t="n">
        <v>67.73</v>
      </c>
      <c r="K87" s="0" t="n">
        <v>17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81A</t>
        </is>
      </c>
      <c r="X87" s="0" t="n">
        <v>5</v>
      </c>
      <c r="Y87" s="0" t="n">
        <v>5</v>
      </c>
      <c r="Z87" s="0" t="inlineStr">
        <is>
          <t>https://new.land.naver.com/complexes/108570?tab=detail&amp;rf=Y</t>
        </is>
      </c>
      <c r="AA87" s="0" t="inlineStr">
        <is>
          <t>충청북도 청주시 상당구 대성동 170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상당구</t>
        </is>
      </c>
      <c r="AE87" s="0" t="inlineStr">
        <is>
          <t>대성동</t>
        </is>
      </c>
      <c r="AG87" s="0" t="inlineStr">
        <is>
          <t>충청북도 청주시 상당구 용담로 48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[대성동]</t>
        </is>
      </c>
      <c r="B88" s="0" t="n">
        <v>108570</v>
      </c>
      <c r="C88" s="0" t="n">
        <v>2</v>
      </c>
      <c r="D88" s="0" t="inlineStr">
        <is>
          <t>장미</t>
        </is>
      </c>
      <c r="E88" s="0" t="inlineStr">
        <is>
          <t>1982.11.</t>
        </is>
      </c>
      <c r="F88" s="0" t="n">
        <v>50</v>
      </c>
      <c r="G88" s="0" t="n">
        <v>24.94</v>
      </c>
      <c r="H88" s="0" t="n">
        <v>82.45999999999999</v>
      </c>
      <c r="I88" s="0" t="n">
        <v>20.91</v>
      </c>
      <c r="J88" s="0" t="n">
        <v>69.14</v>
      </c>
      <c r="K88" s="0" t="n">
        <v>5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82B</t>
        </is>
      </c>
      <c r="X88" s="0" t="n">
        <v>5</v>
      </c>
      <c r="Y88" s="0" t="n">
        <v>5</v>
      </c>
      <c r="Z88" s="0" t="inlineStr">
        <is>
          <t>https://new.land.naver.com/complexes/108570?tab=detail&amp;rf=Y</t>
        </is>
      </c>
      <c r="AA88" s="0" t="inlineStr">
        <is>
          <t>충청북도 청주시 상당구 대성동 170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상당구</t>
        </is>
      </c>
      <c r="AE88" s="0" t="inlineStr">
        <is>
          <t>대성동</t>
        </is>
      </c>
      <c r="AG88" s="0" t="inlineStr">
        <is>
          <t>충청북도 청주시 상당구 용담로 48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[대성동]</t>
        </is>
      </c>
      <c r="B89" s="0" t="n">
        <v>108570</v>
      </c>
      <c r="C89" s="0" t="n">
        <v>3</v>
      </c>
      <c r="D89" s="0" t="inlineStr">
        <is>
          <t>장미</t>
        </is>
      </c>
      <c r="E89" s="0" t="inlineStr">
        <is>
          <t>1982.11.</t>
        </is>
      </c>
      <c r="F89" s="0" t="n">
        <v>50</v>
      </c>
      <c r="G89" s="0" t="n">
        <v>25.33</v>
      </c>
      <c r="H89" s="0" t="n">
        <v>83.76000000000001</v>
      </c>
      <c r="I89" s="0" t="n">
        <v>21.24</v>
      </c>
      <c r="J89" s="0" t="n">
        <v>70.23999999999999</v>
      </c>
      <c r="K89" s="0" t="n">
        <v>5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83C</t>
        </is>
      </c>
      <c r="X89" s="0" t="n">
        <v>5</v>
      </c>
      <c r="Y89" s="0" t="n">
        <v>5</v>
      </c>
      <c r="Z89" s="0" t="inlineStr">
        <is>
          <t>https://new.land.naver.com/complexes/108570?tab=detail&amp;rf=Y</t>
        </is>
      </c>
      <c r="AA89" s="0" t="inlineStr">
        <is>
          <t>충청북도 청주시 상당구 대성동 170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상당구</t>
        </is>
      </c>
      <c r="AE89" s="0" t="inlineStr">
        <is>
          <t>대성동</t>
        </is>
      </c>
      <c r="AG89" s="0" t="inlineStr">
        <is>
          <t>충청북도 청주시 상당구 용담로 48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[대성동]</t>
        </is>
      </c>
      <c r="B90" s="0" t="n">
        <v>108570</v>
      </c>
      <c r="C90" s="0" t="n">
        <v>4</v>
      </c>
      <c r="D90" s="0" t="inlineStr">
        <is>
          <t>장미</t>
        </is>
      </c>
      <c r="E90" s="0" t="inlineStr">
        <is>
          <t>1982.11.</t>
        </is>
      </c>
      <c r="F90" s="0" t="n">
        <v>50</v>
      </c>
      <c r="G90" s="0" t="n">
        <v>26.77</v>
      </c>
      <c r="H90" s="0" t="n">
        <v>88.52</v>
      </c>
      <c r="I90" s="0" t="n">
        <v>22.49</v>
      </c>
      <c r="J90" s="0" t="n">
        <v>74.37</v>
      </c>
      <c r="K90" s="0" t="n">
        <v>23</v>
      </c>
      <c r="T90" s="0" t="n">
        <v>3</v>
      </c>
      <c r="U90" s="0" t="n">
        <v>1</v>
      </c>
      <c r="V90" s="0" t="inlineStr">
        <is>
          <t>계단식</t>
        </is>
      </c>
      <c r="W90" s="0" t="n">
        <v>88</v>
      </c>
      <c r="X90" s="0" t="n">
        <v>5</v>
      </c>
      <c r="Y90" s="0" t="n">
        <v>5</v>
      </c>
      <c r="Z90" s="0" t="inlineStr">
        <is>
          <t>https://new.land.naver.com/complexes/108570?tab=detail&amp;rf=Y</t>
        </is>
      </c>
      <c r="AA90" s="0" t="inlineStr">
        <is>
          <t>충청북도 청주시 상당구 대성동 170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상당구</t>
        </is>
      </c>
      <c r="AE90" s="0" t="inlineStr">
        <is>
          <t>대성동</t>
        </is>
      </c>
      <c r="AG90" s="0" t="inlineStr">
        <is>
          <t>충청북도 청주시 상당구 용담로 48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[대성동]</t>
        </is>
      </c>
      <c r="B91" s="0" t="n">
        <v>108569</v>
      </c>
      <c r="C91" s="0" t="n">
        <v>1</v>
      </c>
      <c r="D91" s="0" t="inlineStr">
        <is>
          <t>무지개</t>
        </is>
      </c>
      <c r="E91" s="0" t="inlineStr">
        <is>
          <t>1985.08.</t>
        </is>
      </c>
      <c r="F91" s="0" t="n">
        <v>50</v>
      </c>
      <c r="G91" s="0" t="n">
        <v>20.14</v>
      </c>
      <c r="H91" s="0" t="n">
        <v>66.59999999999999</v>
      </c>
      <c r="I91" s="0" t="n">
        <v>18.04</v>
      </c>
      <c r="J91" s="0" t="n">
        <v>59.65</v>
      </c>
      <c r="K91" s="0" t="n">
        <v>30</v>
      </c>
      <c r="T91" s="0" t="n">
        <v>3</v>
      </c>
      <c r="U91" s="0" t="n">
        <v>1</v>
      </c>
      <c r="V91" s="0" t="inlineStr">
        <is>
          <t>계단식</t>
        </is>
      </c>
      <c r="W91" s="0" t="n">
        <v>66</v>
      </c>
      <c r="X91" s="0" t="n">
        <v>5</v>
      </c>
      <c r="Y91" s="0" t="n">
        <v>5</v>
      </c>
      <c r="Z91" s="0" t="inlineStr">
        <is>
          <t>https://new.land.naver.com/complexes/108569?tab=detail&amp;rf=Y</t>
        </is>
      </c>
      <c r="AA91" s="0" t="inlineStr">
        <is>
          <t>충청북도 청주시 상당구 대성동 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상당구</t>
        </is>
      </c>
      <c r="AE91" s="0" t="inlineStr">
        <is>
          <t>대성동</t>
        </is>
      </c>
      <c r="AG91" s="0" t="inlineStr">
        <is>
          <t>충청북도 청주시 상당구 용담로 94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[대성동]</t>
        </is>
      </c>
      <c r="B92" s="0" t="n">
        <v>108569</v>
      </c>
      <c r="C92" s="0" t="n">
        <v>2</v>
      </c>
      <c r="D92" s="0" t="inlineStr">
        <is>
          <t>무지개</t>
        </is>
      </c>
      <c r="E92" s="0" t="inlineStr">
        <is>
          <t>1985.08.</t>
        </is>
      </c>
      <c r="F92" s="0" t="n">
        <v>50</v>
      </c>
      <c r="G92" s="0" t="n">
        <v>21.05</v>
      </c>
      <c r="H92" s="0" t="n">
        <v>69.61</v>
      </c>
      <c r="I92" s="0" t="n">
        <v>18.94</v>
      </c>
      <c r="J92" s="0" t="n">
        <v>62.64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5</v>
      </c>
      <c r="Y92" s="0" t="n">
        <v>5</v>
      </c>
      <c r="Z92" s="0" t="inlineStr">
        <is>
          <t>https://new.land.naver.com/complexes/108569?tab=detail&amp;rf=Y</t>
        </is>
      </c>
      <c r="AA92" s="0" t="inlineStr">
        <is>
          <t>충청북도 청주시 상당구 대성동 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상당구</t>
        </is>
      </c>
      <c r="AE92" s="0" t="inlineStr">
        <is>
          <t>대성동</t>
        </is>
      </c>
      <c r="AG92" s="0" t="inlineStr">
        <is>
          <t>충청북도 청주시 상당구 용담로 94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[대성동]</t>
        </is>
      </c>
      <c r="B93" s="0" t="n">
        <v>108571</v>
      </c>
      <c r="C93" s="0" t="n">
        <v>1</v>
      </c>
      <c r="D93" s="0" t="inlineStr">
        <is>
          <t>이화</t>
        </is>
      </c>
      <c r="E93" s="0" t="inlineStr">
        <is>
          <t>1980.11.</t>
        </is>
      </c>
      <c r="F93" s="0" t="n">
        <v>45</v>
      </c>
      <c r="G93" s="0" t="n">
        <v>15.9</v>
      </c>
      <c r="H93" s="0" t="n">
        <v>52.57</v>
      </c>
      <c r="I93" s="0" t="n">
        <v>15.9</v>
      </c>
      <c r="J93" s="0" t="n">
        <v>52.57</v>
      </c>
      <c r="K93" s="0" t="n">
        <v>4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52A</t>
        </is>
      </c>
      <c r="X93" s="0" t="n">
        <v>5</v>
      </c>
      <c r="Y93" s="0" t="n">
        <v>4</v>
      </c>
      <c r="Z93" s="0" t="inlineStr">
        <is>
          <t>https://new.land.naver.com/complexes/108571?tab=detail&amp;rf=Y</t>
        </is>
      </c>
      <c r="AA93" s="0" t="inlineStr">
        <is>
          <t>충청북도 청주시 상당구 대성동 155-1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상당구</t>
        </is>
      </c>
      <c r="AE93" s="0" t="inlineStr">
        <is>
          <t>대성동</t>
        </is>
      </c>
      <c r="AG93" s="0" t="inlineStr">
        <is>
          <t>충청북도 청주시 상당구 용담로 55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[대성동]</t>
        </is>
      </c>
      <c r="B94" s="0" t="n">
        <v>108571</v>
      </c>
      <c r="C94" s="0" t="n">
        <v>2</v>
      </c>
      <c r="D94" s="0" t="inlineStr">
        <is>
          <t>이화</t>
        </is>
      </c>
      <c r="E94" s="0" t="inlineStr">
        <is>
          <t>1980.11.</t>
        </is>
      </c>
      <c r="F94" s="0" t="n">
        <v>45</v>
      </c>
      <c r="G94" s="0" t="n">
        <v>15.9</v>
      </c>
      <c r="H94" s="0" t="n">
        <v>52.58</v>
      </c>
      <c r="I94" s="0" t="n">
        <v>15.9</v>
      </c>
      <c r="J94" s="0" t="n">
        <v>52.58</v>
      </c>
      <c r="K94" s="0" t="n">
        <v>4</v>
      </c>
      <c r="T94" s="0" t="n">
        <v>2</v>
      </c>
      <c r="U94" s="0" t="n">
        <v>1</v>
      </c>
      <c r="V94" s="0" t="inlineStr">
        <is>
          <t>계단식</t>
        </is>
      </c>
      <c r="W94" s="0" t="inlineStr">
        <is>
          <t>52B</t>
        </is>
      </c>
      <c r="X94" s="0" t="n">
        <v>5</v>
      </c>
      <c r="Y94" s="0" t="n">
        <v>4</v>
      </c>
      <c r="Z94" s="0" t="inlineStr">
        <is>
          <t>https://new.land.naver.com/complexes/108571?tab=detail&amp;rf=Y</t>
        </is>
      </c>
      <c r="AA94" s="0" t="inlineStr">
        <is>
          <t>충청북도 청주시 상당구 대성동 155-1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상당구</t>
        </is>
      </c>
      <c r="AE94" s="0" t="inlineStr">
        <is>
          <t>대성동</t>
        </is>
      </c>
      <c r="AG94" s="0" t="inlineStr">
        <is>
          <t>충청북도 청주시 상당구 용담로 55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[대성동]</t>
        </is>
      </c>
      <c r="B95" s="0" t="n">
        <v>108571</v>
      </c>
      <c r="C95" s="0" t="n">
        <v>3</v>
      </c>
      <c r="D95" s="0" t="inlineStr">
        <is>
          <t>이화</t>
        </is>
      </c>
      <c r="E95" s="0" t="inlineStr">
        <is>
          <t>1980.11.</t>
        </is>
      </c>
      <c r="F95" s="0" t="n">
        <v>45</v>
      </c>
      <c r="G95" s="0" t="n">
        <v>19.23</v>
      </c>
      <c r="H95" s="0" t="n">
        <v>63.58</v>
      </c>
      <c r="I95" s="0" t="n">
        <v>19.23</v>
      </c>
      <c r="J95" s="0" t="n">
        <v>63.58</v>
      </c>
      <c r="K95" s="0" t="n">
        <v>32</v>
      </c>
      <c r="T95" s="0" t="n">
        <v>2</v>
      </c>
      <c r="U95" s="0" t="n">
        <v>1</v>
      </c>
      <c r="V95" s="0" t="inlineStr">
        <is>
          <t>계단식</t>
        </is>
      </c>
      <c r="W95" s="0" t="n">
        <v>63</v>
      </c>
      <c r="X95" s="0" t="n">
        <v>5</v>
      </c>
      <c r="Y95" s="0" t="n">
        <v>4</v>
      </c>
      <c r="Z95" s="0" t="inlineStr">
        <is>
          <t>https://new.land.naver.com/complexes/108571?tab=detail&amp;rf=Y</t>
        </is>
      </c>
      <c r="AA95" s="0" t="inlineStr">
        <is>
          <t>충청북도 청주시 상당구 대성동 155-1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상당구</t>
        </is>
      </c>
      <c r="AE95" s="0" t="inlineStr">
        <is>
          <t>대성동</t>
        </is>
      </c>
      <c r="AG95" s="0" t="inlineStr">
        <is>
          <t>충청북도 청주시 상당구 용담로 55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[대성동]</t>
        </is>
      </c>
      <c r="B96" s="0" t="n">
        <v>108571</v>
      </c>
      <c r="C96" s="0" t="n">
        <v>4</v>
      </c>
      <c r="D96" s="0" t="inlineStr">
        <is>
          <t>이화</t>
        </is>
      </c>
      <c r="E96" s="0" t="inlineStr">
        <is>
          <t>1980.11.</t>
        </is>
      </c>
      <c r="F96" s="0" t="n">
        <v>45</v>
      </c>
      <c r="G96" s="0" t="n">
        <v>20.9</v>
      </c>
      <c r="H96" s="0" t="n">
        <v>69.09999999999999</v>
      </c>
      <c r="I96" s="0" t="n">
        <v>20.9</v>
      </c>
      <c r="J96" s="0" t="n">
        <v>69.09999999999999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n">
        <v>69</v>
      </c>
      <c r="X96" s="0" t="n">
        <v>5</v>
      </c>
      <c r="Y96" s="0" t="n">
        <v>4</v>
      </c>
      <c r="Z96" s="0" t="inlineStr">
        <is>
          <t>https://new.land.naver.com/complexes/108571?tab=detail&amp;rf=Y</t>
        </is>
      </c>
      <c r="AA96" s="0" t="inlineStr">
        <is>
          <t>충청북도 청주시 상당구 대성동 155-1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상당구</t>
        </is>
      </c>
      <c r="AE96" s="0" t="inlineStr">
        <is>
          <t>대성동</t>
        </is>
      </c>
      <c r="AG96" s="0" t="inlineStr">
        <is>
          <t>충청북도 청주시 상당구 용담로 55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[대성동]</t>
        </is>
      </c>
      <c r="B97" s="0" t="n">
        <v>108571</v>
      </c>
      <c r="C97" s="0" t="n">
        <v>5</v>
      </c>
      <c r="D97" s="0" t="inlineStr">
        <is>
          <t>이화</t>
        </is>
      </c>
      <c r="E97" s="0" t="inlineStr">
        <is>
          <t>1980.11.</t>
        </is>
      </c>
      <c r="F97" s="0" t="n">
        <v>45</v>
      </c>
      <c r="G97" s="0" t="n">
        <v>25.6</v>
      </c>
      <c r="H97" s="0" t="n">
        <v>84.63</v>
      </c>
      <c r="I97" s="0" t="n">
        <v>25.6</v>
      </c>
      <c r="J97" s="0" t="n">
        <v>84.63</v>
      </c>
      <c r="K97" s="0" t="n">
        <v>4</v>
      </c>
      <c r="T97" s="0" t="n">
        <v>3</v>
      </c>
      <c r="U97" s="0" t="n">
        <v>1</v>
      </c>
      <c r="V97" s="0" t="inlineStr">
        <is>
          <t>계단식</t>
        </is>
      </c>
      <c r="W97" s="0" t="n">
        <v>84</v>
      </c>
      <c r="X97" s="0" t="n">
        <v>5</v>
      </c>
      <c r="Y97" s="0" t="n">
        <v>4</v>
      </c>
      <c r="Z97" s="0" t="inlineStr">
        <is>
          <t>https://new.land.naver.com/complexes/108571?tab=detail&amp;rf=Y</t>
        </is>
      </c>
      <c r="AA97" s="0" t="inlineStr">
        <is>
          <t>충청북도 청주시 상당구 대성동 155-1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상당구</t>
        </is>
      </c>
      <c r="AE97" s="0" t="inlineStr">
        <is>
          <t>대성동</t>
        </is>
      </c>
      <c r="AG97" s="0" t="inlineStr">
        <is>
          <t>충청북도 청주시 상당구 용담로 55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[대성동]</t>
        </is>
      </c>
      <c r="B98" s="0" t="n">
        <v>13328</v>
      </c>
      <c r="C98" s="0" t="n">
        <v>1</v>
      </c>
      <c r="D98" s="0" t="inlineStr">
        <is>
          <t>우성</t>
        </is>
      </c>
      <c r="E98" s="0" t="inlineStr">
        <is>
          <t>1991.10.</t>
        </is>
      </c>
      <c r="F98" s="0" t="n">
        <v>554</v>
      </c>
      <c r="G98" s="0" t="n">
        <v>33.69</v>
      </c>
      <c r="H98" s="0" t="n">
        <v>111.39</v>
      </c>
      <c r="I98" s="0" t="n">
        <v>25.69</v>
      </c>
      <c r="J98" s="0" t="n">
        <v>84.95</v>
      </c>
      <c r="K98" s="0" t="n">
        <v>390</v>
      </c>
      <c r="T98" s="0" t="n">
        <v>3</v>
      </c>
      <c r="U98" s="0" t="n">
        <v>2</v>
      </c>
      <c r="V98" s="0" t="inlineStr">
        <is>
          <t>계단식</t>
        </is>
      </c>
      <c r="W98" s="0" t="n">
        <v>111</v>
      </c>
      <c r="X98" s="0" t="n">
        <v>15</v>
      </c>
      <c r="Y98" s="0" t="n">
        <v>8</v>
      </c>
      <c r="Z98" s="0" t="inlineStr">
        <is>
          <t>https://new.land.naver.com/complexes/13328?tab=detail&amp;rf=Y</t>
        </is>
      </c>
      <c r="AA98" s="0" t="inlineStr">
        <is>
          <t>충청북도 청주시 상당구 대성동 5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상당구</t>
        </is>
      </c>
      <c r="AE98" s="0" t="inlineStr">
        <is>
          <t>대성동</t>
        </is>
      </c>
      <c r="AG98" s="0" t="inlineStr">
        <is>
          <t>충청북도 청주시 상당구 용담로63번길 33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[대성동]</t>
        </is>
      </c>
      <c r="B99" s="0" t="n">
        <v>13328</v>
      </c>
      <c r="C99" s="0" t="n">
        <v>2</v>
      </c>
      <c r="D99" s="0" t="inlineStr">
        <is>
          <t>우성</t>
        </is>
      </c>
      <c r="E99" s="0" t="inlineStr">
        <is>
          <t>1991.10.</t>
        </is>
      </c>
      <c r="F99" s="0" t="n">
        <v>554</v>
      </c>
      <c r="G99" s="0" t="n">
        <v>46.48</v>
      </c>
      <c r="H99" s="0" t="n">
        <v>153.66</v>
      </c>
      <c r="I99" s="0" t="n">
        <v>38.48</v>
      </c>
      <c r="J99" s="0" t="n">
        <v>127.22</v>
      </c>
      <c r="K99" s="0" t="n">
        <v>112</v>
      </c>
      <c r="T99" s="0" t="n">
        <v>4</v>
      </c>
      <c r="U99" s="0" t="n">
        <v>2</v>
      </c>
      <c r="V99" s="0" t="inlineStr">
        <is>
          <t>계단식</t>
        </is>
      </c>
      <c r="W99" s="0" t="n">
        <v>153</v>
      </c>
      <c r="X99" s="0" t="n">
        <v>15</v>
      </c>
      <c r="Y99" s="0" t="n">
        <v>8</v>
      </c>
      <c r="Z99" s="0" t="inlineStr">
        <is>
          <t>https://new.land.naver.com/complexes/13328?tab=detail&amp;rf=Y</t>
        </is>
      </c>
      <c r="AA99" s="0" t="inlineStr">
        <is>
          <t>충청북도 청주시 상당구 대성동 5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상당구</t>
        </is>
      </c>
      <c r="AE99" s="0" t="inlineStr">
        <is>
          <t>대성동</t>
        </is>
      </c>
      <c r="AG99" s="0" t="inlineStr">
        <is>
          <t>충청북도 청주시 상당구 용담로63번길 33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[대성동]</t>
        </is>
      </c>
      <c r="B100" s="0" t="n">
        <v>13328</v>
      </c>
      <c r="C100" s="0" t="n">
        <v>3</v>
      </c>
      <c r="D100" s="0" t="inlineStr">
        <is>
          <t>우성</t>
        </is>
      </c>
      <c r="E100" s="0" t="inlineStr">
        <is>
          <t>1991.10.</t>
        </is>
      </c>
      <c r="F100" s="0" t="n">
        <v>554</v>
      </c>
      <c r="G100" s="0" t="n">
        <v>59.77</v>
      </c>
      <c r="H100" s="0" t="n">
        <v>197.6</v>
      </c>
      <c r="I100" s="0" t="n">
        <v>47.35</v>
      </c>
      <c r="J100" s="0" t="n">
        <v>156.55</v>
      </c>
      <c r="K100" s="0" t="n">
        <v>52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197</v>
      </c>
      <c r="X100" s="0" t="n">
        <v>15</v>
      </c>
      <c r="Y100" s="0" t="n">
        <v>8</v>
      </c>
      <c r="Z100" s="0" t="inlineStr">
        <is>
          <t>https://new.land.naver.com/complexes/13328?tab=detail&amp;rf=Y</t>
        </is>
      </c>
      <c r="AA100" s="0" t="inlineStr">
        <is>
          <t>충청북도 청주시 상당구 대성동 5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상당구</t>
        </is>
      </c>
      <c r="AE100" s="0" t="inlineStr">
        <is>
          <t>대성동</t>
        </is>
      </c>
      <c r="AG100" s="0" t="inlineStr">
        <is>
          <t>충청북도 청주시 상당구 용담로63번길 33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[문화동]</t>
        </is>
      </c>
      <c r="B101" s="0" t="n">
        <v>111702</v>
      </c>
      <c r="C101" s="0" t="n">
        <v>1</v>
      </c>
      <c r="D101" s="0" t="inlineStr">
        <is>
          <t>문화센트럴칸타빌</t>
        </is>
      </c>
      <c r="E101" s="0" t="inlineStr">
        <is>
          <t>2018.12.</t>
        </is>
      </c>
      <c r="F101" s="0" t="n">
        <v>630</v>
      </c>
      <c r="G101" s="0" t="n">
        <v>34.28</v>
      </c>
      <c r="H101" s="0" t="n">
        <v>113.33</v>
      </c>
      <c r="I101" s="0" t="n">
        <v>25.67</v>
      </c>
      <c r="J101" s="0" t="n">
        <v>84.87</v>
      </c>
      <c r="K101" s="0" t="n">
        <v>96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113C</t>
        </is>
      </c>
      <c r="X101" s="0" t="n">
        <v>33</v>
      </c>
      <c r="Y101" s="0" t="n">
        <v>22</v>
      </c>
      <c r="Z101" s="0" t="inlineStr">
        <is>
          <t>https://new.land.naver.com/complexes/111702?tab=detail&amp;rf=Y</t>
        </is>
      </c>
      <c r="AA101" s="0" t="inlineStr">
        <is>
          <t>충청북도 청주시 상당구 문화동 118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상당구</t>
        </is>
      </c>
      <c r="AE101" s="0" t="inlineStr">
        <is>
          <t>문화동</t>
        </is>
      </c>
      <c r="AG101" s="0" t="inlineStr">
        <is>
          <t>충청북도 청주시 상당구 용담로 7</t>
        </is>
      </c>
      <c r="AH101" s="0" t="n">
        <v>0</v>
      </c>
      <c r="AI101" s="0" t="n">
        <v>594</v>
      </c>
      <c r="AJ101" s="0" t="n">
        <v>51</v>
      </c>
      <c r="AK101" s="0" t="n">
        <v>998</v>
      </c>
      <c r="AL101" s="0" t="n">
        <v>1.58</v>
      </c>
    </row>
    <row r="102">
      <c r="A102" s="0" t="inlineStr">
        <is>
          <t>[문화동]</t>
        </is>
      </c>
      <c r="B102" s="0" t="n">
        <v>111702</v>
      </c>
      <c r="C102" s="0" t="n">
        <v>2</v>
      </c>
      <c r="D102" s="0" t="inlineStr">
        <is>
          <t>문화센트럴칸타빌</t>
        </is>
      </c>
      <c r="E102" s="0" t="inlineStr">
        <is>
          <t>2018.12.</t>
        </is>
      </c>
      <c r="F102" s="0" t="n">
        <v>630</v>
      </c>
      <c r="G102" s="0" t="n">
        <v>34.65</v>
      </c>
      <c r="H102" s="0" t="n">
        <v>114.56</v>
      </c>
      <c r="I102" s="0" t="n">
        <v>25.63</v>
      </c>
      <c r="J102" s="0" t="n">
        <v>84.73999999999999</v>
      </c>
      <c r="K102" s="0" t="n">
        <v>208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114B</t>
        </is>
      </c>
      <c r="X102" s="0" t="n">
        <v>33</v>
      </c>
      <c r="Y102" s="0" t="n">
        <v>22</v>
      </c>
      <c r="Z102" s="0" t="inlineStr">
        <is>
          <t>https://new.land.naver.com/complexes/111702?tab=detail&amp;rf=Y</t>
        </is>
      </c>
      <c r="AA102" s="0" t="inlineStr">
        <is>
          <t>충청북도 청주시 상당구 문화동 118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상당구</t>
        </is>
      </c>
      <c r="AE102" s="0" t="inlineStr">
        <is>
          <t>문화동</t>
        </is>
      </c>
      <c r="AG102" s="0" t="inlineStr">
        <is>
          <t>충청북도 청주시 상당구 용담로 7</t>
        </is>
      </c>
      <c r="AH102" s="0" t="n">
        <v>0</v>
      </c>
      <c r="AI102" s="0" t="n">
        <v>594</v>
      </c>
      <c r="AJ102" s="0" t="n">
        <v>51</v>
      </c>
      <c r="AK102" s="0" t="n">
        <v>998</v>
      </c>
      <c r="AL102" s="0" t="n">
        <v>1.58</v>
      </c>
    </row>
    <row r="103">
      <c r="A103" s="0" t="inlineStr">
        <is>
          <t>[문화동]</t>
        </is>
      </c>
      <c r="B103" s="0" t="n">
        <v>111702</v>
      </c>
      <c r="C103" s="0" t="n">
        <v>3</v>
      </c>
      <c r="D103" s="0" t="inlineStr">
        <is>
          <t>문화센트럴칸타빌</t>
        </is>
      </c>
      <c r="E103" s="0" t="inlineStr">
        <is>
          <t>2018.12.</t>
        </is>
      </c>
      <c r="F103" s="0" t="n">
        <v>630</v>
      </c>
      <c r="G103" s="0" t="n">
        <v>34.65</v>
      </c>
      <c r="H103" s="0" t="n">
        <v>114.55</v>
      </c>
      <c r="I103" s="0" t="n">
        <v>25.7</v>
      </c>
      <c r="J103" s="0" t="n">
        <v>84.95999999999999</v>
      </c>
      <c r="K103" s="0" t="n">
        <v>204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114A</t>
        </is>
      </c>
      <c r="X103" s="0" t="n">
        <v>33</v>
      </c>
      <c r="Y103" s="0" t="n">
        <v>22</v>
      </c>
      <c r="Z103" s="0" t="inlineStr">
        <is>
          <t>https://new.land.naver.com/complexes/111702?tab=detail&amp;rf=Y</t>
        </is>
      </c>
      <c r="AA103" s="0" t="inlineStr">
        <is>
          <t>충청북도 청주시 상당구 문화동 118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상당구</t>
        </is>
      </c>
      <c r="AE103" s="0" t="inlineStr">
        <is>
          <t>문화동</t>
        </is>
      </c>
      <c r="AG103" s="0" t="inlineStr">
        <is>
          <t>충청북도 청주시 상당구 용담로 7</t>
        </is>
      </c>
      <c r="AH103" s="0" t="n">
        <v>0</v>
      </c>
      <c r="AI103" s="0" t="n">
        <v>594</v>
      </c>
      <c r="AJ103" s="0" t="n">
        <v>51</v>
      </c>
      <c r="AK103" s="0" t="n">
        <v>998</v>
      </c>
      <c r="AL103" s="0" t="n">
        <v>1.58</v>
      </c>
    </row>
    <row r="104">
      <c r="A104" s="0" t="inlineStr">
        <is>
          <t>[문화동]</t>
        </is>
      </c>
      <c r="B104" s="0" t="n">
        <v>111702</v>
      </c>
      <c r="C104" s="0" t="n">
        <v>4</v>
      </c>
      <c r="D104" s="0" t="inlineStr">
        <is>
          <t>문화센트럴칸타빌</t>
        </is>
      </c>
      <c r="E104" s="0" t="inlineStr">
        <is>
          <t>2018.12.</t>
        </is>
      </c>
      <c r="F104" s="0" t="n">
        <v>630</v>
      </c>
      <c r="G104" s="0" t="n">
        <v>39.4</v>
      </c>
      <c r="H104" s="0" t="n">
        <v>130.26</v>
      </c>
      <c r="I104" s="0" t="n">
        <v>29.32</v>
      </c>
      <c r="J104" s="0" t="n">
        <v>96.93000000000001</v>
      </c>
      <c r="K104" s="0" t="n">
        <v>108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130</v>
      </c>
      <c r="X104" s="0" t="n">
        <v>33</v>
      </c>
      <c r="Y104" s="0" t="n">
        <v>22</v>
      </c>
      <c r="Z104" s="0" t="inlineStr">
        <is>
          <t>https://new.land.naver.com/complexes/111702?tab=detail&amp;rf=Y</t>
        </is>
      </c>
      <c r="AA104" s="0" t="inlineStr">
        <is>
          <t>충청북도 청주시 상당구 문화동 118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상당구</t>
        </is>
      </c>
      <c r="AE104" s="0" t="inlineStr">
        <is>
          <t>문화동</t>
        </is>
      </c>
      <c r="AG104" s="0" t="inlineStr">
        <is>
          <t>충청북도 청주시 상당구 용담로 7</t>
        </is>
      </c>
      <c r="AH104" s="0" t="n">
        <v>0</v>
      </c>
      <c r="AI104" s="0" t="n">
        <v>594</v>
      </c>
      <c r="AJ104" s="0" t="n">
        <v>51</v>
      </c>
      <c r="AK104" s="0" t="n">
        <v>998</v>
      </c>
      <c r="AL104" s="0" t="n">
        <v>1.58</v>
      </c>
    </row>
    <row r="105">
      <c r="A105" s="0" t="inlineStr">
        <is>
          <t>[문화동]</t>
        </is>
      </c>
      <c r="B105" s="0" t="n">
        <v>111702</v>
      </c>
      <c r="C105" s="0" t="n">
        <v>5</v>
      </c>
      <c r="D105" s="0" t="inlineStr">
        <is>
          <t>문화센트럴칸타빌</t>
        </is>
      </c>
      <c r="E105" s="0" t="inlineStr">
        <is>
          <t>2018.12.</t>
        </is>
      </c>
      <c r="F105" s="0" t="n">
        <v>630</v>
      </c>
      <c r="G105" s="0" t="n">
        <v>52.71</v>
      </c>
      <c r="H105" s="0" t="n">
        <v>174.25</v>
      </c>
      <c r="I105" s="0" t="n">
        <v>39.04</v>
      </c>
      <c r="J105" s="0" t="n">
        <v>129.07</v>
      </c>
      <c r="K105" s="0" t="n">
        <v>4</v>
      </c>
      <c r="T105" s="0" t="n">
        <v>4</v>
      </c>
      <c r="U105" s="0" t="n">
        <v>3</v>
      </c>
      <c r="V105" s="0" t="inlineStr">
        <is>
          <t>계단식</t>
        </is>
      </c>
      <c r="W105" s="0" t="inlineStr">
        <is>
          <t>174A</t>
        </is>
      </c>
      <c r="X105" s="0" t="n">
        <v>33</v>
      </c>
      <c r="Y105" s="0" t="n">
        <v>22</v>
      </c>
      <c r="Z105" s="0" t="inlineStr">
        <is>
          <t>https://new.land.naver.com/complexes/111702?tab=detail&amp;rf=Y</t>
        </is>
      </c>
      <c r="AA105" s="0" t="inlineStr">
        <is>
          <t>충청북도 청주시 상당구 문화동 118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상당구</t>
        </is>
      </c>
      <c r="AE105" s="0" t="inlineStr">
        <is>
          <t>문화동</t>
        </is>
      </c>
      <c r="AG105" s="0" t="inlineStr">
        <is>
          <t>충청북도 청주시 상당구 용담로 7</t>
        </is>
      </c>
      <c r="AH105" s="0" t="n">
        <v>0</v>
      </c>
      <c r="AI105" s="0" t="n">
        <v>594</v>
      </c>
      <c r="AJ105" s="0" t="n">
        <v>51</v>
      </c>
      <c r="AK105" s="0" t="n">
        <v>998</v>
      </c>
      <c r="AL105" s="0" t="n">
        <v>1.58</v>
      </c>
    </row>
    <row r="106">
      <c r="A106" s="0" t="inlineStr">
        <is>
          <t>[문화동]</t>
        </is>
      </c>
      <c r="B106" s="0" t="n">
        <v>111702</v>
      </c>
      <c r="C106" s="0" t="n">
        <v>6</v>
      </c>
      <c r="D106" s="0" t="inlineStr">
        <is>
          <t>문화센트럴칸타빌</t>
        </is>
      </c>
      <c r="E106" s="0" t="inlineStr">
        <is>
          <t>2018.12.</t>
        </is>
      </c>
      <c r="F106" s="0" t="n">
        <v>630</v>
      </c>
      <c r="G106" s="0" t="n">
        <v>53.42</v>
      </c>
      <c r="H106" s="0" t="n">
        <v>176.6</v>
      </c>
      <c r="I106" s="0" t="n">
        <v>39.41</v>
      </c>
      <c r="J106" s="0" t="n">
        <v>130.29</v>
      </c>
      <c r="K106" s="0" t="n">
        <v>4</v>
      </c>
      <c r="T106" s="0" t="n">
        <v>4</v>
      </c>
      <c r="U106" s="0" t="n">
        <v>3</v>
      </c>
      <c r="V106" s="0" t="inlineStr">
        <is>
          <t>계단식</t>
        </is>
      </c>
      <c r="W106" s="0" t="inlineStr">
        <is>
          <t>176B</t>
        </is>
      </c>
      <c r="X106" s="0" t="n">
        <v>33</v>
      </c>
      <c r="Y106" s="0" t="n">
        <v>22</v>
      </c>
      <c r="Z106" s="0" t="inlineStr">
        <is>
          <t>https://new.land.naver.com/complexes/111702?tab=detail&amp;rf=Y</t>
        </is>
      </c>
      <c r="AA106" s="0" t="inlineStr">
        <is>
          <t>충청북도 청주시 상당구 문화동 118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상당구</t>
        </is>
      </c>
      <c r="AE106" s="0" t="inlineStr">
        <is>
          <t>문화동</t>
        </is>
      </c>
      <c r="AG106" s="0" t="inlineStr">
        <is>
          <t>충청북도 청주시 상당구 용담로 7</t>
        </is>
      </c>
      <c r="AH106" s="0" t="n">
        <v>0</v>
      </c>
      <c r="AI106" s="0" t="n">
        <v>594</v>
      </c>
      <c r="AJ106" s="0" t="n">
        <v>51</v>
      </c>
      <c r="AK106" s="0" t="n">
        <v>998</v>
      </c>
      <c r="AL106" s="0" t="n">
        <v>1.58</v>
      </c>
    </row>
    <row r="107">
      <c r="A107" s="0" t="inlineStr">
        <is>
          <t>[문화동]</t>
        </is>
      </c>
      <c r="B107" s="0" t="n">
        <v>111702</v>
      </c>
      <c r="C107" s="0" t="n">
        <v>7</v>
      </c>
      <c r="D107" s="0" t="inlineStr">
        <is>
          <t>문화센트럴칸타빌</t>
        </is>
      </c>
      <c r="E107" s="0" t="inlineStr">
        <is>
          <t>2018.12.</t>
        </is>
      </c>
      <c r="F107" s="0" t="n">
        <v>630</v>
      </c>
      <c r="G107" s="0" t="n">
        <v>54.89</v>
      </c>
      <c r="H107" s="0" t="n">
        <v>181.48</v>
      </c>
      <c r="I107" s="0" t="n">
        <v>40.19</v>
      </c>
      <c r="J107" s="0" t="n">
        <v>132.88</v>
      </c>
      <c r="K107" s="0" t="n">
        <v>4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181</v>
      </c>
      <c r="X107" s="0" t="n">
        <v>33</v>
      </c>
      <c r="Y107" s="0" t="n">
        <v>22</v>
      </c>
      <c r="Z107" s="0" t="inlineStr">
        <is>
          <t>https://new.land.naver.com/complexes/111702?tab=detail&amp;rf=Y</t>
        </is>
      </c>
      <c r="AA107" s="0" t="inlineStr">
        <is>
          <t>충청북도 청주시 상당구 문화동 118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상당구</t>
        </is>
      </c>
      <c r="AE107" s="0" t="inlineStr">
        <is>
          <t>문화동</t>
        </is>
      </c>
      <c r="AG107" s="0" t="inlineStr">
        <is>
          <t>충청북도 청주시 상당구 용담로 7</t>
        </is>
      </c>
      <c r="AH107" s="0" t="n">
        <v>0</v>
      </c>
      <c r="AI107" s="0" t="n">
        <v>594</v>
      </c>
      <c r="AJ107" s="0" t="n">
        <v>51</v>
      </c>
      <c r="AK107" s="0" t="n">
        <v>998</v>
      </c>
      <c r="AL107" s="0" t="n">
        <v>1.58</v>
      </c>
    </row>
    <row r="108">
      <c r="A108" s="0" t="inlineStr">
        <is>
          <t>[문화동]</t>
        </is>
      </c>
      <c r="B108" s="0" t="n">
        <v>111702</v>
      </c>
      <c r="C108" s="0" t="n">
        <v>8</v>
      </c>
      <c r="D108" s="0" t="inlineStr">
        <is>
          <t>문화센트럴칸타빌</t>
        </is>
      </c>
      <c r="E108" s="0" t="inlineStr">
        <is>
          <t>2018.12.</t>
        </is>
      </c>
      <c r="F108" s="0" t="n">
        <v>630</v>
      </c>
      <c r="G108" s="0" t="n">
        <v>60.4</v>
      </c>
      <c r="H108" s="0" t="n">
        <v>199.68</v>
      </c>
      <c r="I108" s="0" t="n">
        <v>44.62</v>
      </c>
      <c r="J108" s="0" t="n">
        <v>147.52</v>
      </c>
      <c r="K108" s="0" t="n">
        <v>2</v>
      </c>
      <c r="T108" s="0" t="n">
        <v>5</v>
      </c>
      <c r="U108" s="0" t="n">
        <v>3</v>
      </c>
      <c r="V108" s="0" t="inlineStr">
        <is>
          <t>계단식</t>
        </is>
      </c>
      <c r="W108" s="0" t="n">
        <v>199</v>
      </c>
      <c r="X108" s="0" t="n">
        <v>33</v>
      </c>
      <c r="Y108" s="0" t="n">
        <v>22</v>
      </c>
      <c r="Z108" s="0" t="inlineStr">
        <is>
          <t>https://new.land.naver.com/complexes/111702?tab=detail&amp;rf=Y</t>
        </is>
      </c>
      <c r="AA108" s="0" t="inlineStr">
        <is>
          <t>충청북도 청주시 상당구 문화동 118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상당구</t>
        </is>
      </c>
      <c r="AE108" s="0" t="inlineStr">
        <is>
          <t>문화동</t>
        </is>
      </c>
      <c r="AG108" s="0" t="inlineStr">
        <is>
          <t>충청북도 청주시 상당구 용담로 7</t>
        </is>
      </c>
      <c r="AH108" s="0" t="n">
        <v>0</v>
      </c>
      <c r="AI108" s="0" t="n">
        <v>594</v>
      </c>
      <c r="AJ108" s="0" t="n">
        <v>51</v>
      </c>
      <c r="AK108" s="0" t="n">
        <v>998</v>
      </c>
      <c r="AL108" s="0" t="n">
        <v>1.58</v>
      </c>
    </row>
    <row r="109">
      <c r="A109" s="0" t="inlineStr">
        <is>
          <t>[미원면]</t>
        </is>
      </c>
      <c r="B109" s="0" t="n">
        <v>131769</v>
      </c>
      <c r="C109" s="0" t="n">
        <v>1</v>
      </c>
      <c r="D109" s="0" t="inlineStr">
        <is>
          <t>유신</t>
        </is>
      </c>
      <c r="E109" s="0" t="inlineStr">
        <is>
          <t>1989.11.</t>
        </is>
      </c>
      <c r="F109" s="0" t="n">
        <v>34</v>
      </c>
      <c r="G109" s="0" t="n">
        <v>18.15</v>
      </c>
      <c r="H109" s="0" t="n">
        <v>60</v>
      </c>
      <c r="I109" s="0" t="n">
        <v>18.15</v>
      </c>
      <c r="J109" s="0" t="n">
        <v>60</v>
      </c>
      <c r="K109" s="0" t="n">
        <v>14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60B</t>
        </is>
      </c>
      <c r="X109" s="0" t="n">
        <v>5</v>
      </c>
      <c r="Y109" s="0" t="n">
        <v>5</v>
      </c>
      <c r="Z109" s="0" t="inlineStr">
        <is>
          <t>https://new.land.naver.com/complexes/131769?tab=detail&amp;rf=Y</t>
        </is>
      </c>
      <c r="AA109" s="0" t="inlineStr">
        <is>
          <t>충청북도 청주시 상당구 미원면 미원리 534-1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상당구</t>
        </is>
      </c>
      <c r="AE109" s="0" t="inlineStr">
        <is>
          <t>미원면</t>
        </is>
      </c>
      <c r="AG109" s="0" t="inlineStr">
        <is>
          <t>충청북도 청주시 상당구 미원시내2길 35-14</t>
        </is>
      </c>
      <c r="AH109" s="0" t="n">
        <v>0</v>
      </c>
      <c r="AI109" s="0" t="n">
        <v>182</v>
      </c>
      <c r="AJ109" s="0" t="n">
        <v>37</v>
      </c>
      <c r="AK109" s="0" t="n">
        <v>7</v>
      </c>
      <c r="AL109" s="0" t="n">
        <v>0.21</v>
      </c>
    </row>
    <row r="110">
      <c r="A110" s="0" t="inlineStr">
        <is>
          <t>[미원면]</t>
        </is>
      </c>
      <c r="B110" s="0" t="n">
        <v>131769</v>
      </c>
      <c r="C110" s="0" t="n">
        <v>2</v>
      </c>
      <c r="D110" s="0" t="inlineStr">
        <is>
          <t>유신</t>
        </is>
      </c>
      <c r="E110" s="0" t="inlineStr">
        <is>
          <t>1989.11.</t>
        </is>
      </c>
      <c r="F110" s="0" t="n">
        <v>34</v>
      </c>
      <c r="G110" s="0" t="n">
        <v>18.15</v>
      </c>
      <c r="H110" s="0" t="n">
        <v>60</v>
      </c>
      <c r="I110" s="0" t="n">
        <v>16.26</v>
      </c>
      <c r="J110" s="0" t="n">
        <v>53.76</v>
      </c>
      <c r="K110" s="0" t="n">
        <v>1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60A</t>
        </is>
      </c>
      <c r="X110" s="0" t="n">
        <v>5</v>
      </c>
      <c r="Y110" s="0" t="n">
        <v>5</v>
      </c>
      <c r="Z110" s="0" t="inlineStr">
        <is>
          <t>https://new.land.naver.com/complexes/131769?tab=detail&amp;rf=Y</t>
        </is>
      </c>
      <c r="AA110" s="0" t="inlineStr">
        <is>
          <t>충청북도 청주시 상당구 미원면 미원리 534-1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상당구</t>
        </is>
      </c>
      <c r="AE110" s="0" t="inlineStr">
        <is>
          <t>미원면</t>
        </is>
      </c>
      <c r="AG110" s="0" t="inlineStr">
        <is>
          <t>충청북도 청주시 상당구 미원시내2길 35-14</t>
        </is>
      </c>
      <c r="AH110" s="0" t="n">
        <v>0</v>
      </c>
      <c r="AI110" s="0" t="n">
        <v>182</v>
      </c>
      <c r="AJ110" s="0" t="n">
        <v>37</v>
      </c>
      <c r="AK110" s="0" t="n">
        <v>7</v>
      </c>
      <c r="AL110" s="0" t="n">
        <v>0.21</v>
      </c>
    </row>
    <row r="111">
      <c r="A111" s="0" t="inlineStr">
        <is>
          <t>[미원면]</t>
        </is>
      </c>
      <c r="B111" s="0" t="n">
        <v>131769</v>
      </c>
      <c r="C111" s="0" t="n">
        <v>3</v>
      </c>
      <c r="D111" s="0" t="inlineStr">
        <is>
          <t>유신</t>
        </is>
      </c>
      <c r="E111" s="0" t="inlineStr">
        <is>
          <t>1989.11.</t>
        </is>
      </c>
      <c r="F111" s="0" t="n">
        <v>34</v>
      </c>
      <c r="G111" s="0" t="n">
        <v>19.05</v>
      </c>
      <c r="H111" s="0" t="n">
        <v>63</v>
      </c>
      <c r="I111" s="0" t="n">
        <v>19.05</v>
      </c>
      <c r="J111" s="0" t="n">
        <v>63</v>
      </c>
      <c r="K111" s="0" t="n">
        <v>10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63B</t>
        </is>
      </c>
      <c r="X111" s="0" t="n">
        <v>5</v>
      </c>
      <c r="Y111" s="0" t="n">
        <v>5</v>
      </c>
      <c r="Z111" s="0" t="inlineStr">
        <is>
          <t>https://new.land.naver.com/complexes/131769?tab=detail&amp;rf=Y</t>
        </is>
      </c>
      <c r="AA111" s="0" t="inlineStr">
        <is>
          <t>충청북도 청주시 상당구 미원면 미원리 534-1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상당구</t>
        </is>
      </c>
      <c r="AE111" s="0" t="inlineStr">
        <is>
          <t>미원면</t>
        </is>
      </c>
      <c r="AG111" s="0" t="inlineStr">
        <is>
          <t>충청북도 청주시 상당구 미원시내2길 35-14</t>
        </is>
      </c>
      <c r="AH111" s="0" t="n">
        <v>0</v>
      </c>
      <c r="AI111" s="0" t="n">
        <v>182</v>
      </c>
      <c r="AJ111" s="0" t="n">
        <v>37</v>
      </c>
      <c r="AK111" s="0" t="n">
        <v>7</v>
      </c>
      <c r="AL111" s="0" t="n">
        <v>0.21</v>
      </c>
    </row>
    <row r="112">
      <c r="A112" s="0" t="inlineStr">
        <is>
          <t>[미원면]</t>
        </is>
      </c>
      <c r="B112" s="0" t="n">
        <v>131769</v>
      </c>
      <c r="C112" s="0" t="n">
        <v>4</v>
      </c>
      <c r="D112" s="0" t="inlineStr">
        <is>
          <t>유신</t>
        </is>
      </c>
      <c r="E112" s="0" t="inlineStr">
        <is>
          <t>1989.11.</t>
        </is>
      </c>
      <c r="F112" s="0" t="n">
        <v>34</v>
      </c>
      <c r="G112" s="0" t="n">
        <v>19.05</v>
      </c>
      <c r="H112" s="0" t="n">
        <v>63</v>
      </c>
      <c r="I112" s="0" t="n">
        <v>17.16</v>
      </c>
      <c r="J112" s="0" t="n">
        <v>56.76</v>
      </c>
      <c r="K112" s="0" t="n">
        <v>5</v>
      </c>
      <c r="T112" s="0" t="n">
        <v>2</v>
      </c>
      <c r="U112" s="0" t="n">
        <v>1</v>
      </c>
      <c r="V112" s="0" t="inlineStr">
        <is>
          <t>계단식</t>
        </is>
      </c>
      <c r="W112" s="0" t="inlineStr">
        <is>
          <t>63A</t>
        </is>
      </c>
      <c r="X112" s="0" t="n">
        <v>5</v>
      </c>
      <c r="Y112" s="0" t="n">
        <v>5</v>
      </c>
      <c r="Z112" s="0" t="inlineStr">
        <is>
          <t>https://new.land.naver.com/complexes/131769?tab=detail&amp;rf=Y</t>
        </is>
      </c>
      <c r="AA112" s="0" t="inlineStr">
        <is>
          <t>충청북도 청주시 상당구 미원면 미원리 534-1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상당구</t>
        </is>
      </c>
      <c r="AE112" s="0" t="inlineStr">
        <is>
          <t>미원면</t>
        </is>
      </c>
      <c r="AG112" s="0" t="inlineStr">
        <is>
          <t>충청북도 청주시 상당구 미원시내2길 35-14</t>
        </is>
      </c>
      <c r="AH112" s="0" t="n">
        <v>0</v>
      </c>
      <c r="AI112" s="0" t="n">
        <v>182</v>
      </c>
      <c r="AJ112" s="0" t="n">
        <v>37</v>
      </c>
      <c r="AK112" s="0" t="n">
        <v>7</v>
      </c>
      <c r="AL112" s="0" t="n">
        <v>0.21</v>
      </c>
    </row>
    <row r="113">
      <c r="A113" s="0" t="inlineStr">
        <is>
          <t>[미원면]</t>
        </is>
      </c>
      <c r="B113" s="0" t="n">
        <v>131769</v>
      </c>
      <c r="C113" s="0" t="n">
        <v>5</v>
      </c>
      <c r="D113" s="0" t="inlineStr">
        <is>
          <t>유신</t>
        </is>
      </c>
      <c r="E113" s="0" t="inlineStr">
        <is>
          <t>1989.11.</t>
        </is>
      </c>
      <c r="F113" s="0" t="n">
        <v>34</v>
      </c>
      <c r="G113" s="0" t="n">
        <v>25.09</v>
      </c>
      <c r="H113" s="0" t="n">
        <v>82.95999999999999</v>
      </c>
      <c r="I113" s="0" t="n">
        <v>25.09</v>
      </c>
      <c r="J113" s="0" t="n">
        <v>82.95999999999999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82B</t>
        </is>
      </c>
      <c r="X113" s="0" t="n">
        <v>5</v>
      </c>
      <c r="Y113" s="0" t="n">
        <v>5</v>
      </c>
      <c r="Z113" s="0" t="inlineStr">
        <is>
          <t>https://new.land.naver.com/complexes/131769?tab=detail&amp;rf=Y</t>
        </is>
      </c>
      <c r="AA113" s="0" t="inlineStr">
        <is>
          <t>충청북도 청주시 상당구 미원면 미원리 534-1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상당구</t>
        </is>
      </c>
      <c r="AE113" s="0" t="inlineStr">
        <is>
          <t>미원면</t>
        </is>
      </c>
      <c r="AG113" s="0" t="inlineStr">
        <is>
          <t>충청북도 청주시 상당구 미원시내2길 35-14</t>
        </is>
      </c>
      <c r="AH113" s="0" t="n">
        <v>0</v>
      </c>
      <c r="AI113" s="0" t="n">
        <v>182</v>
      </c>
      <c r="AJ113" s="0" t="n">
        <v>37</v>
      </c>
      <c r="AK113" s="0" t="n">
        <v>7</v>
      </c>
      <c r="AL113" s="0" t="n">
        <v>0.21</v>
      </c>
    </row>
    <row r="114">
      <c r="A114" s="0" t="inlineStr">
        <is>
          <t>[미원면]</t>
        </is>
      </c>
      <c r="B114" s="0" t="n">
        <v>131769</v>
      </c>
      <c r="C114" s="0" t="n">
        <v>6</v>
      </c>
      <c r="D114" s="0" t="inlineStr">
        <is>
          <t>유신</t>
        </is>
      </c>
      <c r="E114" s="0" t="inlineStr">
        <is>
          <t>1989.11.</t>
        </is>
      </c>
      <c r="F114" s="0" t="n">
        <v>34</v>
      </c>
      <c r="G114" s="0" t="n">
        <v>25.09</v>
      </c>
      <c r="H114" s="0" t="n">
        <v>82.95999999999999</v>
      </c>
      <c r="I114" s="0" t="n">
        <v>21.16</v>
      </c>
      <c r="J114" s="0" t="n">
        <v>69.95999999999999</v>
      </c>
      <c r="K114" s="0" t="n">
        <v>1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82A</t>
        </is>
      </c>
      <c r="X114" s="0" t="n">
        <v>5</v>
      </c>
      <c r="Y114" s="0" t="n">
        <v>5</v>
      </c>
      <c r="Z114" s="0" t="inlineStr">
        <is>
          <t>https://new.land.naver.com/complexes/131769?tab=detail&amp;rf=Y</t>
        </is>
      </c>
      <c r="AA114" s="0" t="inlineStr">
        <is>
          <t>충청북도 청주시 상당구 미원면 미원리 534-1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상당구</t>
        </is>
      </c>
      <c r="AE114" s="0" t="inlineStr">
        <is>
          <t>미원면</t>
        </is>
      </c>
      <c r="AG114" s="0" t="inlineStr">
        <is>
          <t>충청북도 청주시 상당구 미원시내2길 35-14</t>
        </is>
      </c>
      <c r="AH114" s="0" t="n">
        <v>0</v>
      </c>
      <c r="AI114" s="0" t="n">
        <v>182</v>
      </c>
      <c r="AJ114" s="0" t="n">
        <v>37</v>
      </c>
      <c r="AK114" s="0" t="n">
        <v>7</v>
      </c>
      <c r="AL114" s="0" t="n">
        <v>0.21</v>
      </c>
    </row>
    <row r="115">
      <c r="A115" s="0" t="inlineStr">
        <is>
          <t>[미원면]</t>
        </is>
      </c>
      <c r="B115" s="0" t="n">
        <v>136622</v>
      </c>
      <c r="C115" s="0" t="n">
        <v>1</v>
      </c>
      <c r="D115" s="0" t="inlineStr">
        <is>
          <t>미원통경</t>
        </is>
      </c>
      <c r="E115" s="0" t="inlineStr">
        <is>
          <t>1992.12.</t>
        </is>
      </c>
      <c r="F115" s="0" t="n">
        <v>68</v>
      </c>
      <c r="G115" s="0" t="n">
        <v>19.61</v>
      </c>
      <c r="H115" s="0" t="n">
        <v>64.84999999999999</v>
      </c>
      <c r="I115" s="0" t="n">
        <v>16.97</v>
      </c>
      <c r="J115" s="0" t="n">
        <v>56.12</v>
      </c>
      <c r="K115" s="0" t="n">
        <v>8</v>
      </c>
      <c r="T115" s="0" t="n">
        <v>3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7</v>
      </c>
      <c r="Y115" s="0" t="n">
        <v>5</v>
      </c>
      <c r="Z115" s="0" t="inlineStr">
        <is>
          <t>https://new.land.naver.com/complexes/136622?tab=detail&amp;rf=Y</t>
        </is>
      </c>
      <c r="AA115" s="0" t="inlineStr">
        <is>
          <t>충청북도 청주시 상당구 미원면 미원리 560-14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상당구</t>
        </is>
      </c>
      <c r="AE115" s="0" t="inlineStr">
        <is>
          <t>미원면</t>
        </is>
      </c>
      <c r="AG115" s="0" t="inlineStr">
        <is>
          <t>충청북도 청주시 상당구 단재로 2483-6</t>
        </is>
      </c>
      <c r="AH115" s="0" t="n">
        <v>0</v>
      </c>
      <c r="AI115" s="0" t="n">
        <v>180</v>
      </c>
      <c r="AJ115" s="0" t="n">
        <v>30</v>
      </c>
      <c r="AK115" s="0" t="n">
        <v>22</v>
      </c>
      <c r="AL115" s="0" t="n">
        <v>0.32</v>
      </c>
    </row>
    <row r="116">
      <c r="A116" s="0" t="inlineStr">
        <is>
          <t>[미원면]</t>
        </is>
      </c>
      <c r="B116" s="0" t="n">
        <v>136622</v>
      </c>
      <c r="C116" s="0" t="n">
        <v>2</v>
      </c>
      <c r="D116" s="0" t="inlineStr">
        <is>
          <t>미원통경</t>
        </is>
      </c>
      <c r="E116" s="0" t="inlineStr">
        <is>
          <t>1992.12.</t>
        </is>
      </c>
      <c r="F116" s="0" t="n">
        <v>68</v>
      </c>
      <c r="G116" s="0" t="n">
        <v>20.76</v>
      </c>
      <c r="H116" s="0" t="n">
        <v>68.63</v>
      </c>
      <c r="I116" s="0" t="n">
        <v>18.11</v>
      </c>
      <c r="J116" s="0" t="n">
        <v>59.9</v>
      </c>
      <c r="K116" s="0" t="n">
        <v>58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68</v>
      </c>
      <c r="X116" s="0" t="n">
        <v>7</v>
      </c>
      <c r="Y116" s="0" t="n">
        <v>5</v>
      </c>
      <c r="Z116" s="0" t="inlineStr">
        <is>
          <t>https://new.land.naver.com/complexes/136622?tab=detail&amp;rf=Y</t>
        </is>
      </c>
      <c r="AA116" s="0" t="inlineStr">
        <is>
          <t>충청북도 청주시 상당구 미원면 미원리 560-14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상당구</t>
        </is>
      </c>
      <c r="AE116" s="0" t="inlineStr">
        <is>
          <t>미원면</t>
        </is>
      </c>
      <c r="AG116" s="0" t="inlineStr">
        <is>
          <t>충청북도 청주시 상당구 단재로 2483-6</t>
        </is>
      </c>
      <c r="AH116" s="0" t="n">
        <v>0</v>
      </c>
      <c r="AI116" s="0" t="n">
        <v>180</v>
      </c>
      <c r="AJ116" s="0" t="n">
        <v>30</v>
      </c>
      <c r="AK116" s="0" t="n">
        <v>22</v>
      </c>
      <c r="AL116" s="0" t="n">
        <v>0.32</v>
      </c>
    </row>
    <row r="117">
      <c r="A117" s="0" t="inlineStr">
        <is>
          <t>[미원면]</t>
        </is>
      </c>
      <c r="B117" s="0" t="n">
        <v>136622</v>
      </c>
      <c r="C117" s="0" t="n">
        <v>3</v>
      </c>
      <c r="D117" s="0" t="inlineStr">
        <is>
          <t>미원통경</t>
        </is>
      </c>
      <c r="E117" s="0" t="inlineStr">
        <is>
          <t>1992.12.</t>
        </is>
      </c>
      <c r="F117" s="0" t="n">
        <v>68</v>
      </c>
      <c r="G117" s="0" t="n">
        <v>22.25</v>
      </c>
      <c r="H117" s="0" t="n">
        <v>73.58</v>
      </c>
      <c r="I117" s="0" t="n">
        <v>16.97</v>
      </c>
      <c r="J117" s="0" t="n">
        <v>56.12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73</v>
      </c>
      <c r="X117" s="0" t="n">
        <v>7</v>
      </c>
      <c r="Y117" s="0" t="n">
        <v>5</v>
      </c>
      <c r="Z117" s="0" t="inlineStr">
        <is>
          <t>https://new.land.naver.com/complexes/136622?tab=detail&amp;rf=Y</t>
        </is>
      </c>
      <c r="AA117" s="0" t="inlineStr">
        <is>
          <t>충청북도 청주시 상당구 미원면 미원리 560-14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상당구</t>
        </is>
      </c>
      <c r="AE117" s="0" t="inlineStr">
        <is>
          <t>미원면</t>
        </is>
      </c>
      <c r="AG117" s="0" t="inlineStr">
        <is>
          <t>충청북도 청주시 상당구 단재로 2483-6</t>
        </is>
      </c>
      <c r="AH117" s="0" t="n">
        <v>0</v>
      </c>
      <c r="AI117" s="0" t="n">
        <v>180</v>
      </c>
      <c r="AJ117" s="0" t="n">
        <v>30</v>
      </c>
      <c r="AK117" s="0" t="n">
        <v>22</v>
      </c>
      <c r="AL117" s="0" t="n">
        <v>0.32</v>
      </c>
    </row>
    <row r="118">
      <c r="A118" s="0" t="inlineStr">
        <is>
          <t>[미원면]</t>
        </is>
      </c>
      <c r="B118" s="0" t="n">
        <v>136622</v>
      </c>
      <c r="C118" s="0" t="n">
        <v>4</v>
      </c>
      <c r="D118" s="0" t="inlineStr">
        <is>
          <t>미원통경</t>
        </is>
      </c>
      <c r="E118" s="0" t="inlineStr">
        <is>
          <t>1992.12.</t>
        </is>
      </c>
      <c r="F118" s="0" t="n">
        <v>68</v>
      </c>
      <c r="G118" s="0" t="n">
        <v>23.4</v>
      </c>
      <c r="H118" s="0" t="n">
        <v>77.36</v>
      </c>
      <c r="I118" s="0" t="n">
        <v>18.11</v>
      </c>
      <c r="J118" s="0" t="n">
        <v>59.9</v>
      </c>
      <c r="K118" s="0" t="n">
        <v>1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77</v>
      </c>
      <c r="X118" s="0" t="n">
        <v>7</v>
      </c>
      <c r="Y118" s="0" t="n">
        <v>5</v>
      </c>
      <c r="Z118" s="0" t="inlineStr">
        <is>
          <t>https://new.land.naver.com/complexes/136622?tab=detail&amp;rf=Y</t>
        </is>
      </c>
      <c r="AA118" s="0" t="inlineStr">
        <is>
          <t>충청북도 청주시 상당구 미원면 미원리 560-14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상당구</t>
        </is>
      </c>
      <c r="AE118" s="0" t="inlineStr">
        <is>
          <t>미원면</t>
        </is>
      </c>
      <c r="AG118" s="0" t="inlineStr">
        <is>
          <t>충청북도 청주시 상당구 단재로 2483-6</t>
        </is>
      </c>
      <c r="AH118" s="0" t="n">
        <v>0</v>
      </c>
      <c r="AI118" s="0" t="n">
        <v>180</v>
      </c>
      <c r="AJ118" s="0" t="n">
        <v>30</v>
      </c>
      <c r="AK118" s="0" t="n">
        <v>22</v>
      </c>
      <c r="AL118" s="0" t="n">
        <v>0.32</v>
      </c>
    </row>
    <row r="119">
      <c r="A119" s="0" t="inlineStr">
        <is>
          <t>[방서동]</t>
        </is>
      </c>
      <c r="B119" s="0" t="n">
        <v>115468</v>
      </c>
      <c r="C119" s="0" t="n">
        <v>1</v>
      </c>
      <c r="D119" s="0" t="inlineStr">
        <is>
          <t>청주하트리움리버파크</t>
        </is>
      </c>
      <c r="E119" s="0" t="inlineStr">
        <is>
          <t>2019.01.</t>
        </is>
      </c>
      <c r="F119" s="0" t="n">
        <v>600</v>
      </c>
      <c r="G119" s="0" t="n">
        <v>34.16</v>
      </c>
      <c r="H119" s="0" t="n">
        <v>112.93</v>
      </c>
      <c r="I119" s="0" t="n">
        <v>25.66</v>
      </c>
      <c r="J119" s="0" t="n">
        <v>84.84</v>
      </c>
      <c r="K119" s="0" t="n">
        <v>400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112A</t>
        </is>
      </c>
      <c r="X119" s="0" t="n">
        <v>26</v>
      </c>
      <c r="Y119" s="0" t="n">
        <v>20</v>
      </c>
      <c r="Z119" s="0" t="inlineStr">
        <is>
          <t>https://new.land.naver.com/complexes/115468?tab=detail&amp;rf=Y</t>
        </is>
      </c>
      <c r="AA119" s="0" t="inlineStr">
        <is>
          <t>충청북도 청주시 상당구 방서동 655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상당구</t>
        </is>
      </c>
      <c r="AE119" s="0" t="inlineStr">
        <is>
          <t>방서동</t>
        </is>
      </c>
      <c r="AG119" s="0" t="inlineStr">
        <is>
          <t>충청북도 청주시 상당구 2순환로 2031</t>
        </is>
      </c>
      <c r="AH119" s="0" t="n">
        <v>0</v>
      </c>
      <c r="AI119" s="0" t="n">
        <v>225</v>
      </c>
      <c r="AJ119" s="0" t="n">
        <v>17</v>
      </c>
      <c r="AK119" s="0" t="n">
        <v>848</v>
      </c>
      <c r="AL119" s="0" t="n">
        <v>1.41</v>
      </c>
    </row>
    <row r="120">
      <c r="A120" s="0" t="inlineStr">
        <is>
          <t>[방서동]</t>
        </is>
      </c>
      <c r="B120" s="0" t="n">
        <v>115468</v>
      </c>
      <c r="C120" s="0" t="n">
        <v>2</v>
      </c>
      <c r="D120" s="0" t="inlineStr">
        <is>
          <t>청주하트리움리버파크</t>
        </is>
      </c>
      <c r="E120" s="0" t="inlineStr">
        <is>
          <t>2019.01.</t>
        </is>
      </c>
      <c r="F120" s="0" t="n">
        <v>600</v>
      </c>
      <c r="G120" s="0" t="n">
        <v>34.35</v>
      </c>
      <c r="H120" s="0" t="n">
        <v>113.57</v>
      </c>
      <c r="I120" s="0" t="n">
        <v>25.67</v>
      </c>
      <c r="J120" s="0" t="n">
        <v>84.89</v>
      </c>
      <c r="K120" s="0" t="n">
        <v>200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113B</t>
        </is>
      </c>
      <c r="X120" s="0" t="n">
        <v>26</v>
      </c>
      <c r="Y120" s="0" t="n">
        <v>20</v>
      </c>
      <c r="Z120" s="0" t="inlineStr">
        <is>
          <t>https://new.land.naver.com/complexes/115468?tab=detail&amp;rf=Y</t>
        </is>
      </c>
      <c r="AA120" s="0" t="inlineStr">
        <is>
          <t>충청북도 청주시 상당구 방서동 655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상당구</t>
        </is>
      </c>
      <c r="AE120" s="0" t="inlineStr">
        <is>
          <t>방서동</t>
        </is>
      </c>
      <c r="AG120" s="0" t="inlineStr">
        <is>
          <t>충청북도 청주시 상당구 2순환로 2031</t>
        </is>
      </c>
      <c r="AH120" s="0" t="n">
        <v>0</v>
      </c>
      <c r="AI120" s="0" t="n">
        <v>225</v>
      </c>
      <c r="AJ120" s="0" t="n">
        <v>17</v>
      </c>
      <c r="AK120" s="0" t="n">
        <v>848</v>
      </c>
      <c r="AL120" s="0" t="n">
        <v>1.41</v>
      </c>
    </row>
    <row r="121">
      <c r="A121" s="0" t="inlineStr">
        <is>
          <t>[방서동]</t>
        </is>
      </c>
      <c r="B121" s="0" t="n">
        <v>111666</v>
      </c>
      <c r="C121" s="0" t="n">
        <v>1</v>
      </c>
      <c r="D121" s="0" t="inlineStr">
        <is>
          <t>청주센트럴자이</t>
        </is>
      </c>
      <c r="E121" s="0" t="inlineStr">
        <is>
          <t>2018.09.</t>
        </is>
      </c>
      <c r="F121" s="0" t="n">
        <v>1500</v>
      </c>
      <c r="G121" s="0" t="n">
        <v>24.37</v>
      </c>
      <c r="H121" s="0" t="n">
        <v>80.56999999999999</v>
      </c>
      <c r="I121" s="0" t="n">
        <v>18.13</v>
      </c>
      <c r="J121" s="0" t="n">
        <v>59.95</v>
      </c>
      <c r="K121" s="0" t="n">
        <v>135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80A</t>
        </is>
      </c>
      <c r="X121" s="0" t="n">
        <v>29</v>
      </c>
      <c r="Y121" s="0" t="n">
        <v>16</v>
      </c>
      <c r="Z121" s="0" t="inlineStr">
        <is>
          <t>https://new.land.naver.com/complexes/111666?tab=detail&amp;rf=Y</t>
        </is>
      </c>
      <c r="AA121" s="0" t="inlineStr">
        <is>
          <t>충청북도 청주시 상당구 방서동 654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상당구</t>
        </is>
      </c>
      <c r="AE121" s="0" t="inlineStr">
        <is>
          <t>방서동</t>
        </is>
      </c>
      <c r="AG121" s="0" t="inlineStr">
        <is>
          <t>충청북도 청주시 상당구 단재로 316</t>
        </is>
      </c>
      <c r="AH121" s="0" t="n">
        <v>0</v>
      </c>
      <c r="AI121" s="0" t="n">
        <v>229</v>
      </c>
      <c r="AJ121" s="0" t="n">
        <v>15</v>
      </c>
      <c r="AK121" s="0" t="n">
        <v>2135</v>
      </c>
      <c r="AL121" s="0" t="n">
        <v>1.42</v>
      </c>
    </row>
    <row r="122">
      <c r="A122" s="0" t="inlineStr">
        <is>
          <t>[방서동]</t>
        </is>
      </c>
      <c r="B122" s="0" t="n">
        <v>111666</v>
      </c>
      <c r="C122" s="0" t="n">
        <v>2</v>
      </c>
      <c r="D122" s="0" t="inlineStr">
        <is>
          <t>청주센트럴자이</t>
        </is>
      </c>
      <c r="E122" s="0" t="inlineStr">
        <is>
          <t>2018.09.</t>
        </is>
      </c>
      <c r="F122" s="0" t="n">
        <v>1500</v>
      </c>
      <c r="G122" s="0" t="n">
        <v>24.54</v>
      </c>
      <c r="H122" s="0" t="n">
        <v>81.13</v>
      </c>
      <c r="I122" s="0" t="n">
        <v>18.08</v>
      </c>
      <c r="J122" s="0" t="n">
        <v>59.78</v>
      </c>
      <c r="K122" s="0" t="n">
        <v>59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81B</t>
        </is>
      </c>
      <c r="X122" s="0" t="n">
        <v>29</v>
      </c>
      <c r="Y122" s="0" t="n">
        <v>16</v>
      </c>
      <c r="Z122" s="0" t="inlineStr">
        <is>
          <t>https://new.land.naver.com/complexes/111666?tab=detail&amp;rf=Y</t>
        </is>
      </c>
      <c r="AA122" s="0" t="inlineStr">
        <is>
          <t>충청북도 청주시 상당구 방서동 654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상당구</t>
        </is>
      </c>
      <c r="AE122" s="0" t="inlineStr">
        <is>
          <t>방서동</t>
        </is>
      </c>
      <c r="AG122" s="0" t="inlineStr">
        <is>
          <t>충청북도 청주시 상당구 단재로 316</t>
        </is>
      </c>
      <c r="AH122" s="0" t="n">
        <v>0</v>
      </c>
      <c r="AI122" s="0" t="n">
        <v>229</v>
      </c>
      <c r="AJ122" s="0" t="n">
        <v>15</v>
      </c>
      <c r="AK122" s="0" t="n">
        <v>2135</v>
      </c>
      <c r="AL122" s="0" t="n">
        <v>1.42</v>
      </c>
    </row>
    <row r="123">
      <c r="A123" s="0" t="inlineStr">
        <is>
          <t>[방서동]</t>
        </is>
      </c>
      <c r="B123" s="0" t="n">
        <v>111666</v>
      </c>
      <c r="C123" s="0" t="n">
        <v>3</v>
      </c>
      <c r="D123" s="0" t="inlineStr">
        <is>
          <t>청주센트럴자이</t>
        </is>
      </c>
      <c r="E123" s="0" t="inlineStr">
        <is>
          <t>2018.09.</t>
        </is>
      </c>
      <c r="F123" s="0" t="n">
        <v>1500</v>
      </c>
      <c r="G123" s="0" t="n">
        <v>29.68</v>
      </c>
      <c r="H123" s="0" t="n">
        <v>98.13</v>
      </c>
      <c r="I123" s="0" t="n">
        <v>22.25</v>
      </c>
      <c r="J123" s="0" t="n">
        <v>73.58</v>
      </c>
      <c r="K123" s="0" t="n">
        <v>166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98A</t>
        </is>
      </c>
      <c r="X123" s="0" t="n">
        <v>29</v>
      </c>
      <c r="Y123" s="0" t="n">
        <v>16</v>
      </c>
      <c r="Z123" s="0" t="inlineStr">
        <is>
          <t>https://new.land.naver.com/complexes/111666?tab=detail&amp;rf=Y</t>
        </is>
      </c>
      <c r="AA123" s="0" t="inlineStr">
        <is>
          <t>충청북도 청주시 상당구 방서동 654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상당구</t>
        </is>
      </c>
      <c r="AE123" s="0" t="inlineStr">
        <is>
          <t>방서동</t>
        </is>
      </c>
      <c r="AG123" s="0" t="inlineStr">
        <is>
          <t>충청북도 청주시 상당구 단재로 316</t>
        </is>
      </c>
      <c r="AH123" s="0" t="n">
        <v>0</v>
      </c>
      <c r="AI123" s="0" t="n">
        <v>229</v>
      </c>
      <c r="AJ123" s="0" t="n">
        <v>15</v>
      </c>
      <c r="AK123" s="0" t="n">
        <v>2135</v>
      </c>
      <c r="AL123" s="0" t="n">
        <v>1.42</v>
      </c>
    </row>
    <row r="124">
      <c r="A124" s="0" t="inlineStr">
        <is>
          <t>[방서동]</t>
        </is>
      </c>
      <c r="B124" s="0" t="n">
        <v>111666</v>
      </c>
      <c r="C124" s="0" t="n">
        <v>4</v>
      </c>
      <c r="D124" s="0" t="inlineStr">
        <is>
          <t>청주센트럴자이</t>
        </is>
      </c>
      <c r="E124" s="0" t="inlineStr">
        <is>
          <t>2018.09.</t>
        </is>
      </c>
      <c r="F124" s="0" t="n">
        <v>1500</v>
      </c>
      <c r="G124" s="0" t="n">
        <v>29.96</v>
      </c>
      <c r="H124" s="0" t="n">
        <v>99.06999999999999</v>
      </c>
      <c r="I124" s="0" t="n">
        <v>22.27</v>
      </c>
      <c r="J124" s="0" t="n">
        <v>73.64</v>
      </c>
      <c r="K124" s="0" t="n">
        <v>51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99B</t>
        </is>
      </c>
      <c r="X124" s="0" t="n">
        <v>29</v>
      </c>
      <c r="Y124" s="0" t="n">
        <v>16</v>
      </c>
      <c r="Z124" s="0" t="inlineStr">
        <is>
          <t>https://new.land.naver.com/complexes/111666?tab=detail&amp;rf=Y</t>
        </is>
      </c>
      <c r="AA124" s="0" t="inlineStr">
        <is>
          <t>충청북도 청주시 상당구 방서동 654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상당구</t>
        </is>
      </c>
      <c r="AE124" s="0" t="inlineStr">
        <is>
          <t>방서동</t>
        </is>
      </c>
      <c r="AG124" s="0" t="inlineStr">
        <is>
          <t>충청북도 청주시 상당구 단재로 316</t>
        </is>
      </c>
      <c r="AH124" s="0" t="n">
        <v>0</v>
      </c>
      <c r="AI124" s="0" t="n">
        <v>229</v>
      </c>
      <c r="AJ124" s="0" t="n">
        <v>15</v>
      </c>
      <c r="AK124" s="0" t="n">
        <v>2135</v>
      </c>
      <c r="AL124" s="0" t="n">
        <v>1.42</v>
      </c>
    </row>
    <row r="125">
      <c r="A125" s="0" t="inlineStr">
        <is>
          <t>[방서동]</t>
        </is>
      </c>
      <c r="B125" s="0" t="n">
        <v>111666</v>
      </c>
      <c r="C125" s="0" t="n">
        <v>5</v>
      </c>
      <c r="D125" s="0" t="inlineStr">
        <is>
          <t>청주센트럴자이</t>
        </is>
      </c>
      <c r="E125" s="0" t="inlineStr">
        <is>
          <t>2018.09.</t>
        </is>
      </c>
      <c r="F125" s="0" t="n">
        <v>1500</v>
      </c>
      <c r="G125" s="0" t="n">
        <v>34</v>
      </c>
      <c r="H125" s="0" t="n">
        <v>112.4</v>
      </c>
      <c r="I125" s="0" t="n">
        <v>25.63</v>
      </c>
      <c r="J125" s="0" t="n">
        <v>84.73</v>
      </c>
      <c r="K125" s="0" t="n">
        <v>683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112A</t>
        </is>
      </c>
      <c r="X125" s="0" t="n">
        <v>29</v>
      </c>
      <c r="Y125" s="0" t="n">
        <v>16</v>
      </c>
      <c r="Z125" s="0" t="inlineStr">
        <is>
          <t>https://new.land.naver.com/complexes/111666?tab=detail&amp;rf=Y</t>
        </is>
      </c>
      <c r="AA125" s="0" t="inlineStr">
        <is>
          <t>충청북도 청주시 상당구 방서동 654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상당구</t>
        </is>
      </c>
      <c r="AE125" s="0" t="inlineStr">
        <is>
          <t>방서동</t>
        </is>
      </c>
      <c r="AG125" s="0" t="inlineStr">
        <is>
          <t>충청북도 청주시 상당구 단재로 316</t>
        </is>
      </c>
      <c r="AH125" s="0" t="n">
        <v>0</v>
      </c>
      <c r="AI125" s="0" t="n">
        <v>229</v>
      </c>
      <c r="AJ125" s="0" t="n">
        <v>15</v>
      </c>
      <c r="AK125" s="0" t="n">
        <v>2135</v>
      </c>
      <c r="AL125" s="0" t="n">
        <v>1.42</v>
      </c>
    </row>
    <row r="126">
      <c r="A126" s="0" t="inlineStr">
        <is>
          <t>[방서동]</t>
        </is>
      </c>
      <c r="B126" s="0" t="n">
        <v>111666</v>
      </c>
      <c r="C126" s="0" t="n">
        <v>6</v>
      </c>
      <c r="D126" s="0" t="inlineStr">
        <is>
          <t>청주센트럴자이</t>
        </is>
      </c>
      <c r="E126" s="0" t="inlineStr">
        <is>
          <t>2018.09.</t>
        </is>
      </c>
      <c r="F126" s="0" t="n">
        <v>1500</v>
      </c>
      <c r="G126" s="0" t="n">
        <v>34.12</v>
      </c>
      <c r="H126" s="0" t="n">
        <v>112.82</v>
      </c>
      <c r="I126" s="0" t="n">
        <v>25.66</v>
      </c>
      <c r="J126" s="0" t="n">
        <v>84.84</v>
      </c>
      <c r="K126" s="0" t="n">
        <v>253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112B</t>
        </is>
      </c>
      <c r="X126" s="0" t="n">
        <v>29</v>
      </c>
      <c r="Y126" s="0" t="n">
        <v>16</v>
      </c>
      <c r="Z126" s="0" t="inlineStr">
        <is>
          <t>https://new.land.naver.com/complexes/111666?tab=detail&amp;rf=Y</t>
        </is>
      </c>
      <c r="AA126" s="0" t="inlineStr">
        <is>
          <t>충청북도 청주시 상당구 방서동 654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상당구</t>
        </is>
      </c>
      <c r="AE126" s="0" t="inlineStr">
        <is>
          <t>방서동</t>
        </is>
      </c>
      <c r="AG126" s="0" t="inlineStr">
        <is>
          <t>충청북도 청주시 상당구 단재로 316</t>
        </is>
      </c>
      <c r="AH126" s="0" t="n">
        <v>0</v>
      </c>
      <c r="AI126" s="0" t="n">
        <v>229</v>
      </c>
      <c r="AJ126" s="0" t="n">
        <v>15</v>
      </c>
      <c r="AK126" s="0" t="n">
        <v>2135</v>
      </c>
      <c r="AL126" s="0" t="n">
        <v>1.42</v>
      </c>
    </row>
    <row r="127">
      <c r="A127" s="0" t="inlineStr">
        <is>
          <t>[방서동]</t>
        </is>
      </c>
      <c r="B127" s="0" t="n">
        <v>111666</v>
      </c>
      <c r="C127" s="0" t="n">
        <v>7</v>
      </c>
      <c r="D127" s="0" t="inlineStr">
        <is>
          <t>청주센트럴자이</t>
        </is>
      </c>
      <c r="E127" s="0" t="inlineStr">
        <is>
          <t>2018.09.</t>
        </is>
      </c>
      <c r="F127" s="0" t="n">
        <v>1500</v>
      </c>
      <c r="G127" s="0" t="n">
        <v>40.81</v>
      </c>
      <c r="H127" s="0" t="n">
        <v>134.92</v>
      </c>
      <c r="I127" s="0" t="n">
        <v>30.81</v>
      </c>
      <c r="J127" s="0" t="n">
        <v>101.87</v>
      </c>
      <c r="K127" s="0" t="n">
        <v>145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134</v>
      </c>
      <c r="X127" s="0" t="n">
        <v>29</v>
      </c>
      <c r="Y127" s="0" t="n">
        <v>16</v>
      </c>
      <c r="Z127" s="0" t="inlineStr">
        <is>
          <t>https://new.land.naver.com/complexes/111666?tab=detail&amp;rf=Y</t>
        </is>
      </c>
      <c r="AA127" s="0" t="inlineStr">
        <is>
          <t>충청북도 청주시 상당구 방서동 654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상당구</t>
        </is>
      </c>
      <c r="AE127" s="0" t="inlineStr">
        <is>
          <t>방서동</t>
        </is>
      </c>
      <c r="AG127" s="0" t="inlineStr">
        <is>
          <t>충청북도 청주시 상당구 단재로 316</t>
        </is>
      </c>
      <c r="AH127" s="0" t="n">
        <v>0</v>
      </c>
      <c r="AI127" s="0" t="n">
        <v>229</v>
      </c>
      <c r="AJ127" s="0" t="n">
        <v>15</v>
      </c>
      <c r="AK127" s="0" t="n">
        <v>2135</v>
      </c>
      <c r="AL127" s="0" t="n">
        <v>1.42</v>
      </c>
    </row>
    <row r="128">
      <c r="A128" s="0" t="inlineStr">
        <is>
          <t>[방서동]</t>
        </is>
      </c>
      <c r="B128" s="0" t="n">
        <v>111666</v>
      </c>
      <c r="C128" s="0" t="n">
        <v>8</v>
      </c>
      <c r="D128" s="0" t="inlineStr">
        <is>
          <t>청주센트럴자이</t>
        </is>
      </c>
      <c r="E128" s="0" t="inlineStr">
        <is>
          <t>2018.09.</t>
        </is>
      </c>
      <c r="F128" s="0" t="n">
        <v>1500</v>
      </c>
      <c r="G128" s="0" t="n">
        <v>44.15</v>
      </c>
      <c r="H128" s="0" t="n">
        <v>145.96</v>
      </c>
      <c r="I128" s="0" t="n">
        <v>32.8</v>
      </c>
      <c r="J128" s="0" t="n">
        <v>108.46</v>
      </c>
      <c r="K128" s="0" t="n">
        <v>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145</v>
      </c>
      <c r="X128" s="0" t="n">
        <v>29</v>
      </c>
      <c r="Y128" s="0" t="n">
        <v>16</v>
      </c>
      <c r="Z128" s="0" t="inlineStr">
        <is>
          <t>https://new.land.naver.com/complexes/111666?tab=detail&amp;rf=Y</t>
        </is>
      </c>
      <c r="AA128" s="0" t="inlineStr">
        <is>
          <t>충청북도 청주시 상당구 방서동 654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상당구</t>
        </is>
      </c>
      <c r="AE128" s="0" t="inlineStr">
        <is>
          <t>방서동</t>
        </is>
      </c>
      <c r="AG128" s="0" t="inlineStr">
        <is>
          <t>충청북도 청주시 상당구 단재로 316</t>
        </is>
      </c>
      <c r="AH128" s="0" t="n">
        <v>0</v>
      </c>
      <c r="AI128" s="0" t="n">
        <v>229</v>
      </c>
      <c r="AJ128" s="0" t="n">
        <v>15</v>
      </c>
      <c r="AK128" s="0" t="n">
        <v>2135</v>
      </c>
      <c r="AL128" s="0" t="n">
        <v>1.42</v>
      </c>
    </row>
    <row r="129">
      <c r="A129" s="0" t="inlineStr">
        <is>
          <t>[방서동]</t>
        </is>
      </c>
      <c r="B129" s="0" t="n">
        <v>140150</v>
      </c>
      <c r="C129" s="0" t="n">
        <v>1</v>
      </c>
      <c r="D129" s="0" t="inlineStr">
        <is>
          <t>호반써밋브룩사이드</t>
        </is>
      </c>
      <c r="E129" s="0" t="inlineStr">
        <is>
          <t>2023.07.</t>
        </is>
      </c>
      <c r="F129" s="0" t="n">
        <v>1215</v>
      </c>
      <c r="G129" s="0" t="n">
        <v>30.24</v>
      </c>
      <c r="H129" s="0" t="n">
        <v>99.98999999999999</v>
      </c>
      <c r="I129" s="0" t="n">
        <v>22.67</v>
      </c>
      <c r="J129" s="0" t="n">
        <v>74.97</v>
      </c>
      <c r="K129" s="0" t="n">
        <v>351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99A</t>
        </is>
      </c>
      <c r="X129" s="0" t="n">
        <v>25</v>
      </c>
      <c r="Y129" s="0" t="n">
        <v>17</v>
      </c>
      <c r="Z129" s="0" t="inlineStr">
        <is>
          <t>https://new.land.naver.com/complexes/140150?tab=detail&amp;rf=Y</t>
        </is>
      </c>
      <c r="AA129" s="0" t="inlineStr">
        <is>
          <t>충청북도 청주시 상당구 방서동 동남택지개발지구 B-8BL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상당구</t>
        </is>
      </c>
      <c r="AE129" s="0" t="inlineStr">
        <is>
          <t>방서동</t>
        </is>
      </c>
      <c r="AG129" s="0" t="inlineStr">
        <is>
          <t>충청북도 청주시 상당구</t>
        </is>
      </c>
      <c r="AH129" s="0" t="n">
        <v>0</v>
      </c>
      <c r="AI129" s="0" t="n">
        <v>0</v>
      </c>
      <c r="AJ129" s="0" t="n">
        <v>0</v>
      </c>
      <c r="AK129" s="0" t="n">
        <v>1701</v>
      </c>
      <c r="AL129" s="0" t="n">
        <v>1.4</v>
      </c>
    </row>
    <row r="130">
      <c r="A130" s="0" t="inlineStr">
        <is>
          <t>[방서동]</t>
        </is>
      </c>
      <c r="B130" s="0" t="n">
        <v>140150</v>
      </c>
      <c r="C130" s="0" t="n">
        <v>2</v>
      </c>
      <c r="D130" s="0" t="inlineStr">
        <is>
          <t>호반써밋브룩사이드</t>
        </is>
      </c>
      <c r="E130" s="0" t="inlineStr">
        <is>
          <t>2023.07.</t>
        </is>
      </c>
      <c r="F130" s="0" t="n">
        <v>1215</v>
      </c>
      <c r="G130" s="0" t="n">
        <v>30.47</v>
      </c>
      <c r="H130" s="0" t="n">
        <v>100.74</v>
      </c>
      <c r="I130" s="0" t="n">
        <v>22.66</v>
      </c>
      <c r="J130" s="0" t="n">
        <v>74.91</v>
      </c>
      <c r="K130" s="0" t="n">
        <v>48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100B</t>
        </is>
      </c>
      <c r="X130" s="0" t="n">
        <v>25</v>
      </c>
      <c r="Y130" s="0" t="n">
        <v>17</v>
      </c>
      <c r="Z130" s="0" t="inlineStr">
        <is>
          <t>https://new.land.naver.com/complexes/140150?tab=detail&amp;rf=Y</t>
        </is>
      </c>
      <c r="AA130" s="0" t="inlineStr">
        <is>
          <t>충청북도 청주시 상당구 방서동 동남택지개발지구 B-8BL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상당구</t>
        </is>
      </c>
      <c r="AE130" s="0" t="inlineStr">
        <is>
          <t>방서동</t>
        </is>
      </c>
      <c r="AG130" s="0" t="inlineStr">
        <is>
          <t>충청북도 청주시 상당구</t>
        </is>
      </c>
      <c r="AH130" s="0" t="n">
        <v>0</v>
      </c>
      <c r="AI130" s="0" t="n">
        <v>0</v>
      </c>
      <c r="AJ130" s="0" t="n">
        <v>0</v>
      </c>
      <c r="AK130" s="0" t="n">
        <v>1701</v>
      </c>
      <c r="AL130" s="0" t="n">
        <v>1.4</v>
      </c>
    </row>
    <row r="131">
      <c r="A131" s="0" t="inlineStr">
        <is>
          <t>[방서동]</t>
        </is>
      </c>
      <c r="B131" s="0" t="n">
        <v>140150</v>
      </c>
      <c r="C131" s="0" t="n">
        <v>3</v>
      </c>
      <c r="D131" s="0" t="inlineStr">
        <is>
          <t>호반써밋브룩사이드</t>
        </is>
      </c>
      <c r="E131" s="0" t="inlineStr">
        <is>
          <t>2023.07.</t>
        </is>
      </c>
      <c r="F131" s="0" t="n">
        <v>1215</v>
      </c>
      <c r="G131" s="0" t="n">
        <v>33.65</v>
      </c>
      <c r="H131" s="0" t="n">
        <v>111.25</v>
      </c>
      <c r="I131" s="0" t="n">
        <v>25.69</v>
      </c>
      <c r="J131" s="0" t="n">
        <v>84.94</v>
      </c>
      <c r="K131" s="0" t="n">
        <v>816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111</v>
      </c>
      <c r="X131" s="0" t="n">
        <v>25</v>
      </c>
      <c r="Y131" s="0" t="n">
        <v>17</v>
      </c>
      <c r="Z131" s="0" t="inlineStr">
        <is>
          <t>https://new.land.naver.com/complexes/140150?tab=detail&amp;rf=Y</t>
        </is>
      </c>
      <c r="AA131" s="0" t="inlineStr">
        <is>
          <t>충청북도 청주시 상당구 방서동 동남택지개발지구 B-8BL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상당구</t>
        </is>
      </c>
      <c r="AE131" s="0" t="inlineStr">
        <is>
          <t>방서동</t>
        </is>
      </c>
      <c r="AG131" s="0" t="inlineStr">
        <is>
          <t>충청북도 청주시 상당구</t>
        </is>
      </c>
      <c r="AH131" s="0" t="n">
        <v>0</v>
      </c>
      <c r="AI131" s="0" t="n">
        <v>0</v>
      </c>
      <c r="AJ131" s="0" t="n">
        <v>0</v>
      </c>
      <c r="AK131" s="0" t="n">
        <v>1701</v>
      </c>
      <c r="AL131" s="0" t="n">
        <v>1.4</v>
      </c>
    </row>
    <row r="132">
      <c r="A132" s="0" t="inlineStr">
        <is>
          <t>[방서동]</t>
        </is>
      </c>
      <c r="B132" s="0" t="n">
        <v>24100</v>
      </c>
      <c r="C132" s="0" t="n">
        <v>1</v>
      </c>
      <c r="D132" s="0" t="inlineStr">
        <is>
          <t>세중참사랑</t>
        </is>
      </c>
      <c r="E132" s="0" t="inlineStr">
        <is>
          <t>2001.10.</t>
        </is>
      </c>
      <c r="F132" s="0" t="n">
        <v>46</v>
      </c>
      <c r="G132" s="0" t="n">
        <v>34.04</v>
      </c>
      <c r="H132" s="0" t="n">
        <v>112.55</v>
      </c>
      <c r="I132" s="0" t="n">
        <v>25.67</v>
      </c>
      <c r="J132" s="0" t="n">
        <v>84.87</v>
      </c>
      <c r="K132" s="0" t="n">
        <v>46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112</v>
      </c>
      <c r="X132" s="0" t="n">
        <v>9</v>
      </c>
      <c r="Y132" s="0" t="n">
        <v>6</v>
      </c>
      <c r="Z132" s="0" t="inlineStr">
        <is>
          <t>https://new.land.naver.com/complexes/24100?tab=detail&amp;rf=Y</t>
        </is>
      </c>
      <c r="AA132" s="0" t="inlineStr">
        <is>
          <t>충청북도 청주시 상당구 방서동 100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상당구</t>
        </is>
      </c>
      <c r="AE132" s="0" t="inlineStr">
        <is>
          <t>방서동</t>
        </is>
      </c>
      <c r="AG132" s="0" t="inlineStr">
        <is>
          <t>충청북도 청주시 상당구 무농정로2번길 66-34</t>
        </is>
      </c>
      <c r="AH132" s="0" t="n">
        <v>0</v>
      </c>
      <c r="AI132" s="0" t="n">
        <v>138</v>
      </c>
      <c r="AJ132" s="0" t="n">
        <v>27</v>
      </c>
      <c r="AK132" s="0" t="n">
        <v>46</v>
      </c>
      <c r="AL132" s="0" t="n">
        <v>1</v>
      </c>
    </row>
    <row r="133">
      <c r="A133" s="0" t="inlineStr">
        <is>
          <t>[방서동]</t>
        </is>
      </c>
      <c r="B133" s="0" t="n">
        <v>111567</v>
      </c>
      <c r="C133" s="0" t="n">
        <v>1</v>
      </c>
      <c r="D133" s="0" t="inlineStr">
        <is>
          <t>중흥S-클래스더퍼스트</t>
        </is>
      </c>
      <c r="E133" s="0" t="inlineStr">
        <is>
          <t>2018.09.</t>
        </is>
      </c>
      <c r="F133" s="0" t="n">
        <v>1595</v>
      </c>
      <c r="G133" s="0" t="n">
        <v>33.76</v>
      </c>
      <c r="H133" s="0" t="n">
        <v>111.63</v>
      </c>
      <c r="I133" s="0" t="n">
        <v>25.7</v>
      </c>
      <c r="J133" s="0" t="n">
        <v>84.98999999999999</v>
      </c>
      <c r="K133" s="0" t="n">
        <v>1063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29</v>
      </c>
      <c r="Y133" s="0" t="n">
        <v>20</v>
      </c>
      <c r="Z133" s="0" t="inlineStr">
        <is>
          <t>https://new.land.naver.com/complexes/111567?tab=detail&amp;rf=Y</t>
        </is>
      </c>
      <c r="AA133" s="0" t="inlineStr">
        <is>
          <t>충청북도 청주시 상당구 방서동 653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상당구</t>
        </is>
      </c>
      <c r="AE133" s="0" t="inlineStr">
        <is>
          <t>방서동</t>
        </is>
      </c>
      <c r="AG133" s="0" t="inlineStr">
        <is>
          <t>충청북도 청주시 상당구 단재로 312</t>
        </is>
      </c>
      <c r="AH133" s="0" t="n">
        <v>0</v>
      </c>
      <c r="AI133" s="0" t="n">
        <v>224</v>
      </c>
      <c r="AJ133" s="0" t="n">
        <v>15</v>
      </c>
      <c r="AK133" s="0" t="n">
        <v>2266</v>
      </c>
      <c r="AL133" s="0" t="n">
        <v>1.42</v>
      </c>
    </row>
    <row r="134">
      <c r="A134" s="0" t="inlineStr">
        <is>
          <t>[방서동]</t>
        </is>
      </c>
      <c r="B134" s="0" t="n">
        <v>111567</v>
      </c>
      <c r="C134" s="0" t="n">
        <v>2</v>
      </c>
      <c r="D134" s="0" t="inlineStr">
        <is>
          <t>중흥S-클래스더퍼스트</t>
        </is>
      </c>
      <c r="E134" s="0" t="inlineStr">
        <is>
          <t>2018.09.</t>
        </is>
      </c>
      <c r="F134" s="0" t="n">
        <v>1595</v>
      </c>
      <c r="G134" s="0" t="n">
        <v>33.74</v>
      </c>
      <c r="H134" s="0" t="n">
        <v>111.57</v>
      </c>
      <c r="I134" s="0" t="n">
        <v>25.7</v>
      </c>
      <c r="J134" s="0" t="n">
        <v>84.98999999999999</v>
      </c>
      <c r="K134" s="0" t="n">
        <v>275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</t>
        </is>
      </c>
      <c r="X134" s="0" t="n">
        <v>29</v>
      </c>
      <c r="Y134" s="0" t="n">
        <v>20</v>
      </c>
      <c r="Z134" s="0" t="inlineStr">
        <is>
          <t>https://new.land.naver.com/complexes/111567?tab=detail&amp;rf=Y</t>
        </is>
      </c>
      <c r="AA134" s="0" t="inlineStr">
        <is>
          <t>충청북도 청주시 상당구 방서동 653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상당구</t>
        </is>
      </c>
      <c r="AE134" s="0" t="inlineStr">
        <is>
          <t>방서동</t>
        </is>
      </c>
      <c r="AG134" s="0" t="inlineStr">
        <is>
          <t>충청북도 청주시 상당구 단재로 312</t>
        </is>
      </c>
      <c r="AH134" s="0" t="n">
        <v>0</v>
      </c>
      <c r="AI134" s="0" t="n">
        <v>224</v>
      </c>
      <c r="AJ134" s="0" t="n">
        <v>15</v>
      </c>
      <c r="AK134" s="0" t="n">
        <v>2266</v>
      </c>
      <c r="AL134" s="0" t="n">
        <v>1.42</v>
      </c>
    </row>
    <row r="135">
      <c r="A135" s="0" t="inlineStr">
        <is>
          <t>[방서동]</t>
        </is>
      </c>
      <c r="B135" s="0" t="n">
        <v>111567</v>
      </c>
      <c r="C135" s="0" t="n">
        <v>3</v>
      </c>
      <c r="D135" s="0" t="inlineStr">
        <is>
          <t>중흥S-클래스더퍼스트</t>
        </is>
      </c>
      <c r="E135" s="0" t="inlineStr">
        <is>
          <t>2018.09.</t>
        </is>
      </c>
      <c r="F135" s="0" t="n">
        <v>1595</v>
      </c>
      <c r="G135" s="0" t="n">
        <v>41.74</v>
      </c>
      <c r="H135" s="0" t="n">
        <v>137.99</v>
      </c>
      <c r="I135" s="0" t="n">
        <v>31.78</v>
      </c>
      <c r="J135" s="0" t="n">
        <v>105.07</v>
      </c>
      <c r="K135" s="0" t="n">
        <v>102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137</v>
      </c>
      <c r="X135" s="0" t="n">
        <v>29</v>
      </c>
      <c r="Y135" s="0" t="n">
        <v>20</v>
      </c>
      <c r="Z135" s="0" t="inlineStr">
        <is>
          <t>https://new.land.naver.com/complexes/111567?tab=detail&amp;rf=Y</t>
        </is>
      </c>
      <c r="AA135" s="0" t="inlineStr">
        <is>
          <t>충청북도 청주시 상당구 방서동 653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상당구</t>
        </is>
      </c>
      <c r="AE135" s="0" t="inlineStr">
        <is>
          <t>방서동</t>
        </is>
      </c>
      <c r="AG135" s="0" t="inlineStr">
        <is>
          <t>충청북도 청주시 상당구 단재로 312</t>
        </is>
      </c>
      <c r="AH135" s="0" t="n">
        <v>0</v>
      </c>
      <c r="AI135" s="0" t="n">
        <v>224</v>
      </c>
      <c r="AJ135" s="0" t="n">
        <v>15</v>
      </c>
      <c r="AK135" s="0" t="n">
        <v>2266</v>
      </c>
      <c r="AL135" s="0" t="n">
        <v>1.42</v>
      </c>
    </row>
    <row r="136">
      <c r="A136" s="0" t="inlineStr">
        <is>
          <t>[방서동]</t>
        </is>
      </c>
      <c r="B136" s="0" t="n">
        <v>111567</v>
      </c>
      <c r="C136" s="0" t="n">
        <v>4</v>
      </c>
      <c r="D136" s="0" t="inlineStr">
        <is>
          <t>중흥S-클래스더퍼스트</t>
        </is>
      </c>
      <c r="E136" s="0" t="inlineStr">
        <is>
          <t>2018.09.</t>
        </is>
      </c>
      <c r="F136" s="0" t="n">
        <v>1595</v>
      </c>
      <c r="G136" s="0" t="n">
        <v>43.76</v>
      </c>
      <c r="H136" s="0" t="n">
        <v>144.69</v>
      </c>
      <c r="I136" s="0" t="n">
        <v>33.34</v>
      </c>
      <c r="J136" s="0" t="n">
        <v>110.24</v>
      </c>
      <c r="K136" s="0" t="n">
        <v>155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144</v>
      </c>
      <c r="X136" s="0" t="n">
        <v>29</v>
      </c>
      <c r="Y136" s="0" t="n">
        <v>20</v>
      </c>
      <c r="Z136" s="0" t="inlineStr">
        <is>
          <t>https://new.land.naver.com/complexes/111567?tab=detail&amp;rf=Y</t>
        </is>
      </c>
      <c r="AA136" s="0" t="inlineStr">
        <is>
          <t>충청북도 청주시 상당구 방서동 653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상당구</t>
        </is>
      </c>
      <c r="AE136" s="0" t="inlineStr">
        <is>
          <t>방서동</t>
        </is>
      </c>
      <c r="AG136" s="0" t="inlineStr">
        <is>
          <t>충청북도 청주시 상당구 단재로 312</t>
        </is>
      </c>
      <c r="AH136" s="0" t="n">
        <v>0</v>
      </c>
      <c r="AI136" s="0" t="n">
        <v>224</v>
      </c>
      <c r="AJ136" s="0" t="n">
        <v>15</v>
      </c>
      <c r="AK136" s="0" t="n">
        <v>2266</v>
      </c>
      <c r="AL136" s="0" t="n">
        <v>1.42</v>
      </c>
    </row>
    <row r="137">
      <c r="A137" s="0" t="inlineStr">
        <is>
          <t>[방서동]</t>
        </is>
      </c>
      <c r="B137" s="0" t="n">
        <v>106206</v>
      </c>
      <c r="C137" s="0" t="n">
        <v>1</v>
      </c>
      <c r="D137" s="0" t="inlineStr">
        <is>
          <t>참좋은하얀마을</t>
        </is>
      </c>
      <c r="E137" s="0" t="inlineStr">
        <is>
          <t>2006.08.</t>
        </is>
      </c>
      <c r="F137" s="0" t="n">
        <v>61</v>
      </c>
      <c r="G137" s="0" t="n">
        <v>29.37</v>
      </c>
      <c r="H137" s="0" t="n">
        <v>97.12</v>
      </c>
      <c r="I137" s="0" t="n">
        <v>22.38</v>
      </c>
      <c r="J137" s="0" t="n">
        <v>74</v>
      </c>
      <c r="K137" s="0" t="n">
        <v>19</v>
      </c>
      <c r="T137" s="0" t="n">
        <v>3</v>
      </c>
      <c r="U137" s="0" t="n">
        <v>2</v>
      </c>
      <c r="V137" s="0" t="inlineStr">
        <is>
          <t>복도식</t>
        </is>
      </c>
      <c r="W137" s="0" t="n">
        <v>97</v>
      </c>
      <c r="X137" s="0" t="n">
        <v>12</v>
      </c>
      <c r="Y137" s="0" t="n">
        <v>7</v>
      </c>
      <c r="Z137" s="0" t="inlineStr">
        <is>
          <t>https://new.land.naver.com/complexes/106206?tab=detail&amp;rf=Y</t>
        </is>
      </c>
      <c r="AA137" s="0" t="inlineStr">
        <is>
          <t>충청북도 청주시 상당구 방서동 55-6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상당구</t>
        </is>
      </c>
      <c r="AE137" s="0" t="inlineStr">
        <is>
          <t>방서동</t>
        </is>
      </c>
      <c r="AG137" s="0" t="inlineStr">
        <is>
          <t>충청북도 청주시 상당구 단재로 303-19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[방서동]</t>
        </is>
      </c>
      <c r="B138" s="0" t="n">
        <v>106206</v>
      </c>
      <c r="C138" s="0" t="n">
        <v>2</v>
      </c>
      <c r="D138" s="0" t="inlineStr">
        <is>
          <t>참좋은하얀마을</t>
        </is>
      </c>
      <c r="E138" s="0" t="inlineStr">
        <is>
          <t>2006.08.</t>
        </is>
      </c>
      <c r="F138" s="0" t="n">
        <v>61</v>
      </c>
      <c r="G138" s="0" t="n">
        <v>31.73</v>
      </c>
      <c r="H138" s="0" t="n">
        <v>104.9</v>
      </c>
      <c r="I138" s="0" t="n">
        <v>25.56</v>
      </c>
      <c r="J138" s="0" t="n">
        <v>84.52</v>
      </c>
      <c r="K138" s="0" t="n">
        <v>42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104</v>
      </c>
      <c r="X138" s="0" t="n">
        <v>12</v>
      </c>
      <c r="Y138" s="0" t="n">
        <v>7</v>
      </c>
      <c r="Z138" s="0" t="inlineStr">
        <is>
          <t>https://new.land.naver.com/complexes/106206?tab=detail&amp;rf=Y</t>
        </is>
      </c>
      <c r="AA138" s="0" t="inlineStr">
        <is>
          <t>충청북도 청주시 상당구 방서동 55-6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상당구</t>
        </is>
      </c>
      <c r="AE138" s="0" t="inlineStr">
        <is>
          <t>방서동</t>
        </is>
      </c>
      <c r="AG138" s="0" t="inlineStr">
        <is>
          <t>충청북도 청주시 상당구 단재로 303-19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[방서동]</t>
        </is>
      </c>
      <c r="B139" s="0" t="n">
        <v>121996</v>
      </c>
      <c r="C139" s="0" t="n">
        <v>1</v>
      </c>
      <c r="D139" s="0" t="inlineStr">
        <is>
          <t>동남지구우미린풀하우스</t>
        </is>
      </c>
      <c r="E139" s="0" t="inlineStr">
        <is>
          <t>2020.09.</t>
        </is>
      </c>
      <c r="F139" s="0" t="n">
        <v>1016</v>
      </c>
      <c r="G139" s="0" t="n">
        <v>27.8</v>
      </c>
      <c r="H139" s="0" t="n">
        <v>91.93000000000001</v>
      </c>
      <c r="I139" s="0" t="n">
        <v>21.12</v>
      </c>
      <c r="J139" s="0" t="n">
        <v>69.83</v>
      </c>
      <c r="K139" s="0" t="n">
        <v>278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91A</t>
        </is>
      </c>
      <c r="X139" s="0" t="n">
        <v>25</v>
      </c>
      <c r="Y139" s="0" t="n">
        <v>20</v>
      </c>
      <c r="Z139" s="0" t="inlineStr">
        <is>
          <t>https://new.land.naver.com/complexes/121996?tab=detail&amp;rf=Y</t>
        </is>
      </c>
      <c r="AA139" s="0" t="inlineStr">
        <is>
          <t>충청북도 청주시 상당구 방서동 청주동남지구 B-7블록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상당구</t>
        </is>
      </c>
      <c r="AE139" s="0" t="inlineStr">
        <is>
          <t>방서동</t>
        </is>
      </c>
      <c r="AG139" s="0" t="inlineStr">
        <is>
          <t>충청북도 청주시 상당구 동남로 15</t>
        </is>
      </c>
      <c r="AH139" s="0" t="n">
        <v>0</v>
      </c>
      <c r="AI139" s="0" t="n">
        <v>0</v>
      </c>
      <c r="AJ139" s="0" t="n">
        <v>0</v>
      </c>
      <c r="AK139" s="0" t="n">
        <v>1331</v>
      </c>
      <c r="AL139" s="0" t="n">
        <v>1.31</v>
      </c>
    </row>
    <row r="140">
      <c r="A140" s="0" t="inlineStr">
        <is>
          <t>[방서동]</t>
        </is>
      </c>
      <c r="B140" s="0" t="n">
        <v>121996</v>
      </c>
      <c r="C140" s="0" t="n">
        <v>2</v>
      </c>
      <c r="D140" s="0" t="inlineStr">
        <is>
          <t>동남지구우미린풀하우스</t>
        </is>
      </c>
      <c r="E140" s="0" t="inlineStr">
        <is>
          <t>2020.09.</t>
        </is>
      </c>
      <c r="F140" s="0" t="n">
        <v>1016</v>
      </c>
      <c r="G140" s="0" t="n">
        <v>28.15</v>
      </c>
      <c r="H140" s="0" t="n">
        <v>93.06</v>
      </c>
      <c r="I140" s="0" t="n">
        <v>21.08</v>
      </c>
      <c r="J140" s="0" t="n">
        <v>69.70999999999999</v>
      </c>
      <c r="K140" s="0" t="n">
        <v>111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93B</t>
        </is>
      </c>
      <c r="X140" s="0" t="n">
        <v>25</v>
      </c>
      <c r="Y140" s="0" t="n">
        <v>20</v>
      </c>
      <c r="Z140" s="0" t="inlineStr">
        <is>
          <t>https://new.land.naver.com/complexes/121996?tab=detail&amp;rf=Y</t>
        </is>
      </c>
      <c r="AA140" s="0" t="inlineStr">
        <is>
          <t>충청북도 청주시 상당구 방서동 청주동남지구 B-7블록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상당구</t>
        </is>
      </c>
      <c r="AE140" s="0" t="inlineStr">
        <is>
          <t>방서동</t>
        </is>
      </c>
      <c r="AG140" s="0" t="inlineStr">
        <is>
          <t>충청북도 청주시 상당구 동남로 15</t>
        </is>
      </c>
      <c r="AH140" s="0" t="n">
        <v>0</v>
      </c>
      <c r="AI140" s="0" t="n">
        <v>0</v>
      </c>
      <c r="AJ140" s="0" t="n">
        <v>0</v>
      </c>
      <c r="AK140" s="0" t="n">
        <v>1331</v>
      </c>
      <c r="AL140" s="0" t="n">
        <v>1.31</v>
      </c>
    </row>
    <row r="141">
      <c r="A141" s="0" t="inlineStr">
        <is>
          <t>[방서동]</t>
        </is>
      </c>
      <c r="B141" s="0" t="n">
        <v>121996</v>
      </c>
      <c r="C141" s="0" t="n">
        <v>3</v>
      </c>
      <c r="D141" s="0" t="inlineStr">
        <is>
          <t>동남지구우미린풀하우스</t>
        </is>
      </c>
      <c r="E141" s="0" t="inlineStr">
        <is>
          <t>2020.09.</t>
        </is>
      </c>
      <c r="F141" s="0" t="n">
        <v>1016</v>
      </c>
      <c r="G141" s="0" t="n">
        <v>31</v>
      </c>
      <c r="H141" s="0" t="n">
        <v>102.5</v>
      </c>
      <c r="I141" s="0" t="n">
        <v>23.75</v>
      </c>
      <c r="J141" s="0" t="n">
        <v>78.53</v>
      </c>
      <c r="K141" s="0" t="n">
        <v>69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102A</t>
        </is>
      </c>
      <c r="X141" s="0" t="n">
        <v>25</v>
      </c>
      <c r="Y141" s="0" t="n">
        <v>20</v>
      </c>
      <c r="Z141" s="0" t="inlineStr">
        <is>
          <t>https://new.land.naver.com/complexes/121996?tab=detail&amp;rf=Y</t>
        </is>
      </c>
      <c r="AA141" s="0" t="inlineStr">
        <is>
          <t>충청북도 청주시 상당구 방서동 청주동남지구 B-7블록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상당구</t>
        </is>
      </c>
      <c r="AE141" s="0" t="inlineStr">
        <is>
          <t>방서동</t>
        </is>
      </c>
      <c r="AG141" s="0" t="inlineStr">
        <is>
          <t>충청북도 청주시 상당구 동남로 15</t>
        </is>
      </c>
      <c r="AH141" s="0" t="n">
        <v>0</v>
      </c>
      <c r="AI141" s="0" t="n">
        <v>0</v>
      </c>
      <c r="AJ141" s="0" t="n">
        <v>0</v>
      </c>
      <c r="AK141" s="0" t="n">
        <v>1331</v>
      </c>
      <c r="AL141" s="0" t="n">
        <v>1.31</v>
      </c>
    </row>
    <row r="142">
      <c r="A142" s="0" t="inlineStr">
        <is>
          <t>[방서동]</t>
        </is>
      </c>
      <c r="B142" s="0" t="n">
        <v>121996</v>
      </c>
      <c r="C142" s="0" t="n">
        <v>4</v>
      </c>
      <c r="D142" s="0" t="inlineStr">
        <is>
          <t>동남지구우미린풀하우스</t>
        </is>
      </c>
      <c r="E142" s="0" t="inlineStr">
        <is>
          <t>2020.09.</t>
        </is>
      </c>
      <c r="F142" s="0" t="n">
        <v>1016</v>
      </c>
      <c r="G142" s="0" t="n">
        <v>31.49</v>
      </c>
      <c r="H142" s="0" t="n">
        <v>104.1</v>
      </c>
      <c r="I142" s="0" t="n">
        <v>23.83</v>
      </c>
      <c r="J142" s="0" t="n">
        <v>78.78</v>
      </c>
      <c r="K142" s="0" t="n">
        <v>28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104B</t>
        </is>
      </c>
      <c r="X142" s="0" t="n">
        <v>25</v>
      </c>
      <c r="Y142" s="0" t="n">
        <v>20</v>
      </c>
      <c r="Z142" s="0" t="inlineStr">
        <is>
          <t>https://new.land.naver.com/complexes/121996?tab=detail&amp;rf=Y</t>
        </is>
      </c>
      <c r="AA142" s="0" t="inlineStr">
        <is>
          <t>충청북도 청주시 상당구 방서동 청주동남지구 B-7블록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상당구</t>
        </is>
      </c>
      <c r="AE142" s="0" t="inlineStr">
        <is>
          <t>방서동</t>
        </is>
      </c>
      <c r="AG142" s="0" t="inlineStr">
        <is>
          <t>충청북도 청주시 상당구 동남로 15</t>
        </is>
      </c>
      <c r="AH142" s="0" t="n">
        <v>0</v>
      </c>
      <c r="AI142" s="0" t="n">
        <v>0</v>
      </c>
      <c r="AJ142" s="0" t="n">
        <v>0</v>
      </c>
      <c r="AK142" s="0" t="n">
        <v>1331</v>
      </c>
      <c r="AL142" s="0" t="n">
        <v>1.31</v>
      </c>
    </row>
    <row r="143">
      <c r="A143" s="0" t="inlineStr">
        <is>
          <t>[방서동]</t>
        </is>
      </c>
      <c r="B143" s="0" t="n">
        <v>121996</v>
      </c>
      <c r="C143" s="0" t="n">
        <v>5</v>
      </c>
      <c r="D143" s="0" t="inlineStr">
        <is>
          <t>동남지구우미린풀하우스</t>
        </is>
      </c>
      <c r="E143" s="0" t="inlineStr">
        <is>
          <t>2020.09.</t>
        </is>
      </c>
      <c r="F143" s="0" t="n">
        <v>1016</v>
      </c>
      <c r="G143" s="0" t="n">
        <v>33.7</v>
      </c>
      <c r="H143" s="0" t="n">
        <v>111.42</v>
      </c>
      <c r="I143" s="0" t="n">
        <v>25.7</v>
      </c>
      <c r="J143" s="0" t="n">
        <v>84.95999999999999</v>
      </c>
      <c r="K143" s="0" t="n">
        <v>530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111A</t>
        </is>
      </c>
      <c r="X143" s="0" t="n">
        <v>25</v>
      </c>
      <c r="Y143" s="0" t="n">
        <v>20</v>
      </c>
      <c r="Z143" s="0" t="inlineStr">
        <is>
          <t>https://new.land.naver.com/complexes/121996?tab=detail&amp;rf=Y</t>
        </is>
      </c>
      <c r="AA143" s="0" t="inlineStr">
        <is>
          <t>충청북도 청주시 상당구 방서동 청주동남지구 B-7블록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상당구</t>
        </is>
      </c>
      <c r="AE143" s="0" t="inlineStr">
        <is>
          <t>방서동</t>
        </is>
      </c>
      <c r="AG143" s="0" t="inlineStr">
        <is>
          <t>충청북도 청주시 상당구 동남로 15</t>
        </is>
      </c>
      <c r="AH143" s="0" t="n">
        <v>0</v>
      </c>
      <c r="AI143" s="0" t="n">
        <v>0</v>
      </c>
      <c r="AJ143" s="0" t="n">
        <v>0</v>
      </c>
      <c r="AK143" s="0" t="n">
        <v>1331</v>
      </c>
      <c r="AL143" s="0" t="n">
        <v>1.31</v>
      </c>
    </row>
    <row r="144">
      <c r="A144" s="0" t="inlineStr">
        <is>
          <t>[북문로2가]</t>
        </is>
      </c>
      <c r="B144" s="0" t="n">
        <v>112512</v>
      </c>
      <c r="C144" s="0" t="n">
        <v>1</v>
      </c>
      <c r="D144" s="0" t="inlineStr">
        <is>
          <t>아트에비뉴198(도시형)</t>
        </is>
      </c>
      <c r="E144" s="0" t="inlineStr">
        <is>
          <t>2016.01.</t>
        </is>
      </c>
      <c r="F144" s="0" t="n">
        <v>198</v>
      </c>
      <c r="G144" s="0" t="n">
        <v>8.609999999999999</v>
      </c>
      <c r="H144" s="0" t="n">
        <v>28.47</v>
      </c>
      <c r="I144" s="0" t="n">
        <v>5.73</v>
      </c>
      <c r="J144" s="0" t="n">
        <v>18.97</v>
      </c>
      <c r="K144" s="0" t="n">
        <v>64</v>
      </c>
      <c r="T144" s="0" t="n">
        <v>1</v>
      </c>
      <c r="U144" s="0" t="n">
        <v>1</v>
      </c>
      <c r="V144" s="0" t="inlineStr">
        <is>
          <t>복도식</t>
        </is>
      </c>
      <c r="W144" s="0" t="inlineStr">
        <is>
          <t>28A</t>
        </is>
      </c>
      <c r="X144" s="0" t="n">
        <v>15</v>
      </c>
      <c r="Y144" s="0" t="n">
        <v>10</v>
      </c>
      <c r="Z144" s="0" t="inlineStr">
        <is>
          <t>https://new.land.naver.com/complexes/112512?tab=detail&amp;rf=Y</t>
        </is>
      </c>
      <c r="AA144" s="0" t="inlineStr">
        <is>
          <t>충청북도 청주시 상당구 북문로2가 78-10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상당구</t>
        </is>
      </c>
      <c r="AE144" s="0" t="inlineStr">
        <is>
          <t>북문로2가</t>
        </is>
      </c>
      <c r="AG144" s="0" t="inlineStr">
        <is>
          <t>충청북도 청주시 상당구 중앙로 9-1</t>
        </is>
      </c>
      <c r="AH144" s="0" t="n">
        <v>0</v>
      </c>
      <c r="AI144" s="0" t="n">
        <v>747</v>
      </c>
      <c r="AJ144" s="0" t="n">
        <v>79</v>
      </c>
      <c r="AK144" s="0" t="n">
        <v>60</v>
      </c>
      <c r="AL144" s="0" t="n">
        <v>0.3</v>
      </c>
    </row>
    <row r="145">
      <c r="A145" s="0" t="inlineStr">
        <is>
          <t>[북문로2가]</t>
        </is>
      </c>
      <c r="B145" s="0" t="n">
        <v>112512</v>
      </c>
      <c r="C145" s="0" t="n">
        <v>2</v>
      </c>
      <c r="D145" s="0" t="inlineStr">
        <is>
          <t>아트에비뉴198(도시형)</t>
        </is>
      </c>
      <c r="E145" s="0" t="inlineStr">
        <is>
          <t>2016.01.</t>
        </is>
      </c>
      <c r="F145" s="0" t="n">
        <v>198</v>
      </c>
      <c r="G145" s="0" t="n">
        <v>9.4</v>
      </c>
      <c r="H145" s="0" t="n">
        <v>31.1</v>
      </c>
      <c r="I145" s="0" t="n">
        <v>6.26</v>
      </c>
      <c r="J145" s="0" t="n">
        <v>20.72</v>
      </c>
      <c r="K145" s="0" t="n">
        <v>64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31B</t>
        </is>
      </c>
      <c r="X145" s="0" t="n">
        <v>15</v>
      </c>
      <c r="Y145" s="0" t="n">
        <v>10</v>
      </c>
      <c r="Z145" s="0" t="inlineStr">
        <is>
          <t>https://new.land.naver.com/complexes/112512?tab=detail&amp;rf=Y</t>
        </is>
      </c>
      <c r="AA145" s="0" t="inlineStr">
        <is>
          <t>충청북도 청주시 상당구 북문로2가 78-10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상당구</t>
        </is>
      </c>
      <c r="AE145" s="0" t="inlineStr">
        <is>
          <t>북문로2가</t>
        </is>
      </c>
      <c r="AG145" s="0" t="inlineStr">
        <is>
          <t>충청북도 청주시 상당구 중앙로 9-1</t>
        </is>
      </c>
      <c r="AH145" s="0" t="n">
        <v>0</v>
      </c>
      <c r="AI145" s="0" t="n">
        <v>747</v>
      </c>
      <c r="AJ145" s="0" t="n">
        <v>79</v>
      </c>
      <c r="AK145" s="0" t="n">
        <v>60</v>
      </c>
      <c r="AL145" s="0" t="n">
        <v>0.3</v>
      </c>
    </row>
    <row r="146">
      <c r="A146" s="0" t="inlineStr">
        <is>
          <t>[북문로2가]</t>
        </is>
      </c>
      <c r="B146" s="0" t="n">
        <v>112512</v>
      </c>
      <c r="C146" s="0" t="n">
        <v>3</v>
      </c>
      <c r="D146" s="0" t="inlineStr">
        <is>
          <t>아트에비뉴198(도시형)</t>
        </is>
      </c>
      <c r="E146" s="0" t="inlineStr">
        <is>
          <t>2016.01.</t>
        </is>
      </c>
      <c r="F146" s="0" t="n">
        <v>198</v>
      </c>
      <c r="G146" s="0" t="n">
        <v>9.890000000000001</v>
      </c>
      <c r="H146" s="0" t="n">
        <v>32.72</v>
      </c>
      <c r="I146" s="0" t="n">
        <v>6.59</v>
      </c>
      <c r="J146" s="0" t="n">
        <v>21.8</v>
      </c>
      <c r="K146" s="0" t="n">
        <v>32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32A</t>
        </is>
      </c>
      <c r="X146" s="0" t="n">
        <v>15</v>
      </c>
      <c r="Y146" s="0" t="n">
        <v>10</v>
      </c>
      <c r="Z146" s="0" t="inlineStr">
        <is>
          <t>https://new.land.naver.com/complexes/112512?tab=detail&amp;rf=Y</t>
        </is>
      </c>
      <c r="AA146" s="0" t="inlineStr">
        <is>
          <t>충청북도 청주시 상당구 북문로2가 78-10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상당구</t>
        </is>
      </c>
      <c r="AE146" s="0" t="inlineStr">
        <is>
          <t>북문로2가</t>
        </is>
      </c>
      <c r="AG146" s="0" t="inlineStr">
        <is>
          <t>충청북도 청주시 상당구 중앙로 9-1</t>
        </is>
      </c>
      <c r="AH146" s="0" t="n">
        <v>0</v>
      </c>
      <c r="AI146" s="0" t="n">
        <v>747</v>
      </c>
      <c r="AJ146" s="0" t="n">
        <v>79</v>
      </c>
      <c r="AK146" s="0" t="n">
        <v>60</v>
      </c>
      <c r="AL146" s="0" t="n">
        <v>0.3</v>
      </c>
    </row>
    <row r="147">
      <c r="A147" s="0" t="inlineStr">
        <is>
          <t>[북문로2가]</t>
        </is>
      </c>
      <c r="B147" s="0" t="n">
        <v>112512</v>
      </c>
      <c r="C147" s="0" t="n">
        <v>4</v>
      </c>
      <c r="D147" s="0" t="inlineStr">
        <is>
          <t>아트에비뉴198(도시형)</t>
        </is>
      </c>
      <c r="E147" s="0" t="inlineStr">
        <is>
          <t>2016.01.</t>
        </is>
      </c>
      <c r="F147" s="0" t="n">
        <v>198</v>
      </c>
      <c r="G147" s="0" t="n">
        <v>9.92</v>
      </c>
      <c r="H147" s="0" t="n">
        <v>32.81</v>
      </c>
      <c r="I147" s="0" t="n">
        <v>6.61</v>
      </c>
      <c r="J147" s="0" t="n">
        <v>21.86</v>
      </c>
      <c r="K147" s="0" t="n">
        <v>4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32B</t>
        </is>
      </c>
      <c r="X147" s="0" t="n">
        <v>15</v>
      </c>
      <c r="Y147" s="0" t="n">
        <v>10</v>
      </c>
      <c r="Z147" s="0" t="inlineStr">
        <is>
          <t>https://new.land.naver.com/complexes/112512?tab=detail&amp;rf=Y</t>
        </is>
      </c>
      <c r="AA147" s="0" t="inlineStr">
        <is>
          <t>충청북도 청주시 상당구 북문로2가 78-10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상당구</t>
        </is>
      </c>
      <c r="AE147" s="0" t="inlineStr">
        <is>
          <t>북문로2가</t>
        </is>
      </c>
      <c r="AG147" s="0" t="inlineStr">
        <is>
          <t>충청북도 청주시 상당구 중앙로 9-1</t>
        </is>
      </c>
      <c r="AH147" s="0" t="n">
        <v>0</v>
      </c>
      <c r="AI147" s="0" t="n">
        <v>747</v>
      </c>
      <c r="AJ147" s="0" t="n">
        <v>79</v>
      </c>
      <c r="AK147" s="0" t="n">
        <v>60</v>
      </c>
      <c r="AL147" s="0" t="n">
        <v>0.3</v>
      </c>
    </row>
    <row r="148">
      <c r="A148" s="0" t="inlineStr">
        <is>
          <t>[북문로2가]</t>
        </is>
      </c>
      <c r="B148" s="0" t="n">
        <v>112512</v>
      </c>
      <c r="C148" s="0" t="n">
        <v>5</v>
      </c>
      <c r="D148" s="0" t="inlineStr">
        <is>
          <t>아트에비뉴198(도시형)</t>
        </is>
      </c>
      <c r="E148" s="0" t="inlineStr">
        <is>
          <t>2016.01.</t>
        </is>
      </c>
      <c r="F148" s="0" t="n">
        <v>198</v>
      </c>
      <c r="G148" s="0" t="n">
        <v>10.34</v>
      </c>
      <c r="H148" s="0" t="n">
        <v>34.21</v>
      </c>
      <c r="I148" s="0" t="n">
        <v>6.89</v>
      </c>
      <c r="J148" s="0" t="n">
        <v>22.79</v>
      </c>
      <c r="K148" s="0" t="n">
        <v>4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34C</t>
        </is>
      </c>
      <c r="X148" s="0" t="n">
        <v>15</v>
      </c>
      <c r="Y148" s="0" t="n">
        <v>10</v>
      </c>
      <c r="Z148" s="0" t="inlineStr">
        <is>
          <t>https://new.land.naver.com/complexes/112512?tab=detail&amp;rf=Y</t>
        </is>
      </c>
      <c r="AA148" s="0" t="inlineStr">
        <is>
          <t>충청북도 청주시 상당구 북문로2가 78-10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상당구</t>
        </is>
      </c>
      <c r="AE148" s="0" t="inlineStr">
        <is>
          <t>북문로2가</t>
        </is>
      </c>
      <c r="AG148" s="0" t="inlineStr">
        <is>
          <t>충청북도 청주시 상당구 중앙로 9-1</t>
        </is>
      </c>
      <c r="AH148" s="0" t="n">
        <v>0</v>
      </c>
      <c r="AI148" s="0" t="n">
        <v>747</v>
      </c>
      <c r="AJ148" s="0" t="n">
        <v>79</v>
      </c>
      <c r="AK148" s="0" t="n">
        <v>60</v>
      </c>
      <c r="AL148" s="0" t="n">
        <v>0.3</v>
      </c>
    </row>
    <row r="149">
      <c r="A149" s="0" t="inlineStr">
        <is>
          <t>[북문로2가]</t>
        </is>
      </c>
      <c r="B149" s="0" t="n">
        <v>112512</v>
      </c>
      <c r="C149" s="0" t="n">
        <v>6</v>
      </c>
      <c r="D149" s="0" t="inlineStr">
        <is>
          <t>아트에비뉴198(도시형)</t>
        </is>
      </c>
      <c r="E149" s="0" t="inlineStr">
        <is>
          <t>2016.01.</t>
        </is>
      </c>
      <c r="F149" s="0" t="n">
        <v>198</v>
      </c>
      <c r="G149" s="0" t="n">
        <v>11.41</v>
      </c>
      <c r="H149" s="0" t="n">
        <v>37.73</v>
      </c>
      <c r="I149" s="0" t="n">
        <v>7.6</v>
      </c>
      <c r="J149" s="0" t="n">
        <v>25.14</v>
      </c>
      <c r="K149" s="0" t="n">
        <v>4</v>
      </c>
      <c r="T149" s="0" t="n">
        <v>1</v>
      </c>
      <c r="U149" s="0" t="n">
        <v>1</v>
      </c>
      <c r="V149" s="0" t="inlineStr">
        <is>
          <t>복도식</t>
        </is>
      </c>
      <c r="W149" s="0" t="n">
        <v>37</v>
      </c>
      <c r="X149" s="0" t="n">
        <v>15</v>
      </c>
      <c r="Y149" s="0" t="n">
        <v>10</v>
      </c>
      <c r="Z149" s="0" t="inlineStr">
        <is>
          <t>https://new.land.naver.com/complexes/112512?tab=detail&amp;rf=Y</t>
        </is>
      </c>
      <c r="AA149" s="0" t="inlineStr">
        <is>
          <t>충청북도 청주시 상당구 북문로2가 78-10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상당구</t>
        </is>
      </c>
      <c r="AE149" s="0" t="inlineStr">
        <is>
          <t>북문로2가</t>
        </is>
      </c>
      <c r="AG149" s="0" t="inlineStr">
        <is>
          <t>충청북도 청주시 상당구 중앙로 9-1</t>
        </is>
      </c>
      <c r="AH149" s="0" t="n">
        <v>0</v>
      </c>
      <c r="AI149" s="0" t="n">
        <v>747</v>
      </c>
      <c r="AJ149" s="0" t="n">
        <v>79</v>
      </c>
      <c r="AK149" s="0" t="n">
        <v>60</v>
      </c>
      <c r="AL149" s="0" t="n">
        <v>0.3</v>
      </c>
    </row>
    <row r="150">
      <c r="A150" s="0" t="inlineStr">
        <is>
          <t>[북문로2가]</t>
        </is>
      </c>
      <c r="B150" s="0" t="n">
        <v>112512</v>
      </c>
      <c r="C150" s="0" t="n">
        <v>7</v>
      </c>
      <c r="D150" s="0" t="inlineStr">
        <is>
          <t>아트에비뉴198(도시형)</t>
        </is>
      </c>
      <c r="E150" s="0" t="inlineStr">
        <is>
          <t>2016.01.</t>
        </is>
      </c>
      <c r="F150" s="0" t="n">
        <v>198</v>
      </c>
      <c r="G150" s="0" t="n">
        <v>12.94</v>
      </c>
      <c r="H150" s="0" t="n">
        <v>42.8</v>
      </c>
      <c r="I150" s="0" t="n">
        <v>8.619999999999999</v>
      </c>
      <c r="J150" s="0" t="n">
        <v>28.52</v>
      </c>
      <c r="K150" s="0" t="n">
        <v>4</v>
      </c>
      <c r="T150" s="0" t="n">
        <v>1</v>
      </c>
      <c r="U150" s="0" t="n">
        <v>1</v>
      </c>
      <c r="V150" s="0" t="inlineStr">
        <is>
          <t>복도식</t>
        </is>
      </c>
      <c r="W150" s="0" t="n">
        <v>42</v>
      </c>
      <c r="X150" s="0" t="n">
        <v>15</v>
      </c>
      <c r="Y150" s="0" t="n">
        <v>10</v>
      </c>
      <c r="Z150" s="0" t="inlineStr">
        <is>
          <t>https://new.land.naver.com/complexes/112512?tab=detail&amp;rf=Y</t>
        </is>
      </c>
      <c r="AA150" s="0" t="inlineStr">
        <is>
          <t>충청북도 청주시 상당구 북문로2가 78-10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상당구</t>
        </is>
      </c>
      <c r="AE150" s="0" t="inlineStr">
        <is>
          <t>북문로2가</t>
        </is>
      </c>
      <c r="AG150" s="0" t="inlineStr">
        <is>
          <t>충청북도 청주시 상당구 중앙로 9-1</t>
        </is>
      </c>
      <c r="AH150" s="0" t="n">
        <v>0</v>
      </c>
      <c r="AI150" s="0" t="n">
        <v>747</v>
      </c>
      <c r="AJ150" s="0" t="n">
        <v>79</v>
      </c>
      <c r="AK150" s="0" t="n">
        <v>60</v>
      </c>
      <c r="AL150" s="0" t="n">
        <v>0.3</v>
      </c>
    </row>
    <row r="151">
      <c r="A151" s="0" t="inlineStr">
        <is>
          <t>[북문로2가]</t>
        </is>
      </c>
      <c r="B151" s="0" t="n">
        <v>112512</v>
      </c>
      <c r="C151" s="0" t="n">
        <v>8</v>
      </c>
      <c r="D151" s="0" t="inlineStr">
        <is>
          <t>아트에비뉴198(도시형)</t>
        </is>
      </c>
      <c r="E151" s="0" t="inlineStr">
        <is>
          <t>2016.01.</t>
        </is>
      </c>
      <c r="F151" s="0" t="n">
        <v>198</v>
      </c>
      <c r="G151" s="0" t="n">
        <v>14.34</v>
      </c>
      <c r="H151" s="0" t="n">
        <v>47.41</v>
      </c>
      <c r="I151" s="0" t="n">
        <v>9.550000000000001</v>
      </c>
      <c r="J151" s="0" t="n">
        <v>31.59</v>
      </c>
      <c r="K151" s="0" t="n">
        <v>4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47</v>
      </c>
      <c r="X151" s="0" t="n">
        <v>15</v>
      </c>
      <c r="Y151" s="0" t="n">
        <v>10</v>
      </c>
      <c r="Z151" s="0" t="inlineStr">
        <is>
          <t>https://new.land.naver.com/complexes/112512?tab=detail&amp;rf=Y</t>
        </is>
      </c>
      <c r="AA151" s="0" t="inlineStr">
        <is>
          <t>충청북도 청주시 상당구 북문로2가 78-10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상당구</t>
        </is>
      </c>
      <c r="AE151" s="0" t="inlineStr">
        <is>
          <t>북문로2가</t>
        </is>
      </c>
      <c r="AG151" s="0" t="inlineStr">
        <is>
          <t>충청북도 청주시 상당구 중앙로 9-1</t>
        </is>
      </c>
      <c r="AH151" s="0" t="n">
        <v>0</v>
      </c>
      <c r="AI151" s="0" t="n">
        <v>747</v>
      </c>
      <c r="AJ151" s="0" t="n">
        <v>79</v>
      </c>
      <c r="AK151" s="0" t="n">
        <v>60</v>
      </c>
      <c r="AL151" s="0" t="n">
        <v>0.3</v>
      </c>
    </row>
    <row r="152">
      <c r="A152" s="0" t="inlineStr">
        <is>
          <t>[북문로2가]</t>
        </is>
      </c>
      <c r="B152" s="0" t="n">
        <v>112512</v>
      </c>
      <c r="C152" s="0" t="n">
        <v>9</v>
      </c>
      <c r="D152" s="0" t="inlineStr">
        <is>
          <t>아트에비뉴198(도시형)</t>
        </is>
      </c>
      <c r="E152" s="0" t="inlineStr">
        <is>
          <t>2016.01.</t>
        </is>
      </c>
      <c r="F152" s="0" t="n">
        <v>198</v>
      </c>
      <c r="G152" s="0" t="n">
        <v>17.26</v>
      </c>
      <c r="H152" s="0" t="n">
        <v>57.07</v>
      </c>
      <c r="I152" s="0" t="n">
        <v>11.5</v>
      </c>
      <c r="J152" s="0" t="n">
        <v>38.03</v>
      </c>
      <c r="K152" s="0" t="n">
        <v>16</v>
      </c>
      <c r="T152" s="0" t="n">
        <v>1</v>
      </c>
      <c r="U152" s="0" t="n">
        <v>1</v>
      </c>
      <c r="V152" s="0" t="inlineStr">
        <is>
          <t>복도식</t>
        </is>
      </c>
      <c r="W152" s="0" t="inlineStr">
        <is>
          <t>57A</t>
        </is>
      </c>
      <c r="X152" s="0" t="n">
        <v>15</v>
      </c>
      <c r="Y152" s="0" t="n">
        <v>10</v>
      </c>
      <c r="Z152" s="0" t="inlineStr">
        <is>
          <t>https://new.land.naver.com/complexes/112512?tab=detail&amp;rf=Y</t>
        </is>
      </c>
      <c r="AA152" s="0" t="inlineStr">
        <is>
          <t>충청북도 청주시 상당구 북문로2가 78-10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상당구</t>
        </is>
      </c>
      <c r="AE152" s="0" t="inlineStr">
        <is>
          <t>북문로2가</t>
        </is>
      </c>
      <c r="AG152" s="0" t="inlineStr">
        <is>
          <t>충청북도 청주시 상당구 중앙로 9-1</t>
        </is>
      </c>
      <c r="AH152" s="0" t="n">
        <v>0</v>
      </c>
      <c r="AI152" s="0" t="n">
        <v>747</v>
      </c>
      <c r="AJ152" s="0" t="n">
        <v>79</v>
      </c>
      <c r="AK152" s="0" t="n">
        <v>60</v>
      </c>
      <c r="AL152" s="0" t="n">
        <v>0.3</v>
      </c>
    </row>
    <row r="153">
      <c r="A153" s="0" t="inlineStr">
        <is>
          <t>[북문로2가]</t>
        </is>
      </c>
      <c r="B153" s="0" t="n">
        <v>112512</v>
      </c>
      <c r="C153" s="0" t="n">
        <v>10</v>
      </c>
      <c r="D153" s="0" t="inlineStr">
        <is>
          <t>아트에비뉴198(도시형)</t>
        </is>
      </c>
      <c r="E153" s="0" t="inlineStr">
        <is>
          <t>2016.01.</t>
        </is>
      </c>
      <c r="F153" s="0" t="n">
        <v>198</v>
      </c>
      <c r="G153" s="0" t="n">
        <v>17.29</v>
      </c>
      <c r="H153" s="0" t="n">
        <v>57.19</v>
      </c>
      <c r="I153" s="0" t="n">
        <v>11.52</v>
      </c>
      <c r="J153" s="0" t="n">
        <v>38.11</v>
      </c>
      <c r="K153" s="0" t="n">
        <v>2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57B</t>
        </is>
      </c>
      <c r="X153" s="0" t="n">
        <v>15</v>
      </c>
      <c r="Y153" s="0" t="n">
        <v>10</v>
      </c>
      <c r="Z153" s="0" t="inlineStr">
        <is>
          <t>https://new.land.naver.com/complexes/112512?tab=detail&amp;rf=Y</t>
        </is>
      </c>
      <c r="AA153" s="0" t="inlineStr">
        <is>
          <t>충청북도 청주시 상당구 북문로2가 78-10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상당구</t>
        </is>
      </c>
      <c r="AE153" s="0" t="inlineStr">
        <is>
          <t>북문로2가</t>
        </is>
      </c>
      <c r="AG153" s="0" t="inlineStr">
        <is>
          <t>충청북도 청주시 상당구 중앙로 9-1</t>
        </is>
      </c>
      <c r="AH153" s="0" t="n">
        <v>0</v>
      </c>
      <c r="AI153" s="0" t="n">
        <v>747</v>
      </c>
      <c r="AJ153" s="0" t="n">
        <v>79</v>
      </c>
      <c r="AK153" s="0" t="n">
        <v>60</v>
      </c>
      <c r="AL153" s="0" t="n">
        <v>0.3</v>
      </c>
    </row>
    <row r="154">
      <c r="A154" s="0" t="inlineStr">
        <is>
          <t>[북문로2가]</t>
        </is>
      </c>
      <c r="B154" s="0" t="n">
        <v>112036</v>
      </c>
      <c r="C154" s="0" t="n">
        <v>1</v>
      </c>
      <c r="D154" s="0" t="inlineStr">
        <is>
          <t>중앙</t>
        </is>
      </c>
      <c r="E154" s="0" t="inlineStr">
        <is>
          <t>1979.12.</t>
        </is>
      </c>
      <c r="F154" s="0" t="n">
        <v>85</v>
      </c>
      <c r="G154" s="0" t="n">
        <v>17.58</v>
      </c>
      <c r="H154" s="0" t="n">
        <v>58.14</v>
      </c>
      <c r="I154" s="0" t="n">
        <v>15.41</v>
      </c>
      <c r="J154" s="0" t="n">
        <v>50.95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58</v>
      </c>
      <c r="X154" s="0" t="n">
        <v>5</v>
      </c>
      <c r="Y154" s="0" t="n">
        <v>3</v>
      </c>
      <c r="Z154" s="0" t="inlineStr">
        <is>
          <t>https://new.land.naver.com/complexes/112036?tab=detail&amp;rf=Y</t>
        </is>
      </c>
      <c r="AA154" s="0" t="inlineStr">
        <is>
          <t>충청북도 청주시 상당구 북문로2가 94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상당구</t>
        </is>
      </c>
      <c r="AE154" s="0" t="inlineStr">
        <is>
          <t>북문로2가</t>
        </is>
      </c>
      <c r="AG154" s="0" t="inlineStr">
        <is>
          <t>충청북도 청주시 상당구 중앙로 18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[북문로2가]</t>
        </is>
      </c>
      <c r="B155" s="0" t="n">
        <v>112036</v>
      </c>
      <c r="C155" s="0" t="n">
        <v>2</v>
      </c>
      <c r="D155" s="0" t="inlineStr">
        <is>
          <t>중앙</t>
        </is>
      </c>
      <c r="E155" s="0" t="inlineStr">
        <is>
          <t>1979.12.</t>
        </is>
      </c>
      <c r="F155" s="0" t="n">
        <v>85</v>
      </c>
      <c r="G155" s="0" t="n">
        <v>18.87</v>
      </c>
      <c r="H155" s="0" t="n">
        <v>62.4</v>
      </c>
      <c r="I155" s="0" t="n">
        <v>16.39</v>
      </c>
      <c r="J155" s="0" t="n">
        <v>54.2</v>
      </c>
      <c r="K155" s="0" t="n">
        <v>6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62</v>
      </c>
      <c r="X155" s="0" t="n">
        <v>5</v>
      </c>
      <c r="Y155" s="0" t="n">
        <v>3</v>
      </c>
      <c r="Z155" s="0" t="inlineStr">
        <is>
          <t>https://new.land.naver.com/complexes/112036?tab=detail&amp;rf=Y</t>
        </is>
      </c>
      <c r="AA155" s="0" t="inlineStr">
        <is>
          <t>충청북도 청주시 상당구 북문로2가 94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상당구</t>
        </is>
      </c>
      <c r="AE155" s="0" t="inlineStr">
        <is>
          <t>북문로2가</t>
        </is>
      </c>
      <c r="AG155" s="0" t="inlineStr">
        <is>
          <t>충청북도 청주시 상당구 중앙로 18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[북문로2가]</t>
        </is>
      </c>
      <c r="B156" s="0" t="n">
        <v>112036</v>
      </c>
      <c r="C156" s="0" t="n">
        <v>3</v>
      </c>
      <c r="D156" s="0" t="inlineStr">
        <is>
          <t>중앙</t>
        </is>
      </c>
      <c r="E156" s="0" t="inlineStr">
        <is>
          <t>1979.12.</t>
        </is>
      </c>
      <c r="F156" s="0" t="n">
        <v>85</v>
      </c>
      <c r="G156" s="0" t="n">
        <v>19.91</v>
      </c>
      <c r="H156" s="0" t="n">
        <v>65.84</v>
      </c>
      <c r="I156" s="0" t="n">
        <v>17.43</v>
      </c>
      <c r="J156" s="0" t="n">
        <v>57.64</v>
      </c>
      <c r="K156" s="0" t="n">
        <v>3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65A</t>
        </is>
      </c>
      <c r="X156" s="0" t="n">
        <v>5</v>
      </c>
      <c r="Y156" s="0" t="n">
        <v>3</v>
      </c>
      <c r="Z156" s="0" t="inlineStr">
        <is>
          <t>https://new.land.naver.com/complexes/112036?tab=detail&amp;rf=Y</t>
        </is>
      </c>
      <c r="AA156" s="0" t="inlineStr">
        <is>
          <t>충청북도 청주시 상당구 북문로2가 94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상당구</t>
        </is>
      </c>
      <c r="AE156" s="0" t="inlineStr">
        <is>
          <t>북문로2가</t>
        </is>
      </c>
      <c r="AG156" s="0" t="inlineStr">
        <is>
          <t>충청북도 청주시 상당구 중앙로 18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[북문로2가]</t>
        </is>
      </c>
      <c r="B157" s="0" t="n">
        <v>112036</v>
      </c>
      <c r="C157" s="0" t="n">
        <v>4</v>
      </c>
      <c r="D157" s="0" t="inlineStr">
        <is>
          <t>중앙</t>
        </is>
      </c>
      <c r="E157" s="0" t="inlineStr">
        <is>
          <t>1979.12.</t>
        </is>
      </c>
      <c r="F157" s="0" t="n">
        <v>85</v>
      </c>
      <c r="G157" s="0" t="n">
        <v>19.97</v>
      </c>
      <c r="H157" s="0" t="n">
        <v>66.02</v>
      </c>
      <c r="I157" s="0" t="n">
        <v>17.49</v>
      </c>
      <c r="J157" s="0" t="n">
        <v>57.84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66B</t>
        </is>
      </c>
      <c r="X157" s="0" t="n">
        <v>5</v>
      </c>
      <c r="Y157" s="0" t="n">
        <v>3</v>
      </c>
      <c r="Z157" s="0" t="inlineStr">
        <is>
          <t>https://new.land.naver.com/complexes/112036?tab=detail&amp;rf=Y</t>
        </is>
      </c>
      <c r="AA157" s="0" t="inlineStr">
        <is>
          <t>충청북도 청주시 상당구 북문로2가 94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상당구</t>
        </is>
      </c>
      <c r="AE157" s="0" t="inlineStr">
        <is>
          <t>북문로2가</t>
        </is>
      </c>
      <c r="AG157" s="0" t="inlineStr">
        <is>
          <t>충청북도 청주시 상당구 중앙로 18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[북문로2가]</t>
        </is>
      </c>
      <c r="B158" s="0" t="n">
        <v>112036</v>
      </c>
      <c r="C158" s="0" t="n">
        <v>5</v>
      </c>
      <c r="D158" s="0" t="inlineStr">
        <is>
          <t>중앙</t>
        </is>
      </c>
      <c r="E158" s="0" t="inlineStr">
        <is>
          <t>1979.12.</t>
        </is>
      </c>
      <c r="F158" s="0" t="n">
        <v>85</v>
      </c>
      <c r="G158" s="0" t="n">
        <v>20.23</v>
      </c>
      <c r="H158" s="0" t="n">
        <v>66.90000000000001</v>
      </c>
      <c r="I158" s="0" t="n">
        <v>17.73</v>
      </c>
      <c r="J158" s="0" t="n">
        <v>58.62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inlineStr">
        <is>
          <t>66C</t>
        </is>
      </c>
      <c r="X158" s="0" t="n">
        <v>5</v>
      </c>
      <c r="Y158" s="0" t="n">
        <v>3</v>
      </c>
      <c r="Z158" s="0" t="inlineStr">
        <is>
          <t>https://new.land.naver.com/complexes/112036?tab=detail&amp;rf=Y</t>
        </is>
      </c>
      <c r="AA158" s="0" t="inlineStr">
        <is>
          <t>충청북도 청주시 상당구 북문로2가 94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상당구</t>
        </is>
      </c>
      <c r="AE158" s="0" t="inlineStr">
        <is>
          <t>북문로2가</t>
        </is>
      </c>
      <c r="AG158" s="0" t="inlineStr">
        <is>
          <t>충청북도 청주시 상당구 중앙로 18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[북문로2가]</t>
        </is>
      </c>
      <c r="B159" s="0" t="n">
        <v>112036</v>
      </c>
      <c r="C159" s="0" t="n">
        <v>6</v>
      </c>
      <c r="D159" s="0" t="inlineStr">
        <is>
          <t>중앙</t>
        </is>
      </c>
      <c r="E159" s="0" t="inlineStr">
        <is>
          <t>1979.12.</t>
        </is>
      </c>
      <c r="F159" s="0" t="n">
        <v>85</v>
      </c>
      <c r="G159" s="0" t="n">
        <v>21.24</v>
      </c>
      <c r="H159" s="0" t="n">
        <v>70.23999999999999</v>
      </c>
      <c r="I159" s="0" t="n">
        <v>18.62</v>
      </c>
      <c r="J159" s="0" t="n">
        <v>61.57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70</v>
      </c>
      <c r="X159" s="0" t="n">
        <v>5</v>
      </c>
      <c r="Y159" s="0" t="n">
        <v>3</v>
      </c>
      <c r="Z159" s="0" t="inlineStr">
        <is>
          <t>https://new.land.naver.com/complexes/112036?tab=detail&amp;rf=Y</t>
        </is>
      </c>
      <c r="AA159" s="0" t="inlineStr">
        <is>
          <t>충청북도 청주시 상당구 북문로2가 94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상당구</t>
        </is>
      </c>
      <c r="AE159" s="0" t="inlineStr">
        <is>
          <t>북문로2가</t>
        </is>
      </c>
      <c r="AG159" s="0" t="inlineStr">
        <is>
          <t>충청북도 청주시 상당구 중앙로 18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[북문로2가]</t>
        </is>
      </c>
      <c r="B160" s="0" t="n">
        <v>112036</v>
      </c>
      <c r="C160" s="0" t="n">
        <v>7</v>
      </c>
      <c r="D160" s="0" t="inlineStr">
        <is>
          <t>중앙</t>
        </is>
      </c>
      <c r="E160" s="0" t="inlineStr">
        <is>
          <t>1979.12.</t>
        </is>
      </c>
      <c r="F160" s="0" t="n">
        <v>85</v>
      </c>
      <c r="G160" s="0" t="n">
        <v>23.35</v>
      </c>
      <c r="H160" s="0" t="n">
        <v>77.22</v>
      </c>
      <c r="I160" s="0" t="n">
        <v>20.47</v>
      </c>
      <c r="J160" s="0" t="n">
        <v>67.67</v>
      </c>
      <c r="K160" s="0" t="n">
        <v>12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77</v>
      </c>
      <c r="X160" s="0" t="n">
        <v>5</v>
      </c>
      <c r="Y160" s="0" t="n">
        <v>3</v>
      </c>
      <c r="Z160" s="0" t="inlineStr">
        <is>
          <t>https://new.land.naver.com/complexes/112036?tab=detail&amp;rf=Y</t>
        </is>
      </c>
      <c r="AA160" s="0" t="inlineStr">
        <is>
          <t>충청북도 청주시 상당구 북문로2가 94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상당구</t>
        </is>
      </c>
      <c r="AE160" s="0" t="inlineStr">
        <is>
          <t>북문로2가</t>
        </is>
      </c>
      <c r="AG160" s="0" t="inlineStr">
        <is>
          <t>충청북도 청주시 상당구 중앙로 18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[북문로2가]</t>
        </is>
      </c>
      <c r="B161" s="0" t="n">
        <v>112036</v>
      </c>
      <c r="C161" s="0" t="n">
        <v>8</v>
      </c>
      <c r="D161" s="0" t="inlineStr">
        <is>
          <t>중앙</t>
        </is>
      </c>
      <c r="E161" s="0" t="inlineStr">
        <is>
          <t>1979.12.</t>
        </is>
      </c>
      <c r="F161" s="0" t="n">
        <v>85</v>
      </c>
      <c r="G161" s="0" t="n">
        <v>23.83</v>
      </c>
      <c r="H161" s="0" t="n">
        <v>78.79000000000001</v>
      </c>
      <c r="I161" s="0" t="n">
        <v>20.92</v>
      </c>
      <c r="J161" s="0" t="n">
        <v>69.16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78A</t>
        </is>
      </c>
      <c r="X161" s="0" t="n">
        <v>5</v>
      </c>
      <c r="Y161" s="0" t="n">
        <v>3</v>
      </c>
      <c r="Z161" s="0" t="inlineStr">
        <is>
          <t>https://new.land.naver.com/complexes/112036?tab=detail&amp;rf=Y</t>
        </is>
      </c>
      <c r="AA161" s="0" t="inlineStr">
        <is>
          <t>충청북도 청주시 상당구 북문로2가 94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상당구</t>
        </is>
      </c>
      <c r="AE161" s="0" t="inlineStr">
        <is>
          <t>북문로2가</t>
        </is>
      </c>
      <c r="AG161" s="0" t="inlineStr">
        <is>
          <t>충청북도 청주시 상당구 중앙로 18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[북문로2가]</t>
        </is>
      </c>
      <c r="B162" s="0" t="n">
        <v>112036</v>
      </c>
      <c r="C162" s="0" t="n">
        <v>9</v>
      </c>
      <c r="D162" s="0" t="inlineStr">
        <is>
          <t>중앙</t>
        </is>
      </c>
      <c r="E162" s="0" t="inlineStr">
        <is>
          <t>1979.12.</t>
        </is>
      </c>
      <c r="F162" s="0" t="n">
        <v>85</v>
      </c>
      <c r="G162" s="0" t="n">
        <v>24.19</v>
      </c>
      <c r="H162" s="0" t="n">
        <v>79.98999999999999</v>
      </c>
      <c r="I162" s="0" t="n">
        <v>21.19</v>
      </c>
      <c r="J162" s="0" t="n">
        <v>70.08</v>
      </c>
      <c r="K162" s="0" t="n">
        <v>3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79C</t>
        </is>
      </c>
      <c r="X162" s="0" t="n">
        <v>5</v>
      </c>
      <c r="Y162" s="0" t="n">
        <v>3</v>
      </c>
      <c r="Z162" s="0" t="inlineStr">
        <is>
          <t>https://new.land.naver.com/complexes/112036?tab=detail&amp;rf=Y</t>
        </is>
      </c>
      <c r="AA162" s="0" t="inlineStr">
        <is>
          <t>충청북도 청주시 상당구 북문로2가 94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상당구</t>
        </is>
      </c>
      <c r="AE162" s="0" t="inlineStr">
        <is>
          <t>북문로2가</t>
        </is>
      </c>
      <c r="AG162" s="0" t="inlineStr">
        <is>
          <t>충청북도 청주시 상당구 중앙로 18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[북문로2가]</t>
        </is>
      </c>
      <c r="B163" s="0" t="n">
        <v>112036</v>
      </c>
      <c r="C163" s="0" t="n">
        <v>10</v>
      </c>
      <c r="D163" s="0" t="inlineStr">
        <is>
          <t>중앙</t>
        </is>
      </c>
      <c r="E163" s="0" t="inlineStr">
        <is>
          <t>1979.12.</t>
        </is>
      </c>
      <c r="F163" s="0" t="n">
        <v>85</v>
      </c>
      <c r="G163" s="0" t="n">
        <v>24.1</v>
      </c>
      <c r="H163" s="0" t="n">
        <v>79.68000000000001</v>
      </c>
      <c r="I163" s="0" t="n">
        <v>21.12</v>
      </c>
      <c r="J163" s="0" t="n">
        <v>69.81999999999999</v>
      </c>
      <c r="K163" s="0" t="n">
        <v>2</v>
      </c>
      <c r="T163" s="0" t="n">
        <v>3</v>
      </c>
      <c r="U163" s="0" t="n">
        <v>1</v>
      </c>
      <c r="V163" s="0" t="inlineStr">
        <is>
          <t>계단식</t>
        </is>
      </c>
      <c r="W163" s="0" t="inlineStr">
        <is>
          <t>79B</t>
        </is>
      </c>
      <c r="X163" s="0" t="n">
        <v>5</v>
      </c>
      <c r="Y163" s="0" t="n">
        <v>3</v>
      </c>
      <c r="Z163" s="0" t="inlineStr">
        <is>
          <t>https://new.land.naver.com/complexes/112036?tab=detail&amp;rf=Y</t>
        </is>
      </c>
      <c r="AA163" s="0" t="inlineStr">
        <is>
          <t>충청북도 청주시 상당구 북문로2가 94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상당구</t>
        </is>
      </c>
      <c r="AE163" s="0" t="inlineStr">
        <is>
          <t>북문로2가</t>
        </is>
      </c>
      <c r="AG163" s="0" t="inlineStr">
        <is>
          <t>충청북도 청주시 상당구 중앙로 18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[북문로2가]</t>
        </is>
      </c>
      <c r="B164" s="0" t="n">
        <v>112036</v>
      </c>
      <c r="C164" s="0" t="n">
        <v>11</v>
      </c>
      <c r="D164" s="0" t="inlineStr">
        <is>
          <t>중앙</t>
        </is>
      </c>
      <c r="E164" s="0" t="inlineStr">
        <is>
          <t>1979.12.</t>
        </is>
      </c>
      <c r="F164" s="0" t="n">
        <v>85</v>
      </c>
      <c r="G164" s="0" t="n">
        <v>24.5</v>
      </c>
      <c r="H164" s="0" t="n">
        <v>81.01000000000001</v>
      </c>
      <c r="I164" s="0" t="n">
        <v>21.47</v>
      </c>
      <c r="J164" s="0" t="n">
        <v>70.98</v>
      </c>
      <c r="K164" s="0" t="n">
        <v>9</v>
      </c>
      <c r="T164" s="0" t="n">
        <v>3</v>
      </c>
      <c r="U164" s="0" t="n">
        <v>1</v>
      </c>
      <c r="V164" s="0" t="inlineStr">
        <is>
          <t>계단식</t>
        </is>
      </c>
      <c r="W164" s="0" t="inlineStr">
        <is>
          <t>81A</t>
        </is>
      </c>
      <c r="X164" s="0" t="n">
        <v>5</v>
      </c>
      <c r="Y164" s="0" t="n">
        <v>3</v>
      </c>
      <c r="Z164" s="0" t="inlineStr">
        <is>
          <t>https://new.land.naver.com/complexes/112036?tab=detail&amp;rf=Y</t>
        </is>
      </c>
      <c r="AA164" s="0" t="inlineStr">
        <is>
          <t>충청북도 청주시 상당구 북문로2가 94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상당구</t>
        </is>
      </c>
      <c r="AE164" s="0" t="inlineStr">
        <is>
          <t>북문로2가</t>
        </is>
      </c>
      <c r="AG164" s="0" t="inlineStr">
        <is>
          <t>충청북도 청주시 상당구 중앙로 18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[북문로2가]</t>
        </is>
      </c>
      <c r="B165" s="0" t="n">
        <v>112036</v>
      </c>
      <c r="C165" s="0" t="n">
        <v>12</v>
      </c>
      <c r="D165" s="0" t="inlineStr">
        <is>
          <t>중앙</t>
        </is>
      </c>
      <c r="E165" s="0" t="inlineStr">
        <is>
          <t>1979.12.</t>
        </is>
      </c>
      <c r="F165" s="0" t="n">
        <v>85</v>
      </c>
      <c r="G165" s="0" t="n">
        <v>25.46</v>
      </c>
      <c r="H165" s="0" t="n">
        <v>84.17</v>
      </c>
      <c r="I165" s="0" t="n">
        <v>22.33</v>
      </c>
      <c r="J165" s="0" t="n">
        <v>73.84999999999999</v>
      </c>
      <c r="K165" s="0" t="n">
        <v>12</v>
      </c>
      <c r="T165" s="0" t="n">
        <v>3</v>
      </c>
      <c r="U165" s="0" t="n">
        <v>1</v>
      </c>
      <c r="V165" s="0" t="inlineStr">
        <is>
          <t>계단식</t>
        </is>
      </c>
      <c r="W165" s="0" t="inlineStr">
        <is>
          <t>84B</t>
        </is>
      </c>
      <c r="X165" s="0" t="n">
        <v>5</v>
      </c>
      <c r="Y165" s="0" t="n">
        <v>3</v>
      </c>
      <c r="Z165" s="0" t="inlineStr">
        <is>
          <t>https://new.land.naver.com/complexes/112036?tab=detail&amp;rf=Y</t>
        </is>
      </c>
      <c r="AA165" s="0" t="inlineStr">
        <is>
          <t>충청북도 청주시 상당구 북문로2가 94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상당구</t>
        </is>
      </c>
      <c r="AE165" s="0" t="inlineStr">
        <is>
          <t>북문로2가</t>
        </is>
      </c>
      <c r="AG165" s="0" t="inlineStr">
        <is>
          <t>충청북도 청주시 상당구 중앙로 18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[북문로2가]</t>
        </is>
      </c>
      <c r="B166" s="0" t="n">
        <v>112036</v>
      </c>
      <c r="C166" s="0" t="n">
        <v>13</v>
      </c>
      <c r="D166" s="0" t="inlineStr">
        <is>
          <t>중앙</t>
        </is>
      </c>
      <c r="E166" s="0" t="inlineStr">
        <is>
          <t>1979.12.</t>
        </is>
      </c>
      <c r="F166" s="0" t="n">
        <v>85</v>
      </c>
      <c r="G166" s="0" t="n">
        <v>25.77</v>
      </c>
      <c r="H166" s="0" t="n">
        <v>85.2</v>
      </c>
      <c r="I166" s="0" t="n">
        <v>22.58</v>
      </c>
      <c r="J166" s="0" t="n">
        <v>74.65000000000001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85A</t>
        </is>
      </c>
      <c r="X166" s="0" t="n">
        <v>5</v>
      </c>
      <c r="Y166" s="0" t="n">
        <v>3</v>
      </c>
      <c r="Z166" s="0" t="inlineStr">
        <is>
          <t>https://new.land.naver.com/complexes/112036?tab=detail&amp;rf=Y</t>
        </is>
      </c>
      <c r="AA166" s="0" t="inlineStr">
        <is>
          <t>충청북도 청주시 상당구 북문로2가 94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상당구</t>
        </is>
      </c>
      <c r="AE166" s="0" t="inlineStr">
        <is>
          <t>북문로2가</t>
        </is>
      </c>
      <c r="AG166" s="0" t="inlineStr">
        <is>
          <t>충청북도 청주시 상당구 중앙로 18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[북문로2가]</t>
        </is>
      </c>
      <c r="B167" s="0" t="n">
        <v>112036</v>
      </c>
      <c r="C167" s="0" t="n">
        <v>14</v>
      </c>
      <c r="D167" s="0" t="inlineStr">
        <is>
          <t>중앙</t>
        </is>
      </c>
      <c r="E167" s="0" t="inlineStr">
        <is>
          <t>1979.12.</t>
        </is>
      </c>
      <c r="F167" s="0" t="n">
        <v>85</v>
      </c>
      <c r="G167" s="0" t="n">
        <v>25.96</v>
      </c>
      <c r="H167" s="0" t="n">
        <v>85.83</v>
      </c>
      <c r="I167" s="0" t="n">
        <v>22.75</v>
      </c>
      <c r="J167" s="0" t="n">
        <v>75.20999999999999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85B</t>
        </is>
      </c>
      <c r="X167" s="0" t="n">
        <v>5</v>
      </c>
      <c r="Y167" s="0" t="n">
        <v>3</v>
      </c>
      <c r="Z167" s="0" t="inlineStr">
        <is>
          <t>https://new.land.naver.com/complexes/112036?tab=detail&amp;rf=Y</t>
        </is>
      </c>
      <c r="AA167" s="0" t="inlineStr">
        <is>
          <t>충청북도 청주시 상당구 북문로2가 94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상당구</t>
        </is>
      </c>
      <c r="AE167" s="0" t="inlineStr">
        <is>
          <t>북문로2가</t>
        </is>
      </c>
      <c r="AG167" s="0" t="inlineStr">
        <is>
          <t>충청북도 청주시 상당구 중앙로 18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[북문로2가]</t>
        </is>
      </c>
      <c r="B168" s="0" t="n">
        <v>112036</v>
      </c>
      <c r="C168" s="0" t="n">
        <v>15</v>
      </c>
      <c r="D168" s="0" t="inlineStr">
        <is>
          <t>중앙</t>
        </is>
      </c>
      <c r="E168" s="0" t="inlineStr">
        <is>
          <t>1979.12.</t>
        </is>
      </c>
      <c r="F168" s="0" t="n">
        <v>85</v>
      </c>
      <c r="G168" s="0" t="n">
        <v>26.28</v>
      </c>
      <c r="H168" s="0" t="n">
        <v>86.88</v>
      </c>
      <c r="I168" s="0" t="n">
        <v>23.05</v>
      </c>
      <c r="J168" s="0" t="n">
        <v>76.2</v>
      </c>
      <c r="K168" s="0" t="n">
        <v>3</v>
      </c>
      <c r="T168" s="0" t="n">
        <v>3</v>
      </c>
      <c r="U168" s="0" t="n">
        <v>1</v>
      </c>
      <c r="V168" s="0" t="inlineStr">
        <is>
          <t>계단식</t>
        </is>
      </c>
      <c r="W168" s="0" t="inlineStr">
        <is>
          <t>86C</t>
        </is>
      </c>
      <c r="X168" s="0" t="n">
        <v>5</v>
      </c>
      <c r="Y168" s="0" t="n">
        <v>3</v>
      </c>
      <c r="Z168" s="0" t="inlineStr">
        <is>
          <t>https://new.land.naver.com/complexes/112036?tab=detail&amp;rf=Y</t>
        </is>
      </c>
      <c r="AA168" s="0" t="inlineStr">
        <is>
          <t>충청북도 청주시 상당구 북문로2가 94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상당구</t>
        </is>
      </c>
      <c r="AE168" s="0" t="inlineStr">
        <is>
          <t>북문로2가</t>
        </is>
      </c>
      <c r="AG168" s="0" t="inlineStr">
        <is>
          <t>충청북도 청주시 상당구 중앙로 18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[북문로2가]</t>
        </is>
      </c>
      <c r="B169" s="0" t="n">
        <v>112036</v>
      </c>
      <c r="C169" s="0" t="n">
        <v>16</v>
      </c>
      <c r="D169" s="0" t="inlineStr">
        <is>
          <t>중앙</t>
        </is>
      </c>
      <c r="E169" s="0" t="inlineStr">
        <is>
          <t>1979.12.</t>
        </is>
      </c>
      <c r="F169" s="0" t="n">
        <v>85</v>
      </c>
      <c r="G169" s="0" t="n">
        <v>27.13</v>
      </c>
      <c r="H169" s="0" t="n">
        <v>89.69</v>
      </c>
      <c r="I169" s="0" t="n">
        <v>23.77</v>
      </c>
      <c r="J169" s="0" t="n">
        <v>78.58</v>
      </c>
      <c r="K169" s="0" t="n">
        <v>2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89A</t>
        </is>
      </c>
      <c r="X169" s="0" t="n">
        <v>5</v>
      </c>
      <c r="Y169" s="0" t="n">
        <v>3</v>
      </c>
      <c r="Z169" s="0" t="inlineStr">
        <is>
          <t>https://new.land.naver.com/complexes/112036?tab=detail&amp;rf=Y</t>
        </is>
      </c>
      <c r="AA169" s="0" t="inlineStr">
        <is>
          <t>충청북도 청주시 상당구 북문로2가 94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상당구</t>
        </is>
      </c>
      <c r="AE169" s="0" t="inlineStr">
        <is>
          <t>북문로2가</t>
        </is>
      </c>
      <c r="AG169" s="0" t="inlineStr">
        <is>
          <t>충청북도 청주시 상당구 중앙로 18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[북문로2가]</t>
        </is>
      </c>
      <c r="B170" s="0" t="n">
        <v>112036</v>
      </c>
      <c r="C170" s="0" t="n">
        <v>17</v>
      </c>
      <c r="D170" s="0" t="inlineStr">
        <is>
          <t>중앙</t>
        </is>
      </c>
      <c r="E170" s="0" t="inlineStr">
        <is>
          <t>1979.12.</t>
        </is>
      </c>
      <c r="F170" s="0" t="n">
        <v>85</v>
      </c>
      <c r="G170" s="0" t="n">
        <v>27.31</v>
      </c>
      <c r="H170" s="0" t="n">
        <v>90.31</v>
      </c>
      <c r="I170" s="0" t="n">
        <v>23.93</v>
      </c>
      <c r="J170" s="0" t="n">
        <v>79.12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90B</t>
        </is>
      </c>
      <c r="X170" s="0" t="n">
        <v>5</v>
      </c>
      <c r="Y170" s="0" t="n">
        <v>3</v>
      </c>
      <c r="Z170" s="0" t="inlineStr">
        <is>
          <t>https://new.land.naver.com/complexes/112036?tab=detail&amp;rf=Y</t>
        </is>
      </c>
      <c r="AA170" s="0" t="inlineStr">
        <is>
          <t>충청북도 청주시 상당구 북문로2가 94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상당구</t>
        </is>
      </c>
      <c r="AE170" s="0" t="inlineStr">
        <is>
          <t>북문로2가</t>
        </is>
      </c>
      <c r="AG170" s="0" t="inlineStr">
        <is>
          <t>충청북도 청주시 상당구 중앙로 18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[북문로2가]</t>
        </is>
      </c>
      <c r="B171" s="0" t="n">
        <v>112036</v>
      </c>
      <c r="C171" s="0" t="n">
        <v>18</v>
      </c>
      <c r="D171" s="0" t="inlineStr">
        <is>
          <t>중앙</t>
        </is>
      </c>
      <c r="E171" s="0" t="inlineStr">
        <is>
          <t>1979.12.</t>
        </is>
      </c>
      <c r="F171" s="0" t="n">
        <v>85</v>
      </c>
      <c r="G171" s="0" t="n">
        <v>30.3</v>
      </c>
      <c r="H171" s="0" t="n">
        <v>100.19</v>
      </c>
      <c r="I171" s="0" t="n">
        <v>26.55</v>
      </c>
      <c r="J171" s="0" t="n">
        <v>87.8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5</v>
      </c>
      <c r="Y171" s="0" t="n">
        <v>3</v>
      </c>
      <c r="Z171" s="0" t="inlineStr">
        <is>
          <t>https://new.land.naver.com/complexes/112036?tab=detail&amp;rf=Y</t>
        </is>
      </c>
      <c r="AA171" s="0" t="inlineStr">
        <is>
          <t>충청북도 청주시 상당구 북문로2가 94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상당구</t>
        </is>
      </c>
      <c r="AE171" s="0" t="inlineStr">
        <is>
          <t>북문로2가</t>
        </is>
      </c>
      <c r="AG171" s="0" t="inlineStr">
        <is>
          <t>충청북도 청주시 상당구 중앙로 18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[북문로2가]</t>
        </is>
      </c>
      <c r="B172" s="0" t="n">
        <v>112036</v>
      </c>
      <c r="C172" s="0" t="n">
        <v>19</v>
      </c>
      <c r="D172" s="0" t="inlineStr">
        <is>
          <t>중앙</t>
        </is>
      </c>
      <c r="E172" s="0" t="inlineStr">
        <is>
          <t>1979.12.</t>
        </is>
      </c>
      <c r="F172" s="0" t="n">
        <v>85</v>
      </c>
      <c r="G172" s="0" t="n">
        <v>31.85</v>
      </c>
      <c r="H172" s="0" t="n">
        <v>105.3</v>
      </c>
      <c r="I172" s="0" t="n">
        <v>27.91</v>
      </c>
      <c r="J172" s="0" t="n">
        <v>92.27</v>
      </c>
      <c r="K172" s="0" t="n">
        <v>1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5</v>
      </c>
      <c r="Y172" s="0" t="n">
        <v>3</v>
      </c>
      <c r="Z172" s="0" t="inlineStr">
        <is>
          <t>https://new.land.naver.com/complexes/112036?tab=detail&amp;rf=Y</t>
        </is>
      </c>
      <c r="AA172" s="0" t="inlineStr">
        <is>
          <t>충청북도 청주시 상당구 북문로2가 94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상당구</t>
        </is>
      </c>
      <c r="AE172" s="0" t="inlineStr">
        <is>
          <t>북문로2가</t>
        </is>
      </c>
      <c r="AG172" s="0" t="inlineStr">
        <is>
          <t>충청북도 청주시 상당구 중앙로 18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[북문로2가]</t>
        </is>
      </c>
      <c r="B173" s="0" t="n">
        <v>112036</v>
      </c>
      <c r="C173" s="0" t="n">
        <v>20</v>
      </c>
      <c r="D173" s="0" t="inlineStr">
        <is>
          <t>중앙</t>
        </is>
      </c>
      <c r="E173" s="0" t="inlineStr">
        <is>
          <t>1979.12.</t>
        </is>
      </c>
      <c r="F173" s="0" t="n">
        <v>85</v>
      </c>
      <c r="G173" s="0" t="n">
        <v>33.5</v>
      </c>
      <c r="H173" s="0" t="n">
        <v>110.75</v>
      </c>
      <c r="I173" s="0" t="n">
        <v>29.35</v>
      </c>
      <c r="J173" s="0" t="n">
        <v>97.05</v>
      </c>
      <c r="K173" s="0" t="n">
        <v>1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110</v>
      </c>
      <c r="X173" s="0" t="n">
        <v>5</v>
      </c>
      <c r="Y173" s="0" t="n">
        <v>3</v>
      </c>
      <c r="Z173" s="0" t="inlineStr">
        <is>
          <t>https://new.land.naver.com/complexes/112036?tab=detail&amp;rf=Y</t>
        </is>
      </c>
      <c r="AA173" s="0" t="inlineStr">
        <is>
          <t>충청북도 청주시 상당구 북문로2가 94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상당구</t>
        </is>
      </c>
      <c r="AE173" s="0" t="inlineStr">
        <is>
          <t>북문로2가</t>
        </is>
      </c>
      <c r="AG173" s="0" t="inlineStr">
        <is>
          <t>충청북도 청주시 상당구 중앙로 18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[북문로2가]</t>
        </is>
      </c>
      <c r="B174" s="0" t="n">
        <v>112036</v>
      </c>
      <c r="C174" s="0" t="n">
        <v>21</v>
      </c>
      <c r="D174" s="0" t="inlineStr">
        <is>
          <t>중앙</t>
        </is>
      </c>
      <c r="E174" s="0" t="inlineStr">
        <is>
          <t>1979.12.</t>
        </is>
      </c>
      <c r="F174" s="0" t="n">
        <v>85</v>
      </c>
      <c r="G174" s="0" t="n">
        <v>39.47</v>
      </c>
      <c r="H174" s="0" t="n">
        <v>130.51</v>
      </c>
      <c r="I174" s="0" t="n">
        <v>34.56</v>
      </c>
      <c r="J174" s="0" t="n">
        <v>114.28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130</v>
      </c>
      <c r="X174" s="0" t="n">
        <v>5</v>
      </c>
      <c r="Y174" s="0" t="n">
        <v>3</v>
      </c>
      <c r="Z174" s="0" t="inlineStr">
        <is>
          <t>https://new.land.naver.com/complexes/112036?tab=detail&amp;rf=Y</t>
        </is>
      </c>
      <c r="AA174" s="0" t="inlineStr">
        <is>
          <t>충청북도 청주시 상당구 북문로2가 94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상당구</t>
        </is>
      </c>
      <c r="AE174" s="0" t="inlineStr">
        <is>
          <t>북문로2가</t>
        </is>
      </c>
      <c r="AG174" s="0" t="inlineStr">
        <is>
          <t>충청북도 청주시 상당구 중앙로 18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[북문로2가]</t>
        </is>
      </c>
      <c r="B175" s="0" t="n">
        <v>112036</v>
      </c>
      <c r="C175" s="0" t="n">
        <v>22</v>
      </c>
      <c r="D175" s="0" t="inlineStr">
        <is>
          <t>중앙</t>
        </is>
      </c>
      <c r="E175" s="0" t="inlineStr">
        <is>
          <t>1979.12.</t>
        </is>
      </c>
      <c r="F175" s="0" t="n">
        <v>85</v>
      </c>
      <c r="G175" s="0" t="n">
        <v>41.28</v>
      </c>
      <c r="H175" s="0" t="n">
        <v>136.49</v>
      </c>
      <c r="I175" s="0" t="n">
        <v>36.16</v>
      </c>
      <c r="J175" s="0" t="n">
        <v>119.54</v>
      </c>
      <c r="K175" s="0" t="n">
        <v>2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136</v>
      </c>
      <c r="X175" s="0" t="n">
        <v>5</v>
      </c>
      <c r="Y175" s="0" t="n">
        <v>3</v>
      </c>
      <c r="Z175" s="0" t="inlineStr">
        <is>
          <t>https://new.land.naver.com/complexes/112036?tab=detail&amp;rf=Y</t>
        </is>
      </c>
      <c r="AA175" s="0" t="inlineStr">
        <is>
          <t>충청북도 청주시 상당구 북문로2가 94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상당구</t>
        </is>
      </c>
      <c r="AE175" s="0" t="inlineStr">
        <is>
          <t>북문로2가</t>
        </is>
      </c>
      <c r="AG175" s="0" t="inlineStr">
        <is>
          <t>충청북도 청주시 상당구 중앙로 18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[북문로2가]</t>
        </is>
      </c>
      <c r="B176" s="0" t="n">
        <v>112036</v>
      </c>
      <c r="C176" s="0" t="n">
        <v>23</v>
      </c>
      <c r="D176" s="0" t="inlineStr">
        <is>
          <t>중앙</t>
        </is>
      </c>
      <c r="E176" s="0" t="inlineStr">
        <is>
          <t>1979.12.</t>
        </is>
      </c>
      <c r="F176" s="0" t="n">
        <v>85</v>
      </c>
      <c r="G176" s="0" t="n">
        <v>43.36</v>
      </c>
      <c r="H176" s="0" t="n">
        <v>143.34</v>
      </c>
      <c r="I176" s="0" t="n">
        <v>37.99</v>
      </c>
      <c r="J176" s="0" t="n">
        <v>125.6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143</v>
      </c>
      <c r="X176" s="0" t="n">
        <v>5</v>
      </c>
      <c r="Y176" s="0" t="n">
        <v>3</v>
      </c>
      <c r="Z176" s="0" t="inlineStr">
        <is>
          <t>https://new.land.naver.com/complexes/112036?tab=detail&amp;rf=Y</t>
        </is>
      </c>
      <c r="AA176" s="0" t="inlineStr">
        <is>
          <t>충청북도 청주시 상당구 북문로2가 94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상당구</t>
        </is>
      </c>
      <c r="AE176" s="0" t="inlineStr">
        <is>
          <t>북문로2가</t>
        </is>
      </c>
      <c r="AG176" s="0" t="inlineStr">
        <is>
          <t>충청북도 청주시 상당구 중앙로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[북문로3가]</t>
        </is>
      </c>
      <c r="B177" s="0" t="n">
        <v>107290</v>
      </c>
      <c r="C177" s="0" t="n">
        <v>1</v>
      </c>
      <c r="D177" s="0" t="inlineStr">
        <is>
          <t>정원</t>
        </is>
      </c>
      <c r="E177" s="0" t="inlineStr">
        <is>
          <t>1982.05.</t>
        </is>
      </c>
      <c r="F177" s="0" t="n">
        <v>52</v>
      </c>
      <c r="G177" s="0" t="n">
        <v>27.03</v>
      </c>
      <c r="H177" s="0" t="n">
        <v>89.38</v>
      </c>
      <c r="I177" s="0" t="n">
        <v>21.32</v>
      </c>
      <c r="J177" s="0" t="n">
        <v>70.5</v>
      </c>
      <c r="K177" s="0" t="n">
        <v>2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89</v>
      </c>
      <c r="X177" s="0" t="n">
        <v>5</v>
      </c>
      <c r="Y177" s="0" t="n">
        <v>4</v>
      </c>
      <c r="Z177" s="0" t="inlineStr">
        <is>
          <t>https://new.land.naver.com/complexes/107290?tab=detail&amp;rf=Y</t>
        </is>
      </c>
      <c r="AA177" s="0" t="inlineStr">
        <is>
          <t>충청북도 청주시 상당구 북문로3가 87-6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상당구</t>
        </is>
      </c>
      <c r="AE177" s="0" t="inlineStr">
        <is>
          <t>북문로3가</t>
        </is>
      </c>
      <c r="AG177" s="0" t="inlineStr">
        <is>
          <t>충청북도 청주시 상당구 중앙로 53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[북문로3가]</t>
        </is>
      </c>
      <c r="B178" s="0" t="n">
        <v>107290</v>
      </c>
      <c r="C178" s="0" t="n">
        <v>2</v>
      </c>
      <c r="D178" s="0" t="inlineStr">
        <is>
          <t>정원</t>
        </is>
      </c>
      <c r="E178" s="0" t="inlineStr">
        <is>
          <t>1982.05.</t>
        </is>
      </c>
      <c r="F178" s="0" t="n">
        <v>52</v>
      </c>
      <c r="G178" s="0" t="n">
        <v>28.36</v>
      </c>
      <c r="H178" s="0" t="n">
        <v>93.78</v>
      </c>
      <c r="I178" s="0" t="n">
        <v>22.65</v>
      </c>
      <c r="J178" s="0" t="n">
        <v>74.90000000000001</v>
      </c>
      <c r="K178" s="0" t="n">
        <v>6</v>
      </c>
      <c r="T178" s="0" t="n">
        <v>3</v>
      </c>
      <c r="U178" s="0" t="n">
        <v>2</v>
      </c>
      <c r="V178" s="0" t="inlineStr">
        <is>
          <t>복도식</t>
        </is>
      </c>
      <c r="W178" s="0" t="n">
        <v>93</v>
      </c>
      <c r="X178" s="0" t="n">
        <v>5</v>
      </c>
      <c r="Y178" s="0" t="n">
        <v>4</v>
      </c>
      <c r="Z178" s="0" t="inlineStr">
        <is>
          <t>https://new.land.naver.com/complexes/107290?tab=detail&amp;rf=Y</t>
        </is>
      </c>
      <c r="AA178" s="0" t="inlineStr">
        <is>
          <t>충청북도 청주시 상당구 북문로3가 87-6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상당구</t>
        </is>
      </c>
      <c r="AE178" s="0" t="inlineStr">
        <is>
          <t>북문로3가</t>
        </is>
      </c>
      <c r="AG178" s="0" t="inlineStr">
        <is>
          <t>충청북도 청주시 상당구 중앙로 53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[북문로3가]</t>
        </is>
      </c>
      <c r="B179" s="0" t="n">
        <v>107290</v>
      </c>
      <c r="C179" s="0" t="n">
        <v>3</v>
      </c>
      <c r="D179" s="0" t="inlineStr">
        <is>
          <t>정원</t>
        </is>
      </c>
      <c r="E179" s="0" t="inlineStr">
        <is>
          <t>1982.05.</t>
        </is>
      </c>
      <c r="F179" s="0" t="n">
        <v>52</v>
      </c>
      <c r="G179" s="0" t="n">
        <v>30.99</v>
      </c>
      <c r="H179" s="0" t="n">
        <v>102.46</v>
      </c>
      <c r="I179" s="0" t="n">
        <v>24.49</v>
      </c>
      <c r="J179" s="0" t="n">
        <v>80.95999999999999</v>
      </c>
      <c r="K179" s="0" t="n">
        <v>7</v>
      </c>
      <c r="T179" s="0" t="n">
        <v>3</v>
      </c>
      <c r="U179" s="0" t="n">
        <v>2</v>
      </c>
      <c r="V179" s="0" t="inlineStr">
        <is>
          <t>복도식</t>
        </is>
      </c>
      <c r="W179" s="0" t="inlineStr">
        <is>
          <t>102B</t>
        </is>
      </c>
      <c r="X179" s="0" t="n">
        <v>5</v>
      </c>
      <c r="Y179" s="0" t="n">
        <v>4</v>
      </c>
      <c r="Z179" s="0" t="inlineStr">
        <is>
          <t>https://new.land.naver.com/complexes/107290?tab=detail&amp;rf=Y</t>
        </is>
      </c>
      <c r="AA179" s="0" t="inlineStr">
        <is>
          <t>충청북도 청주시 상당구 북문로3가 87-6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상당구</t>
        </is>
      </c>
      <c r="AE179" s="0" t="inlineStr">
        <is>
          <t>북문로3가</t>
        </is>
      </c>
      <c r="AG179" s="0" t="inlineStr">
        <is>
          <t>충청북도 청주시 상당구 중앙로 53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[북문로3가]</t>
        </is>
      </c>
      <c r="B180" s="0" t="n">
        <v>107290</v>
      </c>
      <c r="C180" s="0" t="n">
        <v>4</v>
      </c>
      <c r="D180" s="0" t="inlineStr">
        <is>
          <t>정원</t>
        </is>
      </c>
      <c r="E180" s="0" t="inlineStr">
        <is>
          <t>1982.05.</t>
        </is>
      </c>
      <c r="F180" s="0" t="n">
        <v>52</v>
      </c>
      <c r="G180" s="0" t="n">
        <v>30.96</v>
      </c>
      <c r="H180" s="0" t="n">
        <v>102.36</v>
      </c>
      <c r="I180" s="0" t="n">
        <v>24.46</v>
      </c>
      <c r="J180" s="0" t="n">
        <v>80.86</v>
      </c>
      <c r="K180" s="0" t="n">
        <v>1</v>
      </c>
      <c r="T180" s="0" t="n">
        <v>3</v>
      </c>
      <c r="U180" s="0" t="n">
        <v>2</v>
      </c>
      <c r="V180" s="0" t="inlineStr">
        <is>
          <t>복도식</t>
        </is>
      </c>
      <c r="W180" s="0" t="inlineStr">
        <is>
          <t>102A</t>
        </is>
      </c>
      <c r="X180" s="0" t="n">
        <v>5</v>
      </c>
      <c r="Y180" s="0" t="n">
        <v>4</v>
      </c>
      <c r="Z180" s="0" t="inlineStr">
        <is>
          <t>https://new.land.naver.com/complexes/107290?tab=detail&amp;rf=Y</t>
        </is>
      </c>
      <c r="AA180" s="0" t="inlineStr">
        <is>
          <t>충청북도 청주시 상당구 북문로3가 87-6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상당구</t>
        </is>
      </c>
      <c r="AE180" s="0" t="inlineStr">
        <is>
          <t>북문로3가</t>
        </is>
      </c>
      <c r="AG180" s="0" t="inlineStr">
        <is>
          <t>충청북도 청주시 상당구 중앙로 53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[북문로3가]</t>
        </is>
      </c>
      <c r="B181" s="0" t="n">
        <v>107290</v>
      </c>
      <c r="C181" s="0" t="n">
        <v>5</v>
      </c>
      <c r="D181" s="0" t="inlineStr">
        <is>
          <t>정원</t>
        </is>
      </c>
      <c r="E181" s="0" t="inlineStr">
        <is>
          <t>1982.05.</t>
        </is>
      </c>
      <c r="F181" s="0" t="n">
        <v>52</v>
      </c>
      <c r="G181" s="0" t="n">
        <v>32.39</v>
      </c>
      <c r="H181" s="0" t="n">
        <v>107.08</v>
      </c>
      <c r="I181" s="0" t="n">
        <v>24.68</v>
      </c>
      <c r="J181" s="0" t="n">
        <v>81.59999999999999</v>
      </c>
      <c r="K181" s="0" t="n">
        <v>24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107</v>
      </c>
      <c r="X181" s="0" t="n">
        <v>5</v>
      </c>
      <c r="Y181" s="0" t="n">
        <v>4</v>
      </c>
      <c r="Z181" s="0" t="inlineStr">
        <is>
          <t>https://new.land.naver.com/complexes/107290?tab=detail&amp;rf=Y</t>
        </is>
      </c>
      <c r="AA181" s="0" t="inlineStr">
        <is>
          <t>충청북도 청주시 상당구 북문로3가 87-6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상당구</t>
        </is>
      </c>
      <c r="AE181" s="0" t="inlineStr">
        <is>
          <t>북문로3가</t>
        </is>
      </c>
      <c r="AG181" s="0" t="inlineStr">
        <is>
          <t>충청북도 청주시 상당구 중앙로 53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[북문로3가]</t>
        </is>
      </c>
      <c r="B182" s="0" t="n">
        <v>107290</v>
      </c>
      <c r="C182" s="0" t="n">
        <v>6</v>
      </c>
      <c r="D182" s="0" t="inlineStr">
        <is>
          <t>정원</t>
        </is>
      </c>
      <c r="E182" s="0" t="inlineStr">
        <is>
          <t>1982.05.</t>
        </is>
      </c>
      <c r="F182" s="0" t="n">
        <v>52</v>
      </c>
      <c r="G182" s="0" t="n">
        <v>40.08</v>
      </c>
      <c r="H182" s="0" t="n">
        <v>132.52</v>
      </c>
      <c r="I182" s="0" t="n">
        <v>30.21</v>
      </c>
      <c r="J182" s="0" t="n">
        <v>99.87</v>
      </c>
      <c r="K182" s="0" t="n">
        <v>8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132</v>
      </c>
      <c r="X182" s="0" t="n">
        <v>5</v>
      </c>
      <c r="Y182" s="0" t="n">
        <v>4</v>
      </c>
      <c r="Z182" s="0" t="inlineStr">
        <is>
          <t>https://new.land.naver.com/complexes/107290?tab=detail&amp;rf=Y</t>
        </is>
      </c>
      <c r="AA182" s="0" t="inlineStr">
        <is>
          <t>충청북도 청주시 상당구 북문로3가 87-6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상당구</t>
        </is>
      </c>
      <c r="AE182" s="0" t="inlineStr">
        <is>
          <t>북문로3가</t>
        </is>
      </c>
      <c r="AG182" s="0" t="inlineStr">
        <is>
          <t>충청북도 청주시 상당구 중앙로 53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[북문로3가]</t>
        </is>
      </c>
      <c r="B183" s="0" t="n">
        <v>107290</v>
      </c>
      <c r="C183" s="0" t="n">
        <v>7</v>
      </c>
      <c r="D183" s="0" t="inlineStr">
        <is>
          <t>정원</t>
        </is>
      </c>
      <c r="E183" s="0" t="inlineStr">
        <is>
          <t>1982.05.</t>
        </is>
      </c>
      <c r="F183" s="0" t="n">
        <v>52</v>
      </c>
      <c r="G183" s="0" t="n">
        <v>41.82</v>
      </c>
      <c r="H183" s="0" t="n">
        <v>138.25</v>
      </c>
      <c r="I183" s="0" t="n">
        <v>31.94</v>
      </c>
      <c r="J183" s="0" t="n">
        <v>105.6</v>
      </c>
      <c r="K183" s="0" t="n">
        <v>4</v>
      </c>
      <c r="T183" s="0" t="n">
        <v>4</v>
      </c>
      <c r="U183" s="0" t="n">
        <v>2</v>
      </c>
      <c r="V183" s="0" t="inlineStr">
        <is>
          <t>복도식</t>
        </is>
      </c>
      <c r="W183" s="0" t="n">
        <v>138</v>
      </c>
      <c r="X183" s="0" t="n">
        <v>5</v>
      </c>
      <c r="Y183" s="0" t="n">
        <v>4</v>
      </c>
      <c r="Z183" s="0" t="inlineStr">
        <is>
          <t>https://new.land.naver.com/complexes/107290?tab=detail&amp;rf=Y</t>
        </is>
      </c>
      <c r="AA183" s="0" t="inlineStr">
        <is>
          <t>충청북도 청주시 상당구 북문로3가 87-6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상당구</t>
        </is>
      </c>
      <c r="AE183" s="0" t="inlineStr">
        <is>
          <t>북문로3가</t>
        </is>
      </c>
      <c r="AG183" s="0" t="inlineStr">
        <is>
          <t>충청북도 청주시 상당구 중앙로 53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[북문로3가]</t>
        </is>
      </c>
      <c r="B184" s="0" t="n">
        <v>102933</v>
      </c>
      <c r="C184" s="0" t="n">
        <v>1</v>
      </c>
      <c r="D184" s="0" t="inlineStr">
        <is>
          <t>북문로한신휴플러스</t>
        </is>
      </c>
      <c r="E184" s="0" t="inlineStr">
        <is>
          <t>2013.06.</t>
        </is>
      </c>
      <c r="F184" s="0" t="n">
        <v>286</v>
      </c>
      <c r="G184" s="0" t="n">
        <v>29.86</v>
      </c>
      <c r="H184" s="0" t="n">
        <v>98.73999999999999</v>
      </c>
      <c r="I184" s="0" t="n">
        <v>22.33</v>
      </c>
      <c r="J184" s="0" t="n">
        <v>73.83</v>
      </c>
      <c r="K184" s="0" t="n">
        <v>48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25</v>
      </c>
      <c r="Y184" s="0" t="n">
        <v>13</v>
      </c>
      <c r="Z184" s="0" t="inlineStr">
        <is>
          <t>https://new.land.naver.com/complexes/102933?tab=detail&amp;rf=Y</t>
        </is>
      </c>
      <c r="AA184" s="0" t="inlineStr">
        <is>
          <t>충청북도 청주시 상당구 북문로3가 49-1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상당구</t>
        </is>
      </c>
      <c r="AE184" s="0" t="inlineStr">
        <is>
          <t>북문로3가</t>
        </is>
      </c>
      <c r="AG184" s="0" t="inlineStr">
        <is>
          <t>충청북도 청주시 상당구 중앙로 83</t>
        </is>
      </c>
      <c r="AH184" s="0" t="n">
        <v>0</v>
      </c>
      <c r="AI184" s="0" t="n">
        <v>359</v>
      </c>
      <c r="AJ184" s="0" t="n">
        <v>30</v>
      </c>
      <c r="AK184" s="0" t="n">
        <v>365</v>
      </c>
      <c r="AL184" s="0" t="n">
        <v>1.28</v>
      </c>
    </row>
    <row r="185">
      <c r="A185" s="0" t="inlineStr">
        <is>
          <t>[북문로3가]</t>
        </is>
      </c>
      <c r="B185" s="0" t="n">
        <v>102933</v>
      </c>
      <c r="C185" s="0" t="n">
        <v>2</v>
      </c>
      <c r="D185" s="0" t="inlineStr">
        <is>
          <t>북문로한신휴플러스</t>
        </is>
      </c>
      <c r="E185" s="0" t="inlineStr">
        <is>
          <t>2013.06.</t>
        </is>
      </c>
      <c r="F185" s="0" t="n">
        <v>286</v>
      </c>
      <c r="G185" s="0" t="n">
        <v>32.42</v>
      </c>
      <c r="H185" s="0" t="n">
        <v>107.18</v>
      </c>
      <c r="I185" s="0" t="n">
        <v>22.63</v>
      </c>
      <c r="J185" s="0" t="n">
        <v>74.83</v>
      </c>
      <c r="K185" s="0" t="n">
        <v>26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107</v>
      </c>
      <c r="X185" s="0" t="n">
        <v>25</v>
      </c>
      <c r="Y185" s="0" t="n">
        <v>13</v>
      </c>
      <c r="Z185" s="0" t="inlineStr">
        <is>
          <t>https://new.land.naver.com/complexes/102933?tab=detail&amp;rf=Y</t>
        </is>
      </c>
      <c r="AA185" s="0" t="inlineStr">
        <is>
          <t>충청북도 청주시 상당구 북문로3가 49-1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상당구</t>
        </is>
      </c>
      <c r="AE185" s="0" t="inlineStr">
        <is>
          <t>북문로3가</t>
        </is>
      </c>
      <c r="AG185" s="0" t="inlineStr">
        <is>
          <t>충청북도 청주시 상당구 중앙로 83</t>
        </is>
      </c>
      <c r="AH185" s="0" t="n">
        <v>0</v>
      </c>
      <c r="AI185" s="0" t="n">
        <v>359</v>
      </c>
      <c r="AJ185" s="0" t="n">
        <v>30</v>
      </c>
      <c r="AK185" s="0" t="n">
        <v>365</v>
      </c>
      <c r="AL185" s="0" t="n">
        <v>1.28</v>
      </c>
    </row>
    <row r="186">
      <c r="A186" s="0" t="inlineStr">
        <is>
          <t>[북문로3가]</t>
        </is>
      </c>
      <c r="B186" s="0" t="n">
        <v>102933</v>
      </c>
      <c r="C186" s="0" t="n">
        <v>3</v>
      </c>
      <c r="D186" s="0" t="inlineStr">
        <is>
          <t>북문로한신휴플러스</t>
        </is>
      </c>
      <c r="E186" s="0" t="inlineStr">
        <is>
          <t>2013.06.</t>
        </is>
      </c>
      <c r="F186" s="0" t="n">
        <v>286</v>
      </c>
      <c r="G186" s="0" t="n">
        <v>34.04</v>
      </c>
      <c r="H186" s="0" t="n">
        <v>112.55</v>
      </c>
      <c r="I186" s="0" t="n">
        <v>25.7</v>
      </c>
      <c r="J186" s="0" t="n">
        <v>84.98999999999999</v>
      </c>
      <c r="K186" s="0" t="n">
        <v>112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112A</t>
        </is>
      </c>
      <c r="X186" s="0" t="n">
        <v>25</v>
      </c>
      <c r="Y186" s="0" t="n">
        <v>13</v>
      </c>
      <c r="Z186" s="0" t="inlineStr">
        <is>
          <t>https://new.land.naver.com/complexes/102933?tab=detail&amp;rf=Y</t>
        </is>
      </c>
      <c r="AA186" s="0" t="inlineStr">
        <is>
          <t>충청북도 청주시 상당구 북문로3가 49-1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상당구</t>
        </is>
      </c>
      <c r="AE186" s="0" t="inlineStr">
        <is>
          <t>북문로3가</t>
        </is>
      </c>
      <c r="AG186" s="0" t="inlineStr">
        <is>
          <t>충청북도 청주시 상당구 중앙로 83</t>
        </is>
      </c>
      <c r="AH186" s="0" t="n">
        <v>0</v>
      </c>
      <c r="AI186" s="0" t="n">
        <v>359</v>
      </c>
      <c r="AJ186" s="0" t="n">
        <v>30</v>
      </c>
      <c r="AK186" s="0" t="n">
        <v>365</v>
      </c>
      <c r="AL186" s="0" t="n">
        <v>1.28</v>
      </c>
    </row>
    <row r="187">
      <c r="A187" s="0" t="inlineStr">
        <is>
          <t>[북문로3가]</t>
        </is>
      </c>
      <c r="B187" s="0" t="n">
        <v>102933</v>
      </c>
      <c r="C187" s="0" t="n">
        <v>4</v>
      </c>
      <c r="D187" s="0" t="inlineStr">
        <is>
          <t>북문로한신휴플러스</t>
        </is>
      </c>
      <c r="E187" s="0" t="inlineStr">
        <is>
          <t>2013.06.</t>
        </is>
      </c>
      <c r="F187" s="0" t="n">
        <v>286</v>
      </c>
      <c r="G187" s="0" t="n">
        <v>34.09</v>
      </c>
      <c r="H187" s="0" t="n">
        <v>112.72</v>
      </c>
      <c r="I187" s="0" t="n">
        <v>25.7</v>
      </c>
      <c r="J187" s="0" t="n">
        <v>84.97</v>
      </c>
      <c r="K187" s="0" t="n">
        <v>22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112C</t>
        </is>
      </c>
      <c r="X187" s="0" t="n">
        <v>25</v>
      </c>
      <c r="Y187" s="0" t="n">
        <v>13</v>
      </c>
      <c r="Z187" s="0" t="inlineStr">
        <is>
          <t>https://new.land.naver.com/complexes/102933?tab=detail&amp;rf=Y</t>
        </is>
      </c>
      <c r="AA187" s="0" t="inlineStr">
        <is>
          <t>충청북도 청주시 상당구 북문로3가 49-1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상당구</t>
        </is>
      </c>
      <c r="AE187" s="0" t="inlineStr">
        <is>
          <t>북문로3가</t>
        </is>
      </c>
      <c r="AG187" s="0" t="inlineStr">
        <is>
          <t>충청북도 청주시 상당구 중앙로 83</t>
        </is>
      </c>
      <c r="AH187" s="0" t="n">
        <v>0</v>
      </c>
      <c r="AI187" s="0" t="n">
        <v>359</v>
      </c>
      <c r="AJ187" s="0" t="n">
        <v>30</v>
      </c>
      <c r="AK187" s="0" t="n">
        <v>365</v>
      </c>
      <c r="AL187" s="0" t="n">
        <v>1.28</v>
      </c>
    </row>
    <row r="188">
      <c r="A188" s="0" t="inlineStr">
        <is>
          <t>[북문로3가]</t>
        </is>
      </c>
      <c r="B188" s="0" t="n">
        <v>102933</v>
      </c>
      <c r="C188" s="0" t="n">
        <v>5</v>
      </c>
      <c r="D188" s="0" t="inlineStr">
        <is>
          <t>북문로한신휴플러스</t>
        </is>
      </c>
      <c r="E188" s="0" t="inlineStr">
        <is>
          <t>2013.06.</t>
        </is>
      </c>
      <c r="F188" s="0" t="n">
        <v>286</v>
      </c>
      <c r="G188" s="0" t="n">
        <v>34.32</v>
      </c>
      <c r="H188" s="0" t="n">
        <v>113.48</v>
      </c>
      <c r="I188" s="0" t="n">
        <v>25.7</v>
      </c>
      <c r="J188" s="0" t="n">
        <v>84.98</v>
      </c>
      <c r="K188" s="0" t="n">
        <v>68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113B</t>
        </is>
      </c>
      <c r="X188" s="0" t="n">
        <v>25</v>
      </c>
      <c r="Y188" s="0" t="n">
        <v>13</v>
      </c>
      <c r="Z188" s="0" t="inlineStr">
        <is>
          <t>https://new.land.naver.com/complexes/102933?tab=detail&amp;rf=Y</t>
        </is>
      </c>
      <c r="AA188" s="0" t="inlineStr">
        <is>
          <t>충청북도 청주시 상당구 북문로3가 49-1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상당구</t>
        </is>
      </c>
      <c r="AE188" s="0" t="inlineStr">
        <is>
          <t>북문로3가</t>
        </is>
      </c>
      <c r="AG188" s="0" t="inlineStr">
        <is>
          <t>충청북도 청주시 상당구 중앙로 83</t>
        </is>
      </c>
      <c r="AH188" s="0" t="n">
        <v>0</v>
      </c>
      <c r="AI188" s="0" t="n">
        <v>359</v>
      </c>
      <c r="AJ188" s="0" t="n">
        <v>30</v>
      </c>
      <c r="AK188" s="0" t="n">
        <v>365</v>
      </c>
      <c r="AL188" s="0" t="n">
        <v>1.28</v>
      </c>
    </row>
    <row r="189">
      <c r="A189" s="0" t="inlineStr">
        <is>
          <t>[북문로3가]</t>
        </is>
      </c>
      <c r="B189" s="0" t="n">
        <v>102933</v>
      </c>
      <c r="C189" s="0" t="n">
        <v>6</v>
      </c>
      <c r="D189" s="0" t="inlineStr">
        <is>
          <t>북문로한신휴플러스</t>
        </is>
      </c>
      <c r="E189" s="0" t="inlineStr">
        <is>
          <t>2013.06.</t>
        </is>
      </c>
      <c r="F189" s="0" t="n">
        <v>286</v>
      </c>
      <c r="G189" s="0" t="n">
        <v>54.07</v>
      </c>
      <c r="H189" s="0" t="n">
        <v>178.76</v>
      </c>
      <c r="I189" s="0" t="n">
        <v>40.28</v>
      </c>
      <c r="J189" s="0" t="n">
        <v>133.18</v>
      </c>
      <c r="K189" s="0" t="n">
        <v>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178</v>
      </c>
      <c r="X189" s="0" t="n">
        <v>25</v>
      </c>
      <c r="Y189" s="0" t="n">
        <v>13</v>
      </c>
      <c r="Z189" s="0" t="inlineStr">
        <is>
          <t>https://new.land.naver.com/complexes/102933?tab=detail&amp;rf=Y</t>
        </is>
      </c>
      <c r="AA189" s="0" t="inlineStr">
        <is>
          <t>충청북도 청주시 상당구 북문로3가 49-1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상당구</t>
        </is>
      </c>
      <c r="AE189" s="0" t="inlineStr">
        <is>
          <t>북문로3가</t>
        </is>
      </c>
      <c r="AG189" s="0" t="inlineStr">
        <is>
          <t>충청북도 청주시 상당구 중앙로 83</t>
        </is>
      </c>
      <c r="AH189" s="0" t="n">
        <v>0</v>
      </c>
      <c r="AI189" s="0" t="n">
        <v>359</v>
      </c>
      <c r="AJ189" s="0" t="n">
        <v>30</v>
      </c>
      <c r="AK189" s="0" t="n">
        <v>365</v>
      </c>
      <c r="AL189" s="0" t="n">
        <v>1.28</v>
      </c>
    </row>
    <row r="190">
      <c r="A190" s="0" t="inlineStr">
        <is>
          <t>[북문로3가]</t>
        </is>
      </c>
      <c r="B190" s="0" t="n">
        <v>102933</v>
      </c>
      <c r="C190" s="0" t="n">
        <v>7</v>
      </c>
      <c r="D190" s="0" t="inlineStr">
        <is>
          <t>북문로한신휴플러스</t>
        </is>
      </c>
      <c r="E190" s="0" t="inlineStr">
        <is>
          <t>2013.06.</t>
        </is>
      </c>
      <c r="F190" s="0" t="n">
        <v>286</v>
      </c>
      <c r="G190" s="0" t="n">
        <v>60.41</v>
      </c>
      <c r="H190" s="0" t="n">
        <v>199.73</v>
      </c>
      <c r="I190" s="0" t="n">
        <v>44.99</v>
      </c>
      <c r="J190" s="0" t="n">
        <v>148.75</v>
      </c>
      <c r="K190" s="0" t="n">
        <v>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199</v>
      </c>
      <c r="X190" s="0" t="n">
        <v>25</v>
      </c>
      <c r="Y190" s="0" t="n">
        <v>13</v>
      </c>
      <c r="Z190" s="0" t="inlineStr">
        <is>
          <t>https://new.land.naver.com/complexes/102933?tab=detail&amp;rf=Y</t>
        </is>
      </c>
      <c r="AA190" s="0" t="inlineStr">
        <is>
          <t>충청북도 청주시 상당구 북문로3가 49-1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상당구</t>
        </is>
      </c>
      <c r="AE190" s="0" t="inlineStr">
        <is>
          <t>북문로3가</t>
        </is>
      </c>
      <c r="AG190" s="0" t="inlineStr">
        <is>
          <t>충청북도 청주시 상당구 중앙로 83</t>
        </is>
      </c>
      <c r="AH190" s="0" t="n">
        <v>0</v>
      </c>
      <c r="AI190" s="0" t="n">
        <v>359</v>
      </c>
      <c r="AJ190" s="0" t="n">
        <v>30</v>
      </c>
      <c r="AK190" s="0" t="n">
        <v>365</v>
      </c>
      <c r="AL190" s="0" t="n">
        <v>1.28</v>
      </c>
    </row>
    <row r="191">
      <c r="A191" s="0" t="inlineStr">
        <is>
          <t>[북문로3가]</t>
        </is>
      </c>
      <c r="B191" s="0" t="n">
        <v>116747</v>
      </c>
      <c r="C191" s="0" t="n">
        <v>1</v>
      </c>
      <c r="D191" s="0" t="inlineStr">
        <is>
          <t>청주행정타운코아루휴티스</t>
        </is>
      </c>
      <c r="E191" s="0" t="inlineStr">
        <is>
          <t>2020.12.</t>
        </is>
      </c>
      <c r="F191" s="0" t="n">
        <v>530</v>
      </c>
      <c r="G191" s="0" t="n">
        <v>34.49</v>
      </c>
      <c r="H191" s="0" t="n">
        <v>114.04</v>
      </c>
      <c r="I191" s="0" t="n">
        <v>25.61</v>
      </c>
      <c r="J191" s="0" t="n">
        <v>84.68000000000001</v>
      </c>
      <c r="K191" s="0" t="n">
        <v>266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114B</t>
        </is>
      </c>
      <c r="X191" s="0" t="n">
        <v>49</v>
      </c>
      <c r="Y191" s="0" t="n">
        <v>49</v>
      </c>
      <c r="Z191" s="0" t="inlineStr">
        <is>
          <t>https://new.land.naver.com/complexes/116747?tab=detail&amp;rf=Y</t>
        </is>
      </c>
      <c r="AA191" s="0" t="inlineStr">
        <is>
          <t>충청북도 청주시 상당구 북문로3가 123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상당구</t>
        </is>
      </c>
      <c r="AE191" s="0" t="inlineStr">
        <is>
          <t>북문로3가</t>
        </is>
      </c>
      <c r="AG191" s="0" t="inlineStr">
        <is>
          <t>충청북도 청주시 상당구 중앙로 80</t>
        </is>
      </c>
      <c r="AH191" s="0" t="n">
        <v>0</v>
      </c>
      <c r="AI191" s="0" t="n">
        <v>884</v>
      </c>
      <c r="AJ191" s="0" t="n">
        <v>48</v>
      </c>
      <c r="AK191" s="0" t="n">
        <v>689</v>
      </c>
      <c r="AL191" s="0" t="n">
        <v>1.3</v>
      </c>
    </row>
    <row r="192">
      <c r="A192" s="0" t="inlineStr">
        <is>
          <t>[북문로3가]</t>
        </is>
      </c>
      <c r="B192" s="0" t="n">
        <v>116747</v>
      </c>
      <c r="C192" s="0" t="n">
        <v>2</v>
      </c>
      <c r="D192" s="0" t="inlineStr">
        <is>
          <t>청주행정타운코아루휴티스</t>
        </is>
      </c>
      <c r="E192" s="0" t="inlineStr">
        <is>
          <t>2020.12.</t>
        </is>
      </c>
      <c r="F192" s="0" t="n">
        <v>530</v>
      </c>
      <c r="G192" s="0" t="n">
        <v>35.14</v>
      </c>
      <c r="H192" s="0" t="n">
        <v>116.18</v>
      </c>
      <c r="I192" s="0" t="n">
        <v>25.7</v>
      </c>
      <c r="J192" s="0" t="n">
        <v>84.98999999999999</v>
      </c>
      <c r="K192" s="0" t="n">
        <v>264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116A</t>
        </is>
      </c>
      <c r="X192" s="0" t="n">
        <v>49</v>
      </c>
      <c r="Y192" s="0" t="n">
        <v>49</v>
      </c>
      <c r="Z192" s="0" t="inlineStr">
        <is>
          <t>https://new.land.naver.com/complexes/116747?tab=detail&amp;rf=Y</t>
        </is>
      </c>
      <c r="AA192" s="0" t="inlineStr">
        <is>
          <t>충청북도 청주시 상당구 북문로3가 123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상당구</t>
        </is>
      </c>
      <c r="AE192" s="0" t="inlineStr">
        <is>
          <t>북문로3가</t>
        </is>
      </c>
      <c r="AG192" s="0" t="inlineStr">
        <is>
          <t>충청북도 청주시 상당구 중앙로 80</t>
        </is>
      </c>
      <c r="AH192" s="0" t="n">
        <v>0</v>
      </c>
      <c r="AI192" s="0" t="n">
        <v>884</v>
      </c>
      <c r="AJ192" s="0" t="n">
        <v>48</v>
      </c>
      <c r="AK192" s="0" t="n">
        <v>689</v>
      </c>
      <c r="AL192" s="0" t="n">
        <v>1.3</v>
      </c>
    </row>
    <row r="193">
      <c r="A193" s="0" t="inlineStr">
        <is>
          <t>[북문로3가]</t>
        </is>
      </c>
      <c r="B193" s="0" t="n">
        <v>17250</v>
      </c>
      <c r="C193" s="0" t="n">
        <v>1</v>
      </c>
      <c r="D193" s="0" t="inlineStr">
        <is>
          <t>대우타워</t>
        </is>
      </c>
      <c r="E193" s="0" t="inlineStr">
        <is>
          <t>1997.10.</t>
        </is>
      </c>
      <c r="F193" s="0" t="n">
        <v>35</v>
      </c>
      <c r="G193" s="0" t="n">
        <v>47.57</v>
      </c>
      <c r="H193" s="0" t="n">
        <v>157.28</v>
      </c>
      <c r="I193" s="0" t="n">
        <v>31.57</v>
      </c>
      <c r="J193" s="0" t="n">
        <v>104.38</v>
      </c>
      <c r="K193" s="0" t="n">
        <v>17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157</v>
      </c>
      <c r="X193" s="0" t="n">
        <v>14</v>
      </c>
      <c r="Y193" s="0" t="n">
        <v>14</v>
      </c>
      <c r="Z193" s="0" t="inlineStr">
        <is>
          <t>https://new.land.naver.com/complexes/17250?tab=detail&amp;rf=Y</t>
        </is>
      </c>
      <c r="AA193" s="0" t="inlineStr">
        <is>
          <t>충청북도 청주시 상당구 북문로3가 15-1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상당구</t>
        </is>
      </c>
      <c r="AE193" s="0" t="inlineStr">
        <is>
          <t>북문로3가</t>
        </is>
      </c>
      <c r="AG193" s="0" t="inlineStr">
        <is>
          <t>충청북도 청주시 상당구 사북로 164</t>
        </is>
      </c>
      <c r="AH193" s="0" t="n">
        <v>0</v>
      </c>
      <c r="AI193" s="0" t="n">
        <v>0</v>
      </c>
      <c r="AJ193" s="0" t="n">
        <v>0</v>
      </c>
      <c r="AK193" s="0" t="n">
        <v>77</v>
      </c>
      <c r="AL193" s="0" t="n">
        <v>2.2</v>
      </c>
    </row>
    <row r="194">
      <c r="A194" s="0" t="inlineStr">
        <is>
          <t>[북문로3가]</t>
        </is>
      </c>
      <c r="B194" s="0" t="n">
        <v>17250</v>
      </c>
      <c r="C194" s="0" t="n">
        <v>2</v>
      </c>
      <c r="D194" s="0" t="inlineStr">
        <is>
          <t>대우타워</t>
        </is>
      </c>
      <c r="E194" s="0" t="inlineStr">
        <is>
          <t>1997.10.</t>
        </is>
      </c>
      <c r="F194" s="0" t="n">
        <v>35</v>
      </c>
      <c r="G194" s="0" t="n">
        <v>72.73999999999999</v>
      </c>
      <c r="H194" s="0" t="n">
        <v>240.47</v>
      </c>
      <c r="I194" s="0" t="n">
        <v>48.27</v>
      </c>
      <c r="J194" s="0" t="n">
        <v>159.58</v>
      </c>
      <c r="K194" s="0" t="n">
        <v>3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240</v>
      </c>
      <c r="X194" s="0" t="n">
        <v>14</v>
      </c>
      <c r="Y194" s="0" t="n">
        <v>14</v>
      </c>
      <c r="Z194" s="0" t="inlineStr">
        <is>
          <t>https://new.land.naver.com/complexes/17250?tab=detail&amp;rf=Y</t>
        </is>
      </c>
      <c r="AA194" s="0" t="inlineStr">
        <is>
          <t>충청북도 청주시 상당구 북문로3가 15-1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상당구</t>
        </is>
      </c>
      <c r="AE194" s="0" t="inlineStr">
        <is>
          <t>북문로3가</t>
        </is>
      </c>
      <c r="AG194" s="0" t="inlineStr">
        <is>
          <t>충청북도 청주시 상당구 사북로 164</t>
        </is>
      </c>
      <c r="AH194" s="0" t="n">
        <v>0</v>
      </c>
      <c r="AI194" s="0" t="n">
        <v>0</v>
      </c>
      <c r="AJ194" s="0" t="n">
        <v>0</v>
      </c>
      <c r="AK194" s="0" t="n">
        <v>77</v>
      </c>
      <c r="AL194" s="0" t="n">
        <v>2.2</v>
      </c>
    </row>
    <row r="195">
      <c r="A195" s="0" t="inlineStr">
        <is>
          <t>[북문로3가]</t>
        </is>
      </c>
      <c r="B195" s="0" t="n">
        <v>17250</v>
      </c>
      <c r="C195" s="0" t="n">
        <v>3</v>
      </c>
      <c r="D195" s="0" t="inlineStr">
        <is>
          <t>대우타워</t>
        </is>
      </c>
      <c r="E195" s="0" t="inlineStr">
        <is>
          <t>1997.10.</t>
        </is>
      </c>
      <c r="F195" s="0" t="n">
        <v>35</v>
      </c>
      <c r="G195" s="0" t="n">
        <v>73.79000000000001</v>
      </c>
      <c r="H195" s="0" t="n">
        <v>243.96</v>
      </c>
      <c r="I195" s="0" t="n">
        <v>48.97</v>
      </c>
      <c r="J195" s="0" t="n">
        <v>161.9</v>
      </c>
      <c r="K195" s="0" t="n">
        <v>6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14</v>
      </c>
      <c r="Y195" s="0" t="n">
        <v>14</v>
      </c>
      <c r="Z195" s="0" t="inlineStr">
        <is>
          <t>https://new.land.naver.com/complexes/17250?tab=detail&amp;rf=Y</t>
        </is>
      </c>
      <c r="AA195" s="0" t="inlineStr">
        <is>
          <t>충청북도 청주시 상당구 북문로3가 15-1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상당구</t>
        </is>
      </c>
      <c r="AE195" s="0" t="inlineStr">
        <is>
          <t>북문로3가</t>
        </is>
      </c>
      <c r="AG195" s="0" t="inlineStr">
        <is>
          <t>충청북도 청주시 상당구 사북로 164</t>
        </is>
      </c>
      <c r="AH195" s="0" t="n">
        <v>0</v>
      </c>
      <c r="AI195" s="0" t="n">
        <v>0</v>
      </c>
      <c r="AJ195" s="0" t="n">
        <v>0</v>
      </c>
      <c r="AK195" s="0" t="n">
        <v>77</v>
      </c>
      <c r="AL195" s="0" t="n">
        <v>2.2</v>
      </c>
    </row>
    <row r="196">
      <c r="A196" s="0" t="inlineStr">
        <is>
          <t>[북문로3가]</t>
        </is>
      </c>
      <c r="B196" s="0" t="n">
        <v>17250</v>
      </c>
      <c r="C196" s="0" t="n">
        <v>4</v>
      </c>
      <c r="D196" s="0" t="inlineStr">
        <is>
          <t>대우타워</t>
        </is>
      </c>
      <c r="E196" s="0" t="inlineStr">
        <is>
          <t>1997.10.</t>
        </is>
      </c>
      <c r="F196" s="0" t="n">
        <v>35</v>
      </c>
      <c r="G196" s="0" t="n">
        <v>102.52</v>
      </c>
      <c r="H196" s="0" t="n">
        <v>338.94</v>
      </c>
      <c r="I196" s="0" t="n">
        <v>68.03</v>
      </c>
      <c r="J196" s="0" t="n">
        <v>224.92</v>
      </c>
      <c r="K196" s="0" t="n">
        <v>9</v>
      </c>
      <c r="T196" s="0" t="n">
        <v>6</v>
      </c>
      <c r="U196" s="0" t="n">
        <v>3</v>
      </c>
      <c r="V196" s="0" t="inlineStr">
        <is>
          <t>계단식</t>
        </is>
      </c>
      <c r="W196" s="0" t="n">
        <v>338</v>
      </c>
      <c r="X196" s="0" t="n">
        <v>14</v>
      </c>
      <c r="Y196" s="0" t="n">
        <v>14</v>
      </c>
      <c r="Z196" s="0" t="inlineStr">
        <is>
          <t>https://new.land.naver.com/complexes/17250?tab=detail&amp;rf=Y</t>
        </is>
      </c>
      <c r="AA196" s="0" t="inlineStr">
        <is>
          <t>충청북도 청주시 상당구 북문로3가 15-1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상당구</t>
        </is>
      </c>
      <c r="AE196" s="0" t="inlineStr">
        <is>
          <t>북문로3가</t>
        </is>
      </c>
      <c r="AG196" s="0" t="inlineStr">
        <is>
          <t>충청북도 청주시 상당구 사북로 164</t>
        </is>
      </c>
      <c r="AH196" s="0" t="n">
        <v>0</v>
      </c>
      <c r="AI196" s="0" t="n">
        <v>0</v>
      </c>
      <c r="AJ196" s="0" t="n">
        <v>0</v>
      </c>
      <c r="AK196" s="0" t="n">
        <v>77</v>
      </c>
      <c r="AL196" s="0" t="n">
        <v>2.2</v>
      </c>
    </row>
    <row r="197">
      <c r="A197" s="0" t="inlineStr">
        <is>
          <t>[서운동]</t>
        </is>
      </c>
      <c r="B197" s="0" t="n">
        <v>112177</v>
      </c>
      <c r="C197" s="0" t="n">
        <v>1</v>
      </c>
      <c r="D197" s="0" t="inlineStr">
        <is>
          <t>삼일</t>
        </is>
      </c>
      <c r="E197" s="0" t="inlineStr">
        <is>
          <t>1986.02.</t>
        </is>
      </c>
      <c r="F197" s="0" t="n">
        <v>30</v>
      </c>
      <c r="G197" s="0" t="n">
        <v>32.42</v>
      </c>
      <c r="H197" s="0" t="n">
        <v>107.19</v>
      </c>
      <c r="I197" s="0" t="n">
        <v>24.93</v>
      </c>
      <c r="J197" s="0" t="n">
        <v>82.42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5</v>
      </c>
      <c r="Y197" s="0" t="n">
        <v>5</v>
      </c>
      <c r="Z197" s="0" t="inlineStr">
        <is>
          <t>https://new.land.naver.com/complexes/112177?tab=detail&amp;rf=Y</t>
        </is>
      </c>
      <c r="AA197" s="0" t="inlineStr">
        <is>
          <t>충청북도 청주시 상당구 서운동 21-7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상당구</t>
        </is>
      </c>
      <c r="AE197" s="0" t="inlineStr">
        <is>
          <t>서운동</t>
        </is>
      </c>
      <c r="AG197" s="0" t="inlineStr">
        <is>
          <t>충청북도 청주시 상당구 탑동로1번길 5</t>
        </is>
      </c>
      <c r="AH197" s="0" t="n">
        <v>0</v>
      </c>
      <c r="AI197" s="0" t="n">
        <v>166</v>
      </c>
      <c r="AJ197" s="0" t="n">
        <v>33</v>
      </c>
      <c r="AK197" s="0" t="n">
        <v>0</v>
      </c>
      <c r="AL197" s="0" t="n">
        <v>0</v>
      </c>
    </row>
    <row r="198">
      <c r="A198" s="0" t="inlineStr">
        <is>
          <t>[서운동]</t>
        </is>
      </c>
      <c r="B198" s="0" t="n">
        <v>112177</v>
      </c>
      <c r="C198" s="0" t="n">
        <v>2</v>
      </c>
      <c r="D198" s="0" t="inlineStr">
        <is>
          <t>삼일</t>
        </is>
      </c>
      <c r="E198" s="0" t="inlineStr">
        <is>
          <t>1986.02.</t>
        </is>
      </c>
      <c r="F198" s="0" t="n">
        <v>30</v>
      </c>
      <c r="G198" s="0" t="n">
        <v>33.02</v>
      </c>
      <c r="H198" s="0" t="n">
        <v>109.19</v>
      </c>
      <c r="I198" s="0" t="n">
        <v>25.53</v>
      </c>
      <c r="J198" s="0" t="n">
        <v>84.42</v>
      </c>
      <c r="K198" s="0" t="n">
        <v>19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5</v>
      </c>
      <c r="Y198" s="0" t="n">
        <v>5</v>
      </c>
      <c r="Z198" s="0" t="inlineStr">
        <is>
          <t>https://new.land.naver.com/complexes/112177?tab=detail&amp;rf=Y</t>
        </is>
      </c>
      <c r="AA198" s="0" t="inlineStr">
        <is>
          <t>충청북도 청주시 상당구 서운동 21-7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상당구</t>
        </is>
      </c>
      <c r="AE198" s="0" t="inlineStr">
        <is>
          <t>서운동</t>
        </is>
      </c>
      <c r="AG198" s="0" t="inlineStr">
        <is>
          <t>충청북도 청주시 상당구 탑동로1번길 5</t>
        </is>
      </c>
      <c r="AH198" s="0" t="n">
        <v>0</v>
      </c>
      <c r="AI198" s="0" t="n">
        <v>166</v>
      </c>
      <c r="AJ198" s="0" t="n">
        <v>33</v>
      </c>
      <c r="AK198" s="0" t="n">
        <v>0</v>
      </c>
      <c r="AL198" s="0" t="n">
        <v>0</v>
      </c>
    </row>
    <row r="199">
      <c r="A199" s="0" t="inlineStr">
        <is>
          <t>[서운동]</t>
        </is>
      </c>
      <c r="B199" s="0" t="n">
        <v>112177</v>
      </c>
      <c r="C199" s="0" t="n">
        <v>3</v>
      </c>
      <c r="D199" s="0" t="inlineStr">
        <is>
          <t>삼일</t>
        </is>
      </c>
      <c r="E199" s="0" t="inlineStr">
        <is>
          <t>1986.02.</t>
        </is>
      </c>
      <c r="F199" s="0" t="n">
        <v>30</v>
      </c>
      <c r="G199" s="0" t="n">
        <v>51.44</v>
      </c>
      <c r="H199" s="0" t="n">
        <v>170.06</v>
      </c>
      <c r="I199" s="0" t="n">
        <v>40.76</v>
      </c>
      <c r="J199" s="0" t="n">
        <v>134.76</v>
      </c>
      <c r="K199" s="0" t="n">
        <v>10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170</v>
      </c>
      <c r="X199" s="0" t="n">
        <v>5</v>
      </c>
      <c r="Y199" s="0" t="n">
        <v>5</v>
      </c>
      <c r="Z199" s="0" t="inlineStr">
        <is>
          <t>https://new.land.naver.com/complexes/112177?tab=detail&amp;rf=Y</t>
        </is>
      </c>
      <c r="AA199" s="0" t="inlineStr">
        <is>
          <t>충청북도 청주시 상당구 서운동 21-7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상당구</t>
        </is>
      </c>
      <c r="AE199" s="0" t="inlineStr">
        <is>
          <t>서운동</t>
        </is>
      </c>
      <c r="AG199" s="0" t="inlineStr">
        <is>
          <t>충청북도 청주시 상당구 탑동로1번길 5</t>
        </is>
      </c>
      <c r="AH199" s="0" t="n">
        <v>0</v>
      </c>
      <c r="AI199" s="0" t="n">
        <v>166</v>
      </c>
      <c r="AJ199" s="0" t="n">
        <v>33</v>
      </c>
      <c r="AK199" s="0" t="n">
        <v>0</v>
      </c>
      <c r="AL199" s="0" t="n">
        <v>0</v>
      </c>
    </row>
    <row r="200">
      <c r="A200" s="0" t="inlineStr">
        <is>
          <t>[석교동]</t>
        </is>
      </c>
      <c r="B200" s="0" t="n">
        <v>109239</v>
      </c>
      <c r="C200" s="0" t="n">
        <v>1</v>
      </c>
      <c r="D200" s="0" t="inlineStr">
        <is>
          <t>석교</t>
        </is>
      </c>
      <c r="E200" s="0" t="inlineStr">
        <is>
          <t>1984.11.</t>
        </is>
      </c>
      <c r="F200" s="0" t="n">
        <v>19</v>
      </c>
      <c r="G200" s="0" t="n">
        <v>26.22</v>
      </c>
      <c r="H200" s="0" t="n">
        <v>86.7</v>
      </c>
      <c r="I200" s="0" t="n">
        <v>24.39</v>
      </c>
      <c r="J200" s="0" t="n">
        <v>80.64</v>
      </c>
      <c r="K200" s="0" t="n">
        <v>10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86</v>
      </c>
      <c r="X200" s="0" t="n">
        <v>5</v>
      </c>
      <c r="Y200" s="0" t="n">
        <v>4</v>
      </c>
      <c r="Z200" s="0" t="inlineStr">
        <is>
          <t>https://new.land.naver.com/complexes/109239?tab=detail&amp;rf=Y</t>
        </is>
      </c>
      <c r="AA200" s="0" t="inlineStr">
        <is>
          <t>충청북도 청주시 상당구 석교동 5-1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상당구</t>
        </is>
      </c>
      <c r="AE200" s="0" t="inlineStr">
        <is>
          <t>석교동</t>
        </is>
      </c>
      <c r="AG200" s="0" t="inlineStr">
        <is>
          <t>충청북도 청주시 상당구 대성로22번길 19-1</t>
        </is>
      </c>
      <c r="AH200" s="0" t="n">
        <v>0</v>
      </c>
      <c r="AI200" s="0" t="n">
        <v>138</v>
      </c>
      <c r="AJ200" s="0" t="n">
        <v>29</v>
      </c>
      <c r="AK200" s="0" t="n">
        <v>0</v>
      </c>
      <c r="AL200" s="0" t="n">
        <v>0</v>
      </c>
    </row>
    <row r="201">
      <c r="A201" s="0" t="inlineStr">
        <is>
          <t>[석교동]</t>
        </is>
      </c>
      <c r="B201" s="0" t="n">
        <v>109239</v>
      </c>
      <c r="C201" s="0" t="n">
        <v>2</v>
      </c>
      <c r="D201" s="0" t="inlineStr">
        <is>
          <t>석교</t>
        </is>
      </c>
      <c r="E201" s="0" t="inlineStr">
        <is>
          <t>1984.11.</t>
        </is>
      </c>
      <c r="F201" s="0" t="n">
        <v>19</v>
      </c>
      <c r="G201" s="0" t="n">
        <v>26.6</v>
      </c>
      <c r="H201" s="0" t="n">
        <v>87.95999999999999</v>
      </c>
      <c r="I201" s="0" t="n">
        <v>24.77</v>
      </c>
      <c r="J201" s="0" t="n">
        <v>81.90000000000001</v>
      </c>
      <c r="K201" s="0" t="n">
        <v>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87A</t>
        </is>
      </c>
      <c r="X201" s="0" t="n">
        <v>5</v>
      </c>
      <c r="Y201" s="0" t="n">
        <v>4</v>
      </c>
      <c r="Z201" s="0" t="inlineStr">
        <is>
          <t>https://new.land.naver.com/complexes/109239?tab=detail&amp;rf=Y</t>
        </is>
      </c>
      <c r="AA201" s="0" t="inlineStr">
        <is>
          <t>충청북도 청주시 상당구 석교동 5-1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상당구</t>
        </is>
      </c>
      <c r="AE201" s="0" t="inlineStr">
        <is>
          <t>석교동</t>
        </is>
      </c>
      <c r="AG201" s="0" t="inlineStr">
        <is>
          <t>충청북도 청주시 상당구 대성로22번길 19-1</t>
        </is>
      </c>
      <c r="AH201" s="0" t="n">
        <v>0</v>
      </c>
      <c r="AI201" s="0" t="n">
        <v>138</v>
      </c>
      <c r="AJ201" s="0" t="n">
        <v>29</v>
      </c>
      <c r="AK201" s="0" t="n">
        <v>0</v>
      </c>
      <c r="AL201" s="0" t="n">
        <v>0</v>
      </c>
    </row>
    <row r="202">
      <c r="A202" s="0" t="inlineStr">
        <is>
          <t>[석교동]</t>
        </is>
      </c>
      <c r="B202" s="0" t="n">
        <v>109239</v>
      </c>
      <c r="C202" s="0" t="n">
        <v>3</v>
      </c>
      <c r="D202" s="0" t="inlineStr">
        <is>
          <t>석교</t>
        </is>
      </c>
      <c r="E202" s="0" t="inlineStr">
        <is>
          <t>1984.11.</t>
        </is>
      </c>
      <c r="F202" s="0" t="n">
        <v>19</v>
      </c>
      <c r="G202" s="0" t="n">
        <v>27.17</v>
      </c>
      <c r="H202" s="0" t="n">
        <v>89.84999999999999</v>
      </c>
      <c r="I202" s="0" t="n">
        <v>25.34</v>
      </c>
      <c r="J202" s="0" t="n">
        <v>83.79000000000001</v>
      </c>
      <c r="K202" s="0" t="n">
        <v>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89B</t>
        </is>
      </c>
      <c r="X202" s="0" t="n">
        <v>5</v>
      </c>
      <c r="Y202" s="0" t="n">
        <v>4</v>
      </c>
      <c r="Z202" s="0" t="inlineStr">
        <is>
          <t>https://new.land.naver.com/complexes/109239?tab=detail&amp;rf=Y</t>
        </is>
      </c>
      <c r="AA202" s="0" t="inlineStr">
        <is>
          <t>충청북도 청주시 상당구 석교동 5-1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상당구</t>
        </is>
      </c>
      <c r="AE202" s="0" t="inlineStr">
        <is>
          <t>석교동</t>
        </is>
      </c>
      <c r="AG202" s="0" t="inlineStr">
        <is>
          <t>충청북도 청주시 상당구 대성로22번길 19-1</t>
        </is>
      </c>
      <c r="AH202" s="0" t="n">
        <v>0</v>
      </c>
      <c r="AI202" s="0" t="n">
        <v>138</v>
      </c>
      <c r="AJ202" s="0" t="n">
        <v>29</v>
      </c>
      <c r="AK202" s="0" t="n">
        <v>0</v>
      </c>
      <c r="AL202" s="0" t="n">
        <v>0</v>
      </c>
    </row>
    <row r="203">
      <c r="A203" s="0" t="inlineStr">
        <is>
          <t>[석교동]</t>
        </is>
      </c>
      <c r="B203" s="0" t="n">
        <v>109239</v>
      </c>
      <c r="C203" s="0" t="n">
        <v>4</v>
      </c>
      <c r="D203" s="0" t="inlineStr">
        <is>
          <t>석교</t>
        </is>
      </c>
      <c r="E203" s="0" t="inlineStr">
        <is>
          <t>1984.11.</t>
        </is>
      </c>
      <c r="F203" s="0" t="n">
        <v>19</v>
      </c>
      <c r="G203" s="0" t="n">
        <v>27.37</v>
      </c>
      <c r="H203" s="0" t="n">
        <v>90.48</v>
      </c>
      <c r="I203" s="0" t="n">
        <v>25.53</v>
      </c>
      <c r="J203" s="0" t="n">
        <v>84.42</v>
      </c>
      <c r="K203" s="0" t="n">
        <v>1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90C</t>
        </is>
      </c>
      <c r="X203" s="0" t="n">
        <v>5</v>
      </c>
      <c r="Y203" s="0" t="n">
        <v>4</v>
      </c>
      <c r="Z203" s="0" t="inlineStr">
        <is>
          <t>https://new.land.naver.com/complexes/109239?tab=detail&amp;rf=Y</t>
        </is>
      </c>
      <c r="AA203" s="0" t="inlineStr">
        <is>
          <t>충청북도 청주시 상당구 석교동 5-1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상당구</t>
        </is>
      </c>
      <c r="AE203" s="0" t="inlineStr">
        <is>
          <t>석교동</t>
        </is>
      </c>
      <c r="AG203" s="0" t="inlineStr">
        <is>
          <t>충청북도 청주시 상당구 대성로22번길 19-1</t>
        </is>
      </c>
      <c r="AH203" s="0" t="n">
        <v>0</v>
      </c>
      <c r="AI203" s="0" t="n">
        <v>138</v>
      </c>
      <c r="AJ203" s="0" t="n">
        <v>29</v>
      </c>
      <c r="AK203" s="0" t="n">
        <v>0</v>
      </c>
      <c r="AL203" s="0" t="n">
        <v>0</v>
      </c>
    </row>
    <row r="204">
      <c r="A204" s="0" t="inlineStr">
        <is>
          <t>[수동]</t>
        </is>
      </c>
      <c r="B204" s="0" t="n">
        <v>108800</v>
      </c>
      <c r="C204" s="0" t="n">
        <v>1</v>
      </c>
      <c r="D204" s="0" t="inlineStr">
        <is>
          <t>덕일파크</t>
        </is>
      </c>
      <c r="E204" s="0" t="inlineStr">
        <is>
          <t>1986.12.</t>
        </is>
      </c>
      <c r="F204" s="0" t="n">
        <v>76</v>
      </c>
      <c r="G204" s="0" t="n">
        <v>27.8</v>
      </c>
      <c r="H204" s="0" t="n">
        <v>91.92</v>
      </c>
      <c r="I204" s="0" t="n">
        <v>24.14</v>
      </c>
      <c r="J204" s="0" t="n">
        <v>79.83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91</v>
      </c>
      <c r="X204" s="0" t="n">
        <v>5</v>
      </c>
      <c r="Y204" s="0" t="n">
        <v>4</v>
      </c>
      <c r="Z204" s="0" t="inlineStr">
        <is>
          <t>https://new.land.naver.com/complexes/108800?tab=detail&amp;rf=Y</t>
        </is>
      </c>
      <c r="AA204" s="0" t="inlineStr">
        <is>
          <t>충청북도 청주시 상당구 수동 115-9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상당구</t>
        </is>
      </c>
      <c r="AE204" s="0" t="inlineStr">
        <is>
          <t>수동</t>
        </is>
      </c>
      <c r="AG204" s="0" t="inlineStr">
        <is>
          <t>충청북도 청주시 상당구 대성로180번길 64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[수동]</t>
        </is>
      </c>
      <c r="B205" s="0" t="n">
        <v>108800</v>
      </c>
      <c r="C205" s="0" t="n">
        <v>2</v>
      </c>
      <c r="D205" s="0" t="inlineStr">
        <is>
          <t>덕일파크</t>
        </is>
      </c>
      <c r="E205" s="0" t="inlineStr">
        <is>
          <t>1986.12.</t>
        </is>
      </c>
      <c r="F205" s="0" t="n">
        <v>76</v>
      </c>
      <c r="G205" s="0" t="n">
        <v>40.85</v>
      </c>
      <c r="H205" s="0" t="n">
        <v>135.06</v>
      </c>
      <c r="I205" s="0" t="n">
        <v>36.5</v>
      </c>
      <c r="J205" s="0" t="n">
        <v>120.69</v>
      </c>
      <c r="K205" s="0" t="n">
        <v>10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135</v>
      </c>
      <c r="X205" s="0" t="n">
        <v>5</v>
      </c>
      <c r="Y205" s="0" t="n">
        <v>4</v>
      </c>
      <c r="Z205" s="0" t="inlineStr">
        <is>
          <t>https://new.land.naver.com/complexes/108800?tab=detail&amp;rf=Y</t>
        </is>
      </c>
      <c r="AA205" s="0" t="inlineStr">
        <is>
          <t>충청북도 청주시 상당구 수동 115-9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상당구</t>
        </is>
      </c>
      <c r="AE205" s="0" t="inlineStr">
        <is>
          <t>수동</t>
        </is>
      </c>
      <c r="AG205" s="0" t="inlineStr">
        <is>
          <t>충청북도 청주시 상당구 대성로180번길 64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[영동]</t>
        </is>
      </c>
      <c r="B206" s="0" t="n">
        <v>15395</v>
      </c>
      <c r="C206" s="0" t="n">
        <v>1</v>
      </c>
      <c r="D206" s="0" t="inlineStr">
        <is>
          <t>평화</t>
        </is>
      </c>
      <c r="E206" s="0" t="inlineStr">
        <is>
          <t>1982.12.</t>
        </is>
      </c>
      <c r="F206" s="0" t="n">
        <v>185</v>
      </c>
      <c r="G206" s="0" t="n">
        <v>21.41</v>
      </c>
      <c r="H206" s="0" t="n">
        <v>70.78</v>
      </c>
      <c r="I206" s="0" t="n">
        <v>21.41</v>
      </c>
      <c r="J206" s="0" t="n">
        <v>70.78</v>
      </c>
      <c r="K206" s="0" t="n">
        <v>75</v>
      </c>
      <c r="T206" s="0" t="n">
        <v>3</v>
      </c>
      <c r="U206" s="0" t="n">
        <v>1</v>
      </c>
      <c r="V206" s="0" t="inlineStr">
        <is>
          <t>계단식</t>
        </is>
      </c>
      <c r="W206" s="0" t="inlineStr">
        <is>
          <t>70A</t>
        </is>
      </c>
      <c r="X206" s="0" t="n">
        <v>5</v>
      </c>
      <c r="Y206" s="0" t="n">
        <v>5</v>
      </c>
      <c r="Z206" s="0" t="inlineStr">
        <is>
          <t>https://new.land.naver.com/complexes/15395?tab=detail&amp;rf=Y</t>
        </is>
      </c>
      <c r="AA206" s="0" t="inlineStr">
        <is>
          <t>충청북도 청주시 상당구 영동 50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상당구</t>
        </is>
      </c>
      <c r="AE206" s="0" t="inlineStr">
        <is>
          <t>영동</t>
        </is>
      </c>
      <c r="AG206" s="0" t="inlineStr">
        <is>
          <t>충청북도 청주시 상당구 사직대로361번길 99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[영동]</t>
        </is>
      </c>
      <c r="B207" s="0" t="n">
        <v>15395</v>
      </c>
      <c r="C207" s="0" t="n">
        <v>2</v>
      </c>
      <c r="D207" s="0" t="inlineStr">
        <is>
          <t>평화</t>
        </is>
      </c>
      <c r="E207" s="0" t="inlineStr">
        <is>
          <t>1982.12.</t>
        </is>
      </c>
      <c r="F207" s="0" t="n">
        <v>185</v>
      </c>
      <c r="G207" s="0" t="n">
        <v>21.72</v>
      </c>
      <c r="H207" s="0" t="n">
        <v>71.81999999999999</v>
      </c>
      <c r="I207" s="0" t="n">
        <v>21.72</v>
      </c>
      <c r="J207" s="0" t="n">
        <v>71.81999999999999</v>
      </c>
      <c r="K207" s="0" t="n">
        <v>20</v>
      </c>
      <c r="T207" s="0" t="n">
        <v>3</v>
      </c>
      <c r="U207" s="0" t="n">
        <v>1</v>
      </c>
      <c r="V207" s="0" t="inlineStr">
        <is>
          <t>계단식</t>
        </is>
      </c>
      <c r="W207" s="0" t="inlineStr">
        <is>
          <t>71B</t>
        </is>
      </c>
      <c r="X207" s="0" t="n">
        <v>5</v>
      </c>
      <c r="Y207" s="0" t="n">
        <v>5</v>
      </c>
      <c r="Z207" s="0" t="inlineStr">
        <is>
          <t>https://new.land.naver.com/complexes/15395?tab=detail&amp;rf=Y</t>
        </is>
      </c>
      <c r="AA207" s="0" t="inlineStr">
        <is>
          <t>충청북도 청주시 상당구 영동 50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상당구</t>
        </is>
      </c>
      <c r="AE207" s="0" t="inlineStr">
        <is>
          <t>영동</t>
        </is>
      </c>
      <c r="AG207" s="0" t="inlineStr">
        <is>
          <t>충청북도 청주시 상당구 사직대로361번길 99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[영동]</t>
        </is>
      </c>
      <c r="B208" s="0" t="n">
        <v>15395</v>
      </c>
      <c r="C208" s="0" t="n">
        <v>3</v>
      </c>
      <c r="D208" s="0" t="inlineStr">
        <is>
          <t>평화</t>
        </is>
      </c>
      <c r="E208" s="0" t="inlineStr">
        <is>
          <t>1982.12.</t>
        </is>
      </c>
      <c r="F208" s="0" t="n">
        <v>185</v>
      </c>
      <c r="G208" s="0" t="n">
        <v>24.46</v>
      </c>
      <c r="H208" s="0" t="n">
        <v>80.89</v>
      </c>
      <c r="I208" s="0" t="n">
        <v>22.04</v>
      </c>
      <c r="J208" s="0" t="n">
        <v>72.88</v>
      </c>
      <c r="K208" s="0" t="n">
        <v>30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80C</t>
        </is>
      </c>
      <c r="X208" s="0" t="n">
        <v>5</v>
      </c>
      <c r="Y208" s="0" t="n">
        <v>5</v>
      </c>
      <c r="Z208" s="0" t="inlineStr">
        <is>
          <t>https://new.land.naver.com/complexes/15395?tab=detail&amp;rf=Y</t>
        </is>
      </c>
      <c r="AA208" s="0" t="inlineStr">
        <is>
          <t>충청북도 청주시 상당구 영동 50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상당구</t>
        </is>
      </c>
      <c r="AE208" s="0" t="inlineStr">
        <is>
          <t>영동</t>
        </is>
      </c>
      <c r="AG208" s="0" t="inlineStr">
        <is>
          <t>충청북도 청주시 상당구 사직대로361번길 99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[영동]</t>
        </is>
      </c>
      <c r="B209" s="0" t="n">
        <v>15395</v>
      </c>
      <c r="C209" s="0" t="n">
        <v>4</v>
      </c>
      <c r="D209" s="0" t="inlineStr">
        <is>
          <t>평화</t>
        </is>
      </c>
      <c r="E209" s="0" t="inlineStr">
        <is>
          <t>1982.12.</t>
        </is>
      </c>
      <c r="F209" s="0" t="n">
        <v>185</v>
      </c>
      <c r="G209" s="0" t="n">
        <v>24.63</v>
      </c>
      <c r="H209" s="0" t="n">
        <v>81.43000000000001</v>
      </c>
      <c r="I209" s="0" t="n">
        <v>22.2</v>
      </c>
      <c r="J209" s="0" t="n">
        <v>73.42</v>
      </c>
      <c r="K209" s="0" t="n">
        <v>30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81D</t>
        </is>
      </c>
      <c r="X209" s="0" t="n">
        <v>5</v>
      </c>
      <c r="Y209" s="0" t="n">
        <v>5</v>
      </c>
      <c r="Z209" s="0" t="inlineStr">
        <is>
          <t>https://new.land.naver.com/complexes/15395?tab=detail&amp;rf=Y</t>
        </is>
      </c>
      <c r="AA209" s="0" t="inlineStr">
        <is>
          <t>충청북도 청주시 상당구 영동 50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상당구</t>
        </is>
      </c>
      <c r="AE209" s="0" t="inlineStr">
        <is>
          <t>영동</t>
        </is>
      </c>
      <c r="AG209" s="0" t="inlineStr">
        <is>
          <t>충청북도 청주시 상당구 사직대로361번길 99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[영동]</t>
        </is>
      </c>
      <c r="B210" s="0" t="n">
        <v>15395</v>
      </c>
      <c r="C210" s="0" t="n">
        <v>5</v>
      </c>
      <c r="D210" s="0" t="inlineStr">
        <is>
          <t>평화</t>
        </is>
      </c>
      <c r="E210" s="0" t="inlineStr">
        <is>
          <t>1982.12.</t>
        </is>
      </c>
      <c r="F210" s="0" t="n">
        <v>185</v>
      </c>
      <c r="G210" s="0" t="n">
        <v>28.17</v>
      </c>
      <c r="H210" s="0" t="n">
        <v>93.15000000000001</v>
      </c>
      <c r="I210" s="0" t="n">
        <v>23.57</v>
      </c>
      <c r="J210" s="0" t="n">
        <v>77.92</v>
      </c>
      <c r="K210" s="0" t="n">
        <v>5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93</v>
      </c>
      <c r="X210" s="0" t="n">
        <v>5</v>
      </c>
      <c r="Y210" s="0" t="n">
        <v>5</v>
      </c>
      <c r="Z210" s="0" t="inlineStr">
        <is>
          <t>https://new.land.naver.com/complexes/15395?tab=detail&amp;rf=Y</t>
        </is>
      </c>
      <c r="AA210" s="0" t="inlineStr">
        <is>
          <t>충청북도 청주시 상당구 영동 50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상당구</t>
        </is>
      </c>
      <c r="AE210" s="0" t="inlineStr">
        <is>
          <t>영동</t>
        </is>
      </c>
      <c r="AG210" s="0" t="inlineStr">
        <is>
          <t>충청북도 청주시 상당구 사직대로361번길 99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[영동]</t>
        </is>
      </c>
      <c r="B211" s="0" t="n">
        <v>15395</v>
      </c>
      <c r="C211" s="0" t="n">
        <v>6</v>
      </c>
      <c r="D211" s="0" t="inlineStr">
        <is>
          <t>평화</t>
        </is>
      </c>
      <c r="E211" s="0" t="inlineStr">
        <is>
          <t>1982.12.</t>
        </is>
      </c>
      <c r="F211" s="0" t="n">
        <v>185</v>
      </c>
      <c r="G211" s="0" t="n">
        <v>29.12</v>
      </c>
      <c r="H211" s="0" t="n">
        <v>96.27</v>
      </c>
      <c r="I211" s="0" t="n">
        <v>24.72</v>
      </c>
      <c r="J211" s="0" t="n">
        <v>81.72</v>
      </c>
      <c r="K211" s="0" t="n">
        <v>25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96</v>
      </c>
      <c r="X211" s="0" t="n">
        <v>5</v>
      </c>
      <c r="Y211" s="0" t="n">
        <v>5</v>
      </c>
      <c r="Z211" s="0" t="inlineStr">
        <is>
          <t>https://new.land.naver.com/complexes/15395?tab=detail&amp;rf=Y</t>
        </is>
      </c>
      <c r="AA211" s="0" t="inlineStr">
        <is>
          <t>충청북도 청주시 상당구 영동 50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상당구</t>
        </is>
      </c>
      <c r="AE211" s="0" t="inlineStr">
        <is>
          <t>영동</t>
        </is>
      </c>
      <c r="AG211" s="0" t="inlineStr">
        <is>
          <t>충청북도 청주시 상당구 사직대로361번길 99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[영운동]</t>
        </is>
      </c>
      <c r="B212" s="0" t="n">
        <v>105114</v>
      </c>
      <c r="C212" s="0" t="n">
        <v>1</v>
      </c>
      <c r="D212" s="0" t="inlineStr">
        <is>
          <t>성화누리안2차</t>
        </is>
      </c>
      <c r="E212" s="0" t="inlineStr">
        <is>
          <t>2008.04.</t>
        </is>
      </c>
      <c r="F212" s="0" t="n">
        <v>108</v>
      </c>
      <c r="G212" s="0" t="n">
        <v>28.37</v>
      </c>
      <c r="H212" s="0" t="n">
        <v>93.8</v>
      </c>
      <c r="I212" s="0" t="n">
        <v>23.07</v>
      </c>
      <c r="J212" s="0" t="n">
        <v>76.29000000000001</v>
      </c>
      <c r="K212" s="0" t="n">
        <v>1</v>
      </c>
      <c r="T212" s="0" t="n">
        <v>2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15</v>
      </c>
      <c r="Y212" s="0" t="n">
        <v>11</v>
      </c>
      <c r="Z212" s="0" t="inlineStr">
        <is>
          <t>https://new.land.naver.com/complexes/105114?tab=detail&amp;rf=Y</t>
        </is>
      </c>
      <c r="AA212" s="0" t="inlineStr">
        <is>
          <t>충청북도 청주시 상당구 영운동 112-14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상당구</t>
        </is>
      </c>
      <c r="AE212" s="0" t="inlineStr">
        <is>
          <t>영운동</t>
        </is>
      </c>
      <c r="AG212" s="0" t="inlineStr">
        <is>
          <t>충청북도 청주시 상당구 단재로115번길 46</t>
        </is>
      </c>
      <c r="AH212" s="0" t="n">
        <v>0</v>
      </c>
      <c r="AI212" s="0" t="n">
        <v>215</v>
      </c>
      <c r="AJ212" s="0" t="n">
        <v>22</v>
      </c>
      <c r="AK212" s="0" t="n">
        <v>116</v>
      </c>
      <c r="AL212" s="0" t="n">
        <v>1.07</v>
      </c>
    </row>
    <row r="213">
      <c r="A213" s="0" t="inlineStr">
        <is>
          <t>[영운동]</t>
        </is>
      </c>
      <c r="B213" s="0" t="n">
        <v>105114</v>
      </c>
      <c r="C213" s="0" t="n">
        <v>2</v>
      </c>
      <c r="D213" s="0" t="inlineStr">
        <is>
          <t>성화누리안2차</t>
        </is>
      </c>
      <c r="E213" s="0" t="inlineStr">
        <is>
          <t>2008.04.</t>
        </is>
      </c>
      <c r="F213" s="0" t="n">
        <v>108</v>
      </c>
      <c r="G213" s="0" t="n">
        <v>31.7</v>
      </c>
      <c r="H213" s="0" t="n">
        <v>104.82</v>
      </c>
      <c r="I213" s="0" t="n">
        <v>25.68</v>
      </c>
      <c r="J213" s="0" t="n">
        <v>84.91</v>
      </c>
      <c r="K213" s="0" t="n">
        <v>54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104B</t>
        </is>
      </c>
      <c r="X213" s="0" t="n">
        <v>15</v>
      </c>
      <c r="Y213" s="0" t="n">
        <v>11</v>
      </c>
      <c r="Z213" s="0" t="inlineStr">
        <is>
          <t>https://new.land.naver.com/complexes/105114?tab=detail&amp;rf=Y</t>
        </is>
      </c>
      <c r="AA213" s="0" t="inlineStr">
        <is>
          <t>충청북도 청주시 상당구 영운동 112-14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상당구</t>
        </is>
      </c>
      <c r="AE213" s="0" t="inlineStr">
        <is>
          <t>영운동</t>
        </is>
      </c>
      <c r="AG213" s="0" t="inlineStr">
        <is>
          <t>충청북도 청주시 상당구 단재로115번길 46</t>
        </is>
      </c>
      <c r="AH213" s="0" t="n">
        <v>0</v>
      </c>
      <c r="AI213" s="0" t="n">
        <v>215</v>
      </c>
      <c r="AJ213" s="0" t="n">
        <v>22</v>
      </c>
      <c r="AK213" s="0" t="n">
        <v>116</v>
      </c>
      <c r="AL213" s="0" t="n">
        <v>1.07</v>
      </c>
    </row>
    <row r="214">
      <c r="A214" s="0" t="inlineStr">
        <is>
          <t>[영운동]</t>
        </is>
      </c>
      <c r="B214" s="0" t="n">
        <v>105114</v>
      </c>
      <c r="C214" s="0" t="n">
        <v>3</v>
      </c>
      <c r="D214" s="0" t="inlineStr">
        <is>
          <t>성화누리안2차</t>
        </is>
      </c>
      <c r="E214" s="0" t="inlineStr">
        <is>
          <t>2008.04.</t>
        </is>
      </c>
      <c r="F214" s="0" t="n">
        <v>108</v>
      </c>
      <c r="G214" s="0" t="n">
        <v>31.67</v>
      </c>
      <c r="H214" s="0" t="n">
        <v>104.71</v>
      </c>
      <c r="I214" s="0" t="n">
        <v>25.68</v>
      </c>
      <c r="J214" s="0" t="n">
        <v>84.90000000000001</v>
      </c>
      <c r="K214" s="0" t="n">
        <v>53</v>
      </c>
      <c r="T214" s="0" t="n">
        <v>3</v>
      </c>
      <c r="U214" s="0" t="n">
        <v>3</v>
      </c>
      <c r="V214" s="0" t="inlineStr">
        <is>
          <t>계단식</t>
        </is>
      </c>
      <c r="W214" s="0" t="inlineStr">
        <is>
          <t>104A</t>
        </is>
      </c>
      <c r="X214" s="0" t="n">
        <v>15</v>
      </c>
      <c r="Y214" s="0" t="n">
        <v>11</v>
      </c>
      <c r="Z214" s="0" t="inlineStr">
        <is>
          <t>https://new.land.naver.com/complexes/105114?tab=detail&amp;rf=Y</t>
        </is>
      </c>
      <c r="AA214" s="0" t="inlineStr">
        <is>
          <t>충청북도 청주시 상당구 영운동 112-14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상당구</t>
        </is>
      </c>
      <c r="AE214" s="0" t="inlineStr">
        <is>
          <t>영운동</t>
        </is>
      </c>
      <c r="AG214" s="0" t="inlineStr">
        <is>
          <t>충청북도 청주시 상당구 단재로115번길 46</t>
        </is>
      </c>
      <c r="AH214" s="0" t="n">
        <v>0</v>
      </c>
      <c r="AI214" s="0" t="n">
        <v>215</v>
      </c>
      <c r="AJ214" s="0" t="n">
        <v>22</v>
      </c>
      <c r="AK214" s="0" t="n">
        <v>116</v>
      </c>
      <c r="AL214" s="0" t="n">
        <v>1.07</v>
      </c>
    </row>
    <row r="215">
      <c r="A215" s="0" t="inlineStr">
        <is>
          <t>[영운동]</t>
        </is>
      </c>
      <c r="B215" s="0" t="n">
        <v>117268</v>
      </c>
      <c r="C215" s="0" t="n">
        <v>1</v>
      </c>
      <c r="D215" s="0" t="inlineStr">
        <is>
          <t>청주2차</t>
        </is>
      </c>
      <c r="E215" s="0" t="inlineStr">
        <is>
          <t>1985.12.</t>
        </is>
      </c>
      <c r="F215" s="0" t="n">
        <v>40</v>
      </c>
      <c r="G215" s="0" t="n">
        <v>21.67</v>
      </c>
      <c r="H215" s="0" t="n">
        <v>71.64</v>
      </c>
      <c r="I215" s="0" t="n">
        <v>19.92</v>
      </c>
      <c r="J215" s="0" t="n">
        <v>65.88</v>
      </c>
      <c r="K215" s="0" t="n">
        <v>35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71A</t>
        </is>
      </c>
      <c r="X215" s="0" t="n">
        <v>5</v>
      </c>
      <c r="Y215" s="0" t="n">
        <v>5</v>
      </c>
      <c r="Z215" s="0" t="inlineStr">
        <is>
          <t>https://new.land.naver.com/complexes/117268?tab=detail&amp;rf=Y</t>
        </is>
      </c>
      <c r="AA215" s="0" t="inlineStr">
        <is>
          <t>충청북도 청주시 상당구 영운동 81-15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상당구</t>
        </is>
      </c>
      <c r="AE215" s="0" t="inlineStr">
        <is>
          <t>영운동</t>
        </is>
      </c>
      <c r="AG215" s="0" t="inlineStr">
        <is>
          <t>충청북도 청주시 상당구 수영로144번길 14-2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[영운동]</t>
        </is>
      </c>
      <c r="B216" s="0" t="n">
        <v>117268</v>
      </c>
      <c r="C216" s="0" t="n">
        <v>2</v>
      </c>
      <c r="D216" s="0" t="inlineStr">
        <is>
          <t>청주2차</t>
        </is>
      </c>
      <c r="E216" s="0" t="inlineStr">
        <is>
          <t>1985.12.</t>
        </is>
      </c>
      <c r="F216" s="0" t="n">
        <v>40</v>
      </c>
      <c r="G216" s="0" t="n">
        <v>22.21</v>
      </c>
      <c r="H216" s="0" t="n">
        <v>73.44</v>
      </c>
      <c r="I216" s="0" t="n">
        <v>19.92</v>
      </c>
      <c r="J216" s="0" t="n">
        <v>65.88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73B</t>
        </is>
      </c>
      <c r="X216" s="0" t="n">
        <v>5</v>
      </c>
      <c r="Y216" s="0" t="n">
        <v>5</v>
      </c>
      <c r="Z216" s="0" t="inlineStr">
        <is>
          <t>https://new.land.naver.com/complexes/117268?tab=detail&amp;rf=Y</t>
        </is>
      </c>
      <c r="AA216" s="0" t="inlineStr">
        <is>
          <t>충청북도 청주시 상당구 영운동 81-15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상당구</t>
        </is>
      </c>
      <c r="AE216" s="0" t="inlineStr">
        <is>
          <t>영운동</t>
        </is>
      </c>
      <c r="AG216" s="0" t="inlineStr">
        <is>
          <t>충청북도 청주시 상당구 수영로144번길 14-2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[영운동]</t>
        </is>
      </c>
      <c r="B217" s="0" t="n">
        <v>125016</v>
      </c>
      <c r="C217" s="0" t="n">
        <v>1</v>
      </c>
      <c r="D217" s="0" t="inlineStr">
        <is>
          <t>하은</t>
        </is>
      </c>
      <c r="E217" s="0" t="inlineStr">
        <is>
          <t>2001.09.</t>
        </is>
      </c>
      <c r="F217" s="0" t="n">
        <v>16</v>
      </c>
      <c r="G217" s="0" t="n">
        <v>11.8</v>
      </c>
      <c r="H217" s="0" t="n">
        <v>39.03</v>
      </c>
      <c r="I217" s="0" t="n">
        <v>9.16</v>
      </c>
      <c r="J217" s="0" t="n">
        <v>30.3</v>
      </c>
      <c r="K217" s="0" t="n">
        <v>1</v>
      </c>
      <c r="T217" s="0" t="n">
        <v>1</v>
      </c>
      <c r="U217" s="0" t="n">
        <v>1</v>
      </c>
      <c r="V217" s="0" t="inlineStr">
        <is>
          <t>계단식</t>
        </is>
      </c>
      <c r="W217" s="0" t="n">
        <v>39</v>
      </c>
      <c r="X217" s="0" t="n">
        <v>6</v>
      </c>
      <c r="Y217" s="0" t="n">
        <v>4</v>
      </c>
      <c r="Z217" s="0" t="inlineStr">
        <is>
          <t>https://new.land.naver.com/complexes/125016?tab=detail&amp;rf=Y</t>
        </is>
      </c>
      <c r="AA217" s="0" t="inlineStr">
        <is>
          <t>충청북도 청주시 상당구 영운동 33-16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상당구</t>
        </is>
      </c>
      <c r="AE217" s="0" t="inlineStr">
        <is>
          <t>영운동</t>
        </is>
      </c>
      <c r="AG217" s="0" t="inlineStr">
        <is>
          <t>충청북도 청주시 상당구 영운천로109번길 6</t>
        </is>
      </c>
      <c r="AH217" s="0" t="n">
        <v>0</v>
      </c>
      <c r="AI217" s="0" t="n">
        <v>224</v>
      </c>
      <c r="AJ217" s="0" t="n">
        <v>57</v>
      </c>
      <c r="AK217" s="0" t="n">
        <v>11</v>
      </c>
      <c r="AL217" s="0" t="n">
        <v>0.6899999999999999</v>
      </c>
    </row>
    <row r="218">
      <c r="A218" s="0" t="inlineStr">
        <is>
          <t>[영운동]</t>
        </is>
      </c>
      <c r="B218" s="0" t="n">
        <v>125016</v>
      </c>
      <c r="C218" s="0" t="n">
        <v>2</v>
      </c>
      <c r="D218" s="0" t="inlineStr">
        <is>
          <t>하은</t>
        </is>
      </c>
      <c r="E218" s="0" t="inlineStr">
        <is>
          <t>2001.09.</t>
        </is>
      </c>
      <c r="F218" s="0" t="n">
        <v>16</v>
      </c>
      <c r="G218" s="0" t="n">
        <v>12.61</v>
      </c>
      <c r="H218" s="0" t="n">
        <v>41.71</v>
      </c>
      <c r="I218" s="0" t="n">
        <v>9.789999999999999</v>
      </c>
      <c r="J218" s="0" t="n">
        <v>32.38</v>
      </c>
      <c r="K218" s="0" t="n">
        <v>1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41A</t>
        </is>
      </c>
      <c r="X218" s="0" t="n">
        <v>6</v>
      </c>
      <c r="Y218" s="0" t="n">
        <v>4</v>
      </c>
      <c r="Z218" s="0" t="inlineStr">
        <is>
          <t>https://new.land.naver.com/complexes/125016?tab=detail&amp;rf=Y</t>
        </is>
      </c>
      <c r="AA218" s="0" t="inlineStr">
        <is>
          <t>충청북도 청주시 상당구 영운동 33-16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상당구</t>
        </is>
      </c>
      <c r="AE218" s="0" t="inlineStr">
        <is>
          <t>영운동</t>
        </is>
      </c>
      <c r="AG218" s="0" t="inlineStr">
        <is>
          <t>충청북도 청주시 상당구 영운천로109번길 6</t>
        </is>
      </c>
      <c r="AH218" s="0" t="n">
        <v>0</v>
      </c>
      <c r="AI218" s="0" t="n">
        <v>224</v>
      </c>
      <c r="AJ218" s="0" t="n">
        <v>57</v>
      </c>
      <c r="AK218" s="0" t="n">
        <v>11</v>
      </c>
      <c r="AL218" s="0" t="n">
        <v>0.6899999999999999</v>
      </c>
    </row>
    <row r="219">
      <c r="A219" s="0" t="inlineStr">
        <is>
          <t>[영운동]</t>
        </is>
      </c>
      <c r="B219" s="0" t="n">
        <v>125016</v>
      </c>
      <c r="C219" s="0" t="n">
        <v>3</v>
      </c>
      <c r="D219" s="0" t="inlineStr">
        <is>
          <t>하은</t>
        </is>
      </c>
      <c r="E219" s="0" t="inlineStr">
        <is>
          <t>2001.09.</t>
        </is>
      </c>
      <c r="F219" s="0" t="n">
        <v>16</v>
      </c>
      <c r="G219" s="0" t="n">
        <v>13.26</v>
      </c>
      <c r="H219" s="0" t="n">
        <v>43.86</v>
      </c>
      <c r="I219" s="0" t="n">
        <v>10.3</v>
      </c>
      <c r="J219" s="0" t="n">
        <v>34.05</v>
      </c>
      <c r="K219" s="0" t="n">
        <v>2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43B</t>
        </is>
      </c>
      <c r="X219" s="0" t="n">
        <v>6</v>
      </c>
      <c r="Y219" s="0" t="n">
        <v>4</v>
      </c>
      <c r="Z219" s="0" t="inlineStr">
        <is>
          <t>https://new.land.naver.com/complexes/125016?tab=detail&amp;rf=Y</t>
        </is>
      </c>
      <c r="AA219" s="0" t="inlineStr">
        <is>
          <t>충청북도 청주시 상당구 영운동 33-16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상당구</t>
        </is>
      </c>
      <c r="AE219" s="0" t="inlineStr">
        <is>
          <t>영운동</t>
        </is>
      </c>
      <c r="AG219" s="0" t="inlineStr">
        <is>
          <t>충청북도 청주시 상당구 영운천로109번길 6</t>
        </is>
      </c>
      <c r="AH219" s="0" t="n">
        <v>0</v>
      </c>
      <c r="AI219" s="0" t="n">
        <v>224</v>
      </c>
      <c r="AJ219" s="0" t="n">
        <v>57</v>
      </c>
      <c r="AK219" s="0" t="n">
        <v>11</v>
      </c>
      <c r="AL219" s="0" t="n">
        <v>0.6899999999999999</v>
      </c>
    </row>
    <row r="220">
      <c r="A220" s="0" t="inlineStr">
        <is>
          <t>[영운동]</t>
        </is>
      </c>
      <c r="B220" s="0" t="n">
        <v>125016</v>
      </c>
      <c r="C220" s="0" t="n">
        <v>4</v>
      </c>
      <c r="D220" s="0" t="inlineStr">
        <is>
          <t>하은</t>
        </is>
      </c>
      <c r="E220" s="0" t="inlineStr">
        <is>
          <t>2001.09.</t>
        </is>
      </c>
      <c r="F220" s="0" t="n">
        <v>16</v>
      </c>
      <c r="G220" s="0" t="n">
        <v>15.53</v>
      </c>
      <c r="H220" s="0" t="n">
        <v>51.34</v>
      </c>
      <c r="I220" s="0" t="n">
        <v>12.05</v>
      </c>
      <c r="J220" s="0" t="n">
        <v>39.86</v>
      </c>
      <c r="K220" s="0" t="n">
        <v>1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51</v>
      </c>
      <c r="X220" s="0" t="n">
        <v>6</v>
      </c>
      <c r="Y220" s="0" t="n">
        <v>4</v>
      </c>
      <c r="Z220" s="0" t="inlineStr">
        <is>
          <t>https://new.land.naver.com/complexes/125016?tab=detail&amp;rf=Y</t>
        </is>
      </c>
      <c r="AA220" s="0" t="inlineStr">
        <is>
          <t>충청북도 청주시 상당구 영운동 33-16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상당구</t>
        </is>
      </c>
      <c r="AE220" s="0" t="inlineStr">
        <is>
          <t>영운동</t>
        </is>
      </c>
      <c r="AG220" s="0" t="inlineStr">
        <is>
          <t>충청북도 청주시 상당구 영운천로109번길 6</t>
        </is>
      </c>
      <c r="AH220" s="0" t="n">
        <v>0</v>
      </c>
      <c r="AI220" s="0" t="n">
        <v>224</v>
      </c>
      <c r="AJ220" s="0" t="n">
        <v>57</v>
      </c>
      <c r="AK220" s="0" t="n">
        <v>11</v>
      </c>
      <c r="AL220" s="0" t="n">
        <v>0.6899999999999999</v>
      </c>
    </row>
    <row r="221">
      <c r="A221" s="0" t="inlineStr">
        <is>
          <t>[영운동]</t>
        </is>
      </c>
      <c r="B221" s="0" t="n">
        <v>125016</v>
      </c>
      <c r="C221" s="0" t="n">
        <v>5</v>
      </c>
      <c r="D221" s="0" t="inlineStr">
        <is>
          <t>하은</t>
        </is>
      </c>
      <c r="E221" s="0" t="inlineStr">
        <is>
          <t>2001.09.</t>
        </is>
      </c>
      <c r="F221" s="0" t="n">
        <v>16</v>
      </c>
      <c r="G221" s="0" t="n">
        <v>17.04</v>
      </c>
      <c r="H221" s="0" t="n">
        <v>56.34</v>
      </c>
      <c r="I221" s="0" t="n">
        <v>13.23</v>
      </c>
      <c r="J221" s="0" t="n">
        <v>43.74</v>
      </c>
      <c r="K221" s="0" t="n">
        <v>1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56</v>
      </c>
      <c r="X221" s="0" t="n">
        <v>6</v>
      </c>
      <c r="Y221" s="0" t="n">
        <v>4</v>
      </c>
      <c r="Z221" s="0" t="inlineStr">
        <is>
          <t>https://new.land.naver.com/complexes/125016?tab=detail&amp;rf=Y</t>
        </is>
      </c>
      <c r="AA221" s="0" t="inlineStr">
        <is>
          <t>충청북도 청주시 상당구 영운동 33-16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상당구</t>
        </is>
      </c>
      <c r="AE221" s="0" t="inlineStr">
        <is>
          <t>영운동</t>
        </is>
      </c>
      <c r="AG221" s="0" t="inlineStr">
        <is>
          <t>충청북도 청주시 상당구 영운천로109번길 6</t>
        </is>
      </c>
      <c r="AH221" s="0" t="n">
        <v>0</v>
      </c>
      <c r="AI221" s="0" t="n">
        <v>224</v>
      </c>
      <c r="AJ221" s="0" t="n">
        <v>57</v>
      </c>
      <c r="AK221" s="0" t="n">
        <v>11</v>
      </c>
      <c r="AL221" s="0" t="n">
        <v>0.6899999999999999</v>
      </c>
    </row>
    <row r="222">
      <c r="A222" s="0" t="inlineStr">
        <is>
          <t>[영운동]</t>
        </is>
      </c>
      <c r="B222" s="0" t="n">
        <v>125016</v>
      </c>
      <c r="C222" s="0" t="n">
        <v>6</v>
      </c>
      <c r="D222" s="0" t="inlineStr">
        <is>
          <t>하은</t>
        </is>
      </c>
      <c r="E222" s="0" t="inlineStr">
        <is>
          <t>2001.09.</t>
        </is>
      </c>
      <c r="F222" s="0" t="n">
        <v>16</v>
      </c>
      <c r="G222" s="0" t="n">
        <v>18.13</v>
      </c>
      <c r="H222" s="0" t="n">
        <v>59.95</v>
      </c>
      <c r="I222" s="0" t="n">
        <v>14.07</v>
      </c>
      <c r="J222" s="0" t="n">
        <v>46.54</v>
      </c>
      <c r="K222" s="0" t="n">
        <v>1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59</v>
      </c>
      <c r="X222" s="0" t="n">
        <v>6</v>
      </c>
      <c r="Y222" s="0" t="n">
        <v>4</v>
      </c>
      <c r="Z222" s="0" t="inlineStr">
        <is>
          <t>https://new.land.naver.com/complexes/125016?tab=detail&amp;rf=Y</t>
        </is>
      </c>
      <c r="AA222" s="0" t="inlineStr">
        <is>
          <t>충청북도 청주시 상당구 영운동 33-16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상당구</t>
        </is>
      </c>
      <c r="AE222" s="0" t="inlineStr">
        <is>
          <t>영운동</t>
        </is>
      </c>
      <c r="AG222" s="0" t="inlineStr">
        <is>
          <t>충청북도 청주시 상당구 영운천로109번길 6</t>
        </is>
      </c>
      <c r="AH222" s="0" t="n">
        <v>0</v>
      </c>
      <c r="AI222" s="0" t="n">
        <v>224</v>
      </c>
      <c r="AJ222" s="0" t="n">
        <v>57</v>
      </c>
      <c r="AK222" s="0" t="n">
        <v>11</v>
      </c>
      <c r="AL222" s="0" t="n">
        <v>0.6899999999999999</v>
      </c>
    </row>
    <row r="223">
      <c r="A223" s="0" t="inlineStr">
        <is>
          <t>[영운동]</t>
        </is>
      </c>
      <c r="B223" s="0" t="n">
        <v>125016</v>
      </c>
      <c r="C223" s="0" t="n">
        <v>7</v>
      </c>
      <c r="D223" s="0" t="inlineStr">
        <is>
          <t>하은</t>
        </is>
      </c>
      <c r="E223" s="0" t="inlineStr">
        <is>
          <t>2001.09.</t>
        </is>
      </c>
      <c r="F223" s="0" t="n">
        <v>16</v>
      </c>
      <c r="G223" s="0" t="n">
        <v>20.75</v>
      </c>
      <c r="H223" s="0" t="n">
        <v>68.59999999999999</v>
      </c>
      <c r="I223" s="0" t="n">
        <v>16.11</v>
      </c>
      <c r="J223" s="0" t="n">
        <v>53.26</v>
      </c>
      <c r="K223" s="0" t="n">
        <v>1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68A</t>
        </is>
      </c>
      <c r="X223" s="0" t="n">
        <v>6</v>
      </c>
      <c r="Y223" s="0" t="n">
        <v>4</v>
      </c>
      <c r="Z223" s="0" t="inlineStr">
        <is>
          <t>https://new.land.naver.com/complexes/125016?tab=detail&amp;rf=Y</t>
        </is>
      </c>
      <c r="AA223" s="0" t="inlineStr">
        <is>
          <t>충청북도 청주시 상당구 영운동 33-16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상당구</t>
        </is>
      </c>
      <c r="AE223" s="0" t="inlineStr">
        <is>
          <t>영운동</t>
        </is>
      </c>
      <c r="AG223" s="0" t="inlineStr">
        <is>
          <t>충청북도 청주시 상당구 영운천로109번길 6</t>
        </is>
      </c>
      <c r="AH223" s="0" t="n">
        <v>0</v>
      </c>
      <c r="AI223" s="0" t="n">
        <v>224</v>
      </c>
      <c r="AJ223" s="0" t="n">
        <v>57</v>
      </c>
      <c r="AK223" s="0" t="n">
        <v>11</v>
      </c>
      <c r="AL223" s="0" t="n">
        <v>0.6899999999999999</v>
      </c>
    </row>
    <row r="224">
      <c r="A224" s="0" t="inlineStr">
        <is>
          <t>[영운동]</t>
        </is>
      </c>
      <c r="B224" s="0" t="n">
        <v>125016</v>
      </c>
      <c r="C224" s="0" t="n">
        <v>8</v>
      </c>
      <c r="D224" s="0" t="inlineStr">
        <is>
          <t>하은</t>
        </is>
      </c>
      <c r="E224" s="0" t="inlineStr">
        <is>
          <t>2001.09.</t>
        </is>
      </c>
      <c r="F224" s="0" t="n">
        <v>16</v>
      </c>
      <c r="G224" s="0" t="n">
        <v>20.88</v>
      </c>
      <c r="H224" s="0" t="n">
        <v>69.03</v>
      </c>
      <c r="I224" s="0" t="n">
        <v>16.21</v>
      </c>
      <c r="J224" s="0" t="n">
        <v>53.59</v>
      </c>
      <c r="K224" s="0" t="n">
        <v>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69B</t>
        </is>
      </c>
      <c r="X224" s="0" t="n">
        <v>6</v>
      </c>
      <c r="Y224" s="0" t="n">
        <v>4</v>
      </c>
      <c r="Z224" s="0" t="inlineStr">
        <is>
          <t>https://new.land.naver.com/complexes/125016?tab=detail&amp;rf=Y</t>
        </is>
      </c>
      <c r="AA224" s="0" t="inlineStr">
        <is>
          <t>충청북도 청주시 상당구 영운동 33-16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상당구</t>
        </is>
      </c>
      <c r="AE224" s="0" t="inlineStr">
        <is>
          <t>영운동</t>
        </is>
      </c>
      <c r="AG224" s="0" t="inlineStr">
        <is>
          <t>충청북도 청주시 상당구 영운천로109번길 6</t>
        </is>
      </c>
      <c r="AH224" s="0" t="n">
        <v>0</v>
      </c>
      <c r="AI224" s="0" t="n">
        <v>224</v>
      </c>
      <c r="AJ224" s="0" t="n">
        <v>57</v>
      </c>
      <c r="AK224" s="0" t="n">
        <v>11</v>
      </c>
      <c r="AL224" s="0" t="n">
        <v>0.6899999999999999</v>
      </c>
    </row>
    <row r="225">
      <c r="A225" s="0" t="inlineStr">
        <is>
          <t>[영운동]</t>
        </is>
      </c>
      <c r="B225" s="0" t="n">
        <v>125016</v>
      </c>
      <c r="C225" s="0" t="n">
        <v>9</v>
      </c>
      <c r="D225" s="0" t="inlineStr">
        <is>
          <t>하은</t>
        </is>
      </c>
      <c r="E225" s="0" t="inlineStr">
        <is>
          <t>2001.09.</t>
        </is>
      </c>
      <c r="F225" s="0" t="n">
        <v>16</v>
      </c>
      <c r="G225" s="0" t="n">
        <v>22.28</v>
      </c>
      <c r="H225" s="0" t="n">
        <v>73.68000000000001</v>
      </c>
      <c r="I225" s="0" t="n">
        <v>17.3</v>
      </c>
      <c r="J225" s="0" t="n">
        <v>57.2</v>
      </c>
      <c r="K225" s="0" t="n">
        <v>1</v>
      </c>
      <c r="T225" s="0" t="n">
        <v>3</v>
      </c>
      <c r="U225" s="0" t="n">
        <v>1</v>
      </c>
      <c r="V225" s="0" t="inlineStr">
        <is>
          <t>계단식</t>
        </is>
      </c>
      <c r="W225" s="0" t="n">
        <v>73</v>
      </c>
      <c r="X225" s="0" t="n">
        <v>6</v>
      </c>
      <c r="Y225" s="0" t="n">
        <v>4</v>
      </c>
      <c r="Z225" s="0" t="inlineStr">
        <is>
          <t>https://new.land.naver.com/complexes/125016?tab=detail&amp;rf=Y</t>
        </is>
      </c>
      <c r="AA225" s="0" t="inlineStr">
        <is>
          <t>충청북도 청주시 상당구 영운동 33-16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상당구</t>
        </is>
      </c>
      <c r="AE225" s="0" t="inlineStr">
        <is>
          <t>영운동</t>
        </is>
      </c>
      <c r="AG225" s="0" t="inlineStr">
        <is>
          <t>충청북도 청주시 상당구 영운천로109번길 6</t>
        </is>
      </c>
      <c r="AH225" s="0" t="n">
        <v>0</v>
      </c>
      <c r="AI225" s="0" t="n">
        <v>224</v>
      </c>
      <c r="AJ225" s="0" t="n">
        <v>57</v>
      </c>
      <c r="AK225" s="0" t="n">
        <v>11</v>
      </c>
      <c r="AL225" s="0" t="n">
        <v>0.6899999999999999</v>
      </c>
    </row>
    <row r="226">
      <c r="A226" s="0" t="inlineStr">
        <is>
          <t>[영운동]</t>
        </is>
      </c>
      <c r="B226" s="0" t="n">
        <v>125016</v>
      </c>
      <c r="C226" s="0" t="n">
        <v>10</v>
      </c>
      <c r="D226" s="0" t="inlineStr">
        <is>
          <t>하은</t>
        </is>
      </c>
      <c r="E226" s="0" t="inlineStr">
        <is>
          <t>2001.09.</t>
        </is>
      </c>
      <c r="F226" s="0" t="n">
        <v>16</v>
      </c>
      <c r="G226" s="0" t="n">
        <v>22.64</v>
      </c>
      <c r="H226" s="0" t="n">
        <v>74.84999999999999</v>
      </c>
      <c r="I226" s="0" t="n">
        <v>17.57</v>
      </c>
      <c r="J226" s="0" t="n">
        <v>58.11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74A</t>
        </is>
      </c>
      <c r="X226" s="0" t="n">
        <v>6</v>
      </c>
      <c r="Y226" s="0" t="n">
        <v>4</v>
      </c>
      <c r="Z226" s="0" t="inlineStr">
        <is>
          <t>https://new.land.naver.com/complexes/125016?tab=detail&amp;rf=Y</t>
        </is>
      </c>
      <c r="AA226" s="0" t="inlineStr">
        <is>
          <t>충청북도 청주시 상당구 영운동 33-16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상당구</t>
        </is>
      </c>
      <c r="AE226" s="0" t="inlineStr">
        <is>
          <t>영운동</t>
        </is>
      </c>
      <c r="AG226" s="0" t="inlineStr">
        <is>
          <t>충청북도 청주시 상당구 영운천로109번길 6</t>
        </is>
      </c>
      <c r="AH226" s="0" t="n">
        <v>0</v>
      </c>
      <c r="AI226" s="0" t="n">
        <v>224</v>
      </c>
      <c r="AJ226" s="0" t="n">
        <v>57</v>
      </c>
      <c r="AK226" s="0" t="n">
        <v>11</v>
      </c>
      <c r="AL226" s="0" t="n">
        <v>0.6899999999999999</v>
      </c>
    </row>
    <row r="227">
      <c r="A227" s="0" t="inlineStr">
        <is>
          <t>[영운동]</t>
        </is>
      </c>
      <c r="B227" s="0" t="n">
        <v>125016</v>
      </c>
      <c r="C227" s="0" t="n">
        <v>11</v>
      </c>
      <c r="D227" s="0" t="inlineStr">
        <is>
          <t>하은</t>
        </is>
      </c>
      <c r="E227" s="0" t="inlineStr">
        <is>
          <t>2001.09.</t>
        </is>
      </c>
      <c r="F227" s="0" t="n">
        <v>16</v>
      </c>
      <c r="G227" s="0" t="n">
        <v>23.05</v>
      </c>
      <c r="H227" s="0" t="n">
        <v>76.20999999999999</v>
      </c>
      <c r="I227" s="0" t="n">
        <v>17.89</v>
      </c>
      <c r="J227" s="0" t="n">
        <v>59.17</v>
      </c>
      <c r="K227" s="0" t="n">
        <v>2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76B</t>
        </is>
      </c>
      <c r="X227" s="0" t="n">
        <v>6</v>
      </c>
      <c r="Y227" s="0" t="n">
        <v>4</v>
      </c>
      <c r="Z227" s="0" t="inlineStr">
        <is>
          <t>https://new.land.naver.com/complexes/125016?tab=detail&amp;rf=Y</t>
        </is>
      </c>
      <c r="AA227" s="0" t="inlineStr">
        <is>
          <t>충청북도 청주시 상당구 영운동 33-16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상당구</t>
        </is>
      </c>
      <c r="AE227" s="0" t="inlineStr">
        <is>
          <t>영운동</t>
        </is>
      </c>
      <c r="AG227" s="0" t="inlineStr">
        <is>
          <t>충청북도 청주시 상당구 영운천로109번길 6</t>
        </is>
      </c>
      <c r="AH227" s="0" t="n">
        <v>0</v>
      </c>
      <c r="AI227" s="0" t="n">
        <v>224</v>
      </c>
      <c r="AJ227" s="0" t="n">
        <v>57</v>
      </c>
      <c r="AK227" s="0" t="n">
        <v>11</v>
      </c>
      <c r="AL227" s="0" t="n">
        <v>0.6899999999999999</v>
      </c>
    </row>
    <row r="228">
      <c r="A228" s="0" t="inlineStr">
        <is>
          <t>[영운동]</t>
        </is>
      </c>
      <c r="B228" s="0" t="n">
        <v>125016</v>
      </c>
      <c r="C228" s="0" t="n">
        <v>12</v>
      </c>
      <c r="D228" s="0" t="inlineStr">
        <is>
          <t>하은</t>
        </is>
      </c>
      <c r="E228" s="0" t="inlineStr">
        <is>
          <t>2001.09.</t>
        </is>
      </c>
      <c r="F228" s="0" t="n">
        <v>16</v>
      </c>
      <c r="G228" s="0" t="n">
        <v>39.52</v>
      </c>
      <c r="H228" s="0" t="n">
        <v>130.66</v>
      </c>
      <c r="I228" s="0" t="n">
        <v>30.68</v>
      </c>
      <c r="J228" s="0" t="n">
        <v>101.44</v>
      </c>
      <c r="K228" s="0" t="n">
        <v>1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130</v>
      </c>
      <c r="X228" s="0" t="n">
        <v>6</v>
      </c>
      <c r="Y228" s="0" t="n">
        <v>4</v>
      </c>
      <c r="Z228" s="0" t="inlineStr">
        <is>
          <t>https://new.land.naver.com/complexes/125016?tab=detail&amp;rf=Y</t>
        </is>
      </c>
      <c r="AA228" s="0" t="inlineStr">
        <is>
          <t>충청북도 청주시 상당구 영운동 33-16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상당구</t>
        </is>
      </c>
      <c r="AE228" s="0" t="inlineStr">
        <is>
          <t>영운동</t>
        </is>
      </c>
      <c r="AG228" s="0" t="inlineStr">
        <is>
          <t>충청북도 청주시 상당구 영운천로109번길 6</t>
        </is>
      </c>
      <c r="AH228" s="0" t="n">
        <v>0</v>
      </c>
      <c r="AI228" s="0" t="n">
        <v>224</v>
      </c>
      <c r="AJ228" s="0" t="n">
        <v>57</v>
      </c>
      <c r="AK228" s="0" t="n">
        <v>11</v>
      </c>
      <c r="AL228" s="0" t="n">
        <v>0.6899999999999999</v>
      </c>
    </row>
    <row r="229">
      <c r="A229" s="0" t="inlineStr">
        <is>
          <t>[영운동]</t>
        </is>
      </c>
      <c r="B229" s="0" t="n">
        <v>7033</v>
      </c>
      <c r="C229" s="0" t="n">
        <v>1</v>
      </c>
      <c r="D229" s="0" t="inlineStr">
        <is>
          <t>청주</t>
        </is>
      </c>
      <c r="E229" s="0" t="inlineStr">
        <is>
          <t>1985.10.</t>
        </is>
      </c>
      <c r="F229" s="0" t="n">
        <v>160</v>
      </c>
      <c r="G229" s="0" t="n">
        <v>18.19</v>
      </c>
      <c r="H229" s="0" t="n">
        <v>60.14</v>
      </c>
      <c r="I229" s="0" t="n">
        <v>16.38</v>
      </c>
      <c r="J229" s="0" t="n">
        <v>54.18</v>
      </c>
      <c r="K229" s="0" t="n">
        <v>9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60</v>
      </c>
      <c r="X229" s="0" t="n">
        <v>5</v>
      </c>
      <c r="Y229" s="0" t="n">
        <v>5</v>
      </c>
      <c r="Z229" s="0" t="inlineStr">
        <is>
          <t>https://new.land.naver.com/complexes/7033?tab=detail&amp;rf=Y</t>
        </is>
      </c>
      <c r="AA229" s="0" t="inlineStr">
        <is>
          <t>충청북도 청주시 상당구 영운동 81-1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상당구</t>
        </is>
      </c>
      <c r="AE229" s="0" t="inlineStr">
        <is>
          <t>영운동</t>
        </is>
      </c>
      <c r="AG229" s="0" t="inlineStr">
        <is>
          <t>충청북도 청주시 상당구 영운천로 33-4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[영운동]</t>
        </is>
      </c>
      <c r="B230" s="0" t="n">
        <v>7033</v>
      </c>
      <c r="C230" s="0" t="n">
        <v>2</v>
      </c>
      <c r="D230" s="0" t="inlineStr">
        <is>
          <t>청주</t>
        </is>
      </c>
      <c r="E230" s="0" t="inlineStr">
        <is>
          <t>1985.10.</t>
        </is>
      </c>
      <c r="F230" s="0" t="n">
        <v>160</v>
      </c>
      <c r="G230" s="0" t="n">
        <v>18.62</v>
      </c>
      <c r="H230" s="0" t="n">
        <v>61.58</v>
      </c>
      <c r="I230" s="0" t="n">
        <v>16.82</v>
      </c>
      <c r="J230" s="0" t="n">
        <v>55.62</v>
      </c>
      <c r="K230" s="0" t="n">
        <v>3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61</v>
      </c>
      <c r="X230" s="0" t="n">
        <v>5</v>
      </c>
      <c r="Y230" s="0" t="n">
        <v>5</v>
      </c>
      <c r="Z230" s="0" t="inlineStr">
        <is>
          <t>https://new.land.naver.com/complexes/7033?tab=detail&amp;rf=Y</t>
        </is>
      </c>
      <c r="AA230" s="0" t="inlineStr">
        <is>
          <t>충청북도 청주시 상당구 영운동 81-1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상당구</t>
        </is>
      </c>
      <c r="AE230" s="0" t="inlineStr">
        <is>
          <t>영운동</t>
        </is>
      </c>
      <c r="AG230" s="0" t="inlineStr">
        <is>
          <t>충청북도 청주시 상당구 영운천로 33-4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[영운동]</t>
        </is>
      </c>
      <c r="B231" s="0" t="n">
        <v>7033</v>
      </c>
      <c r="C231" s="0" t="n">
        <v>3</v>
      </c>
      <c r="D231" s="0" t="inlineStr">
        <is>
          <t>청주</t>
        </is>
      </c>
      <c r="E231" s="0" t="inlineStr">
        <is>
          <t>1985.10.</t>
        </is>
      </c>
      <c r="F231" s="0" t="n">
        <v>160</v>
      </c>
      <c r="G231" s="0" t="n">
        <v>20.09</v>
      </c>
      <c r="H231" s="0" t="n">
        <v>66.44</v>
      </c>
      <c r="I231" s="0" t="n">
        <v>18.18</v>
      </c>
      <c r="J231" s="0" t="n">
        <v>60.12</v>
      </c>
      <c r="K231" s="0" t="n">
        <v>144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66</v>
      </c>
      <c r="X231" s="0" t="n">
        <v>5</v>
      </c>
      <c r="Y231" s="0" t="n">
        <v>5</v>
      </c>
      <c r="Z231" s="0" t="inlineStr">
        <is>
          <t>https://new.land.naver.com/complexes/7033?tab=detail&amp;rf=Y</t>
        </is>
      </c>
      <c r="AA231" s="0" t="inlineStr">
        <is>
          <t>충청북도 청주시 상당구 영운동 81-1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상당구</t>
        </is>
      </c>
      <c r="AE231" s="0" t="inlineStr">
        <is>
          <t>영운동</t>
        </is>
      </c>
      <c r="AG231" s="0" t="inlineStr">
        <is>
          <t>충청북도 청주시 상당구 영운천로 33-4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[영운동]</t>
        </is>
      </c>
      <c r="B232" s="0" t="n">
        <v>7033</v>
      </c>
      <c r="C232" s="0" t="n">
        <v>4</v>
      </c>
      <c r="D232" s="0" t="inlineStr">
        <is>
          <t>청주</t>
        </is>
      </c>
      <c r="E232" s="0" t="inlineStr">
        <is>
          <t>1985.10.</t>
        </is>
      </c>
      <c r="F232" s="0" t="n">
        <v>160</v>
      </c>
      <c r="G232" s="0" t="n">
        <v>21.86</v>
      </c>
      <c r="H232" s="0" t="n">
        <v>72.29000000000001</v>
      </c>
      <c r="I232" s="0" t="n">
        <v>19.95</v>
      </c>
      <c r="J232" s="0" t="n">
        <v>65.97</v>
      </c>
      <c r="K232" s="0" t="n">
        <v>4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72</v>
      </c>
      <c r="X232" s="0" t="n">
        <v>5</v>
      </c>
      <c r="Y232" s="0" t="n">
        <v>5</v>
      </c>
      <c r="Z232" s="0" t="inlineStr">
        <is>
          <t>https://new.land.naver.com/complexes/7033?tab=detail&amp;rf=Y</t>
        </is>
      </c>
      <c r="AA232" s="0" t="inlineStr">
        <is>
          <t>충청북도 청주시 상당구 영운동 81-1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상당구</t>
        </is>
      </c>
      <c r="AE232" s="0" t="inlineStr">
        <is>
          <t>영운동</t>
        </is>
      </c>
      <c r="AG232" s="0" t="inlineStr">
        <is>
          <t>충청북도 청주시 상당구 영운천로 33-4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[영운동]</t>
        </is>
      </c>
      <c r="B233" s="0" t="n">
        <v>15398</v>
      </c>
      <c r="C233" s="0" t="n">
        <v>1</v>
      </c>
      <c r="D233" s="0" t="inlineStr">
        <is>
          <t>진흥</t>
        </is>
      </c>
      <c r="E233" s="0" t="inlineStr">
        <is>
          <t>1987.01.</t>
        </is>
      </c>
      <c r="F233" s="0" t="n">
        <v>110</v>
      </c>
      <c r="G233" s="0" t="n">
        <v>22.15</v>
      </c>
      <c r="H233" s="0" t="n">
        <v>73.25</v>
      </c>
      <c r="I233" s="0" t="n">
        <v>19.12</v>
      </c>
      <c r="J233" s="0" t="n">
        <v>63.22</v>
      </c>
      <c r="K233" s="0" t="n">
        <v>70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73</v>
      </c>
      <c r="X233" s="0" t="n">
        <v>5</v>
      </c>
      <c r="Y233" s="0" t="n">
        <v>5</v>
      </c>
      <c r="Z233" s="0" t="inlineStr">
        <is>
          <t>https://new.land.naver.com/complexes/15398?tab=detail&amp;rf=Y</t>
        </is>
      </c>
      <c r="AA233" s="0" t="inlineStr">
        <is>
          <t>충청북도 청주시 상당구 영운동 40-5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상당구</t>
        </is>
      </c>
      <c r="AE233" s="0" t="inlineStr">
        <is>
          <t>영운동</t>
        </is>
      </c>
      <c r="AG233" s="0" t="inlineStr">
        <is>
          <t>충청북도 청주시 상당구 영운천로91번길 35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[영운동]</t>
        </is>
      </c>
      <c r="B234" s="0" t="n">
        <v>15398</v>
      </c>
      <c r="C234" s="0" t="n">
        <v>2</v>
      </c>
      <c r="D234" s="0" t="inlineStr">
        <is>
          <t>진흥</t>
        </is>
      </c>
      <c r="E234" s="0" t="inlineStr">
        <is>
          <t>1987.01.</t>
        </is>
      </c>
      <c r="F234" s="0" t="n">
        <v>110</v>
      </c>
      <c r="G234" s="0" t="n">
        <v>23.03</v>
      </c>
      <c r="H234" s="0" t="n">
        <v>76.15000000000001</v>
      </c>
      <c r="I234" s="0" t="n">
        <v>19.94</v>
      </c>
      <c r="J234" s="0" t="n">
        <v>65.92</v>
      </c>
      <c r="K234" s="0" t="n">
        <v>40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76</v>
      </c>
      <c r="X234" s="0" t="n">
        <v>5</v>
      </c>
      <c r="Y234" s="0" t="n">
        <v>5</v>
      </c>
      <c r="Z234" s="0" t="inlineStr">
        <is>
          <t>https://new.land.naver.com/complexes/15398?tab=detail&amp;rf=Y</t>
        </is>
      </c>
      <c r="AA234" s="0" t="inlineStr">
        <is>
          <t>충청북도 청주시 상당구 영운동 40-5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상당구</t>
        </is>
      </c>
      <c r="AE234" s="0" t="inlineStr">
        <is>
          <t>영운동</t>
        </is>
      </c>
      <c r="AG234" s="0" t="inlineStr">
        <is>
          <t>충청북도 청주시 상당구 영운천로91번길 35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[영운동]</t>
        </is>
      </c>
      <c r="B235" s="0" t="n">
        <v>12726</v>
      </c>
      <c r="C235" s="0" t="n">
        <v>1</v>
      </c>
      <c r="D235" s="0" t="inlineStr">
        <is>
          <t>신라송림</t>
        </is>
      </c>
      <c r="E235" s="0" t="inlineStr">
        <is>
          <t>1995.12.</t>
        </is>
      </c>
      <c r="F235" s="0" t="n">
        <v>393</v>
      </c>
      <c r="G235" s="0" t="n">
        <v>18.8</v>
      </c>
      <c r="H235" s="0" t="n">
        <v>62.16</v>
      </c>
      <c r="I235" s="0" t="n">
        <v>13.48</v>
      </c>
      <c r="J235" s="0" t="n">
        <v>44.58</v>
      </c>
      <c r="K235" s="0" t="n">
        <v>13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62</v>
      </c>
      <c r="X235" s="0" t="n">
        <v>15</v>
      </c>
      <c r="Y235" s="0" t="n">
        <v>10</v>
      </c>
      <c r="Z235" s="0" t="inlineStr">
        <is>
          <t>https://new.land.naver.com/complexes/12726?tab=detail&amp;rf=Y</t>
        </is>
      </c>
      <c r="AA235" s="0" t="inlineStr">
        <is>
          <t>충청북도 청주시 상당구 영운동 145-11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상당구</t>
        </is>
      </c>
      <c r="AE235" s="0" t="inlineStr">
        <is>
          <t>영운동</t>
        </is>
      </c>
      <c r="AG235" s="0" t="inlineStr">
        <is>
          <t>충청북도 청주시 상당구 단재로77번길 21-22</t>
        </is>
      </c>
      <c r="AH235" s="0" t="n">
        <v>0</v>
      </c>
      <c r="AI235" s="0" t="n">
        <v>275</v>
      </c>
      <c r="AJ235" s="0" t="n">
        <v>24</v>
      </c>
      <c r="AK235" s="0" t="n">
        <v>361</v>
      </c>
      <c r="AL235" s="0" t="n">
        <v>0.92</v>
      </c>
    </row>
    <row r="236">
      <c r="A236" s="0" t="inlineStr">
        <is>
          <t>[영운동]</t>
        </is>
      </c>
      <c r="B236" s="0" t="n">
        <v>12726</v>
      </c>
      <c r="C236" s="0" t="n">
        <v>2</v>
      </c>
      <c r="D236" s="0" t="inlineStr">
        <is>
          <t>신라송림</t>
        </is>
      </c>
      <c r="E236" s="0" t="inlineStr">
        <is>
          <t>1995.12.</t>
        </is>
      </c>
      <c r="F236" s="0" t="n">
        <v>393</v>
      </c>
      <c r="G236" s="0" t="n">
        <v>23</v>
      </c>
      <c r="H236" s="0" t="n">
        <v>76.04000000000001</v>
      </c>
      <c r="I236" s="0" t="n">
        <v>18.12</v>
      </c>
      <c r="J236" s="0" t="n">
        <v>59.93</v>
      </c>
      <c r="K236" s="0" t="n">
        <v>60</v>
      </c>
      <c r="T236" s="0" t="n">
        <v>2</v>
      </c>
      <c r="U236" s="0" t="n">
        <v>1</v>
      </c>
      <c r="V236" s="0" t="inlineStr">
        <is>
          <t>복도식</t>
        </is>
      </c>
      <c r="W236" s="0" t="n">
        <v>76</v>
      </c>
      <c r="X236" s="0" t="n">
        <v>15</v>
      </c>
      <c r="Y236" s="0" t="n">
        <v>10</v>
      </c>
      <c r="Z236" s="0" t="inlineStr">
        <is>
          <t>https://new.land.naver.com/complexes/12726?tab=detail&amp;rf=Y</t>
        </is>
      </c>
      <c r="AA236" s="0" t="inlineStr">
        <is>
          <t>충청북도 청주시 상당구 영운동 145-11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상당구</t>
        </is>
      </c>
      <c r="AE236" s="0" t="inlineStr">
        <is>
          <t>영운동</t>
        </is>
      </c>
      <c r="AG236" s="0" t="inlineStr">
        <is>
          <t>충청북도 청주시 상당구 단재로77번길 21-22</t>
        </is>
      </c>
      <c r="AH236" s="0" t="n">
        <v>0</v>
      </c>
      <c r="AI236" s="0" t="n">
        <v>275</v>
      </c>
      <c r="AJ236" s="0" t="n">
        <v>24</v>
      </c>
      <c r="AK236" s="0" t="n">
        <v>361</v>
      </c>
      <c r="AL236" s="0" t="n">
        <v>0.92</v>
      </c>
    </row>
    <row r="237">
      <c r="A237" s="0" t="inlineStr">
        <is>
          <t>[영운동]</t>
        </is>
      </c>
      <c r="B237" s="0" t="n">
        <v>12726</v>
      </c>
      <c r="C237" s="0" t="n">
        <v>3</v>
      </c>
      <c r="D237" s="0" t="inlineStr">
        <is>
          <t>신라송림</t>
        </is>
      </c>
      <c r="E237" s="0" t="inlineStr">
        <is>
          <t>1995.12.</t>
        </is>
      </c>
      <c r="F237" s="0" t="n">
        <v>393</v>
      </c>
      <c r="G237" s="0" t="n">
        <v>25.2</v>
      </c>
      <c r="H237" s="0" t="n">
        <v>83.31</v>
      </c>
      <c r="I237" s="0" t="n">
        <v>18.07</v>
      </c>
      <c r="J237" s="0" t="n">
        <v>59.76</v>
      </c>
      <c r="K237" s="0" t="n">
        <v>90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83</v>
      </c>
      <c r="X237" s="0" t="n">
        <v>15</v>
      </c>
      <c r="Y237" s="0" t="n">
        <v>10</v>
      </c>
      <c r="Z237" s="0" t="inlineStr">
        <is>
          <t>https://new.land.naver.com/complexes/12726?tab=detail&amp;rf=Y</t>
        </is>
      </c>
      <c r="AA237" s="0" t="inlineStr">
        <is>
          <t>충청북도 청주시 상당구 영운동 145-11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상당구</t>
        </is>
      </c>
      <c r="AE237" s="0" t="inlineStr">
        <is>
          <t>영운동</t>
        </is>
      </c>
      <c r="AG237" s="0" t="inlineStr">
        <is>
          <t>충청북도 청주시 상당구 단재로77번길 21-22</t>
        </is>
      </c>
      <c r="AH237" s="0" t="n">
        <v>0</v>
      </c>
      <c r="AI237" s="0" t="n">
        <v>275</v>
      </c>
      <c r="AJ237" s="0" t="n">
        <v>24</v>
      </c>
      <c r="AK237" s="0" t="n">
        <v>361</v>
      </c>
      <c r="AL237" s="0" t="n">
        <v>0.92</v>
      </c>
    </row>
    <row r="238">
      <c r="A238" s="0" t="inlineStr">
        <is>
          <t>[영운동]</t>
        </is>
      </c>
      <c r="B238" s="0" t="n">
        <v>12726</v>
      </c>
      <c r="C238" s="0" t="n">
        <v>4</v>
      </c>
      <c r="D238" s="0" t="inlineStr">
        <is>
          <t>신라송림</t>
        </is>
      </c>
      <c r="E238" s="0" t="inlineStr">
        <is>
          <t>1995.12.</t>
        </is>
      </c>
      <c r="F238" s="0" t="n">
        <v>393</v>
      </c>
      <c r="G238" s="0" t="n">
        <v>27.62</v>
      </c>
      <c r="H238" s="0" t="n">
        <v>91.31999999999999</v>
      </c>
      <c r="I238" s="0" t="n">
        <v>22.13</v>
      </c>
      <c r="J238" s="0" t="n">
        <v>73.17</v>
      </c>
      <c r="K238" s="0" t="n">
        <v>10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91</v>
      </c>
      <c r="X238" s="0" t="n">
        <v>15</v>
      </c>
      <c r="Y238" s="0" t="n">
        <v>10</v>
      </c>
      <c r="Z238" s="0" t="inlineStr">
        <is>
          <t>https://new.land.naver.com/complexes/12726?tab=detail&amp;rf=Y</t>
        </is>
      </c>
      <c r="AA238" s="0" t="inlineStr">
        <is>
          <t>충청북도 청주시 상당구 영운동 145-11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상당구</t>
        </is>
      </c>
      <c r="AE238" s="0" t="inlineStr">
        <is>
          <t>영운동</t>
        </is>
      </c>
      <c r="AG238" s="0" t="inlineStr">
        <is>
          <t>충청북도 청주시 상당구 단재로77번길 21-22</t>
        </is>
      </c>
      <c r="AH238" s="0" t="n">
        <v>0</v>
      </c>
      <c r="AI238" s="0" t="n">
        <v>275</v>
      </c>
      <c r="AJ238" s="0" t="n">
        <v>24</v>
      </c>
      <c r="AK238" s="0" t="n">
        <v>361</v>
      </c>
      <c r="AL238" s="0" t="n">
        <v>0.92</v>
      </c>
    </row>
    <row r="239">
      <c r="A239" s="0" t="inlineStr">
        <is>
          <t>[영운동]</t>
        </is>
      </c>
      <c r="B239" s="0" t="n">
        <v>12726</v>
      </c>
      <c r="C239" s="0" t="n">
        <v>5</v>
      </c>
      <c r="D239" s="0" t="inlineStr">
        <is>
          <t>신라송림</t>
        </is>
      </c>
      <c r="E239" s="0" t="inlineStr">
        <is>
          <t>1995.12.</t>
        </is>
      </c>
      <c r="F239" s="0" t="n">
        <v>393</v>
      </c>
      <c r="G239" s="0" t="n">
        <v>31.33</v>
      </c>
      <c r="H239" s="0" t="n">
        <v>103.58</v>
      </c>
      <c r="I239" s="0" t="n">
        <v>25.6</v>
      </c>
      <c r="J239" s="0" t="n">
        <v>84.66</v>
      </c>
      <c r="K239" s="0" t="n">
        <v>203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103A</t>
        </is>
      </c>
      <c r="X239" s="0" t="n">
        <v>15</v>
      </c>
      <c r="Y239" s="0" t="n">
        <v>10</v>
      </c>
      <c r="Z239" s="0" t="inlineStr">
        <is>
          <t>https://new.land.naver.com/complexes/12726?tab=detail&amp;rf=Y</t>
        </is>
      </c>
      <c r="AA239" s="0" t="inlineStr">
        <is>
          <t>충청북도 청주시 상당구 영운동 145-11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상당구</t>
        </is>
      </c>
      <c r="AE239" s="0" t="inlineStr">
        <is>
          <t>영운동</t>
        </is>
      </c>
      <c r="AG239" s="0" t="inlineStr">
        <is>
          <t>충청북도 청주시 상당구 단재로77번길 21-22</t>
        </is>
      </c>
      <c r="AH239" s="0" t="n">
        <v>0</v>
      </c>
      <c r="AI239" s="0" t="n">
        <v>275</v>
      </c>
      <c r="AJ239" s="0" t="n">
        <v>24</v>
      </c>
      <c r="AK239" s="0" t="n">
        <v>361</v>
      </c>
      <c r="AL239" s="0" t="n">
        <v>0.92</v>
      </c>
    </row>
    <row r="240">
      <c r="A240" s="0" t="inlineStr">
        <is>
          <t>[영운동]</t>
        </is>
      </c>
      <c r="B240" s="0" t="n">
        <v>12726</v>
      </c>
      <c r="C240" s="0" t="n">
        <v>6</v>
      </c>
      <c r="D240" s="0" t="inlineStr">
        <is>
          <t>신라송림</t>
        </is>
      </c>
      <c r="E240" s="0" t="inlineStr">
        <is>
          <t>1995.12.</t>
        </is>
      </c>
      <c r="F240" s="0" t="n">
        <v>393</v>
      </c>
      <c r="G240" s="0" t="n">
        <v>31.96</v>
      </c>
      <c r="H240" s="0" t="n">
        <v>105.67</v>
      </c>
      <c r="I240" s="0" t="n">
        <v>25.6</v>
      </c>
      <c r="J240" s="0" t="n">
        <v>84.66</v>
      </c>
      <c r="K240" s="0" t="n">
        <v>17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105B</t>
        </is>
      </c>
      <c r="X240" s="0" t="n">
        <v>15</v>
      </c>
      <c r="Y240" s="0" t="n">
        <v>10</v>
      </c>
      <c r="Z240" s="0" t="inlineStr">
        <is>
          <t>https://new.land.naver.com/complexes/12726?tab=detail&amp;rf=Y</t>
        </is>
      </c>
      <c r="AA240" s="0" t="inlineStr">
        <is>
          <t>충청북도 청주시 상당구 영운동 145-11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상당구</t>
        </is>
      </c>
      <c r="AE240" s="0" t="inlineStr">
        <is>
          <t>영운동</t>
        </is>
      </c>
      <c r="AG240" s="0" t="inlineStr">
        <is>
          <t>충청북도 청주시 상당구 단재로77번길 21-22</t>
        </is>
      </c>
      <c r="AH240" s="0" t="n">
        <v>0</v>
      </c>
      <c r="AI240" s="0" t="n">
        <v>275</v>
      </c>
      <c r="AJ240" s="0" t="n">
        <v>24</v>
      </c>
      <c r="AK240" s="0" t="n">
        <v>361</v>
      </c>
      <c r="AL240" s="0" t="n">
        <v>0.92</v>
      </c>
    </row>
    <row r="241">
      <c r="A241" s="0" t="inlineStr">
        <is>
          <t>[영운동]</t>
        </is>
      </c>
      <c r="B241" s="0" t="n">
        <v>112178</v>
      </c>
      <c r="C241" s="0" t="n">
        <v>1</v>
      </c>
      <c r="D241" s="0" t="inlineStr">
        <is>
          <t>은성</t>
        </is>
      </c>
      <c r="E241" s="0" t="inlineStr">
        <is>
          <t>1990.12.</t>
        </is>
      </c>
      <c r="F241" s="0" t="n">
        <v>28</v>
      </c>
      <c r="G241" s="0" t="n">
        <v>32.37</v>
      </c>
      <c r="H241" s="0" t="n">
        <v>107.02</v>
      </c>
      <c r="I241" s="0" t="n">
        <v>25.44</v>
      </c>
      <c r="J241" s="0" t="n">
        <v>84.12</v>
      </c>
      <c r="K241" s="0" t="n">
        <v>28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107</v>
      </c>
      <c r="X241" s="0" t="n">
        <v>6</v>
      </c>
      <c r="Y241" s="0" t="n">
        <v>4</v>
      </c>
      <c r="Z241" s="0" t="inlineStr">
        <is>
          <t>https://new.land.naver.com/complexes/112178?tab=detail&amp;rf=Y</t>
        </is>
      </c>
      <c r="AA241" s="0" t="inlineStr">
        <is>
          <t>충청북도 청주시 상당구 영운동 215-11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상당구</t>
        </is>
      </c>
      <c r="AE241" s="0" t="inlineStr">
        <is>
          <t>영운동</t>
        </is>
      </c>
      <c r="AG241" s="0" t="inlineStr">
        <is>
          <t>충청북도 청주시 상당구 영운로51번길 20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[영운동]</t>
        </is>
      </c>
      <c r="B242" s="0" t="n">
        <v>120670</v>
      </c>
      <c r="C242" s="0" t="n">
        <v>1</v>
      </c>
      <c r="D242" s="0" t="inlineStr">
        <is>
          <t>한신</t>
        </is>
      </c>
      <c r="E242" s="0" t="inlineStr">
        <is>
          <t>2004.11.</t>
        </is>
      </c>
      <c r="F242" s="0" t="n">
        <v>19</v>
      </c>
      <c r="G242" s="0" t="n">
        <v>28.39</v>
      </c>
      <c r="H242" s="0" t="n">
        <v>93.86</v>
      </c>
      <c r="I242" s="0" t="n">
        <v>24.44</v>
      </c>
      <c r="J242" s="0" t="n">
        <v>80.8</v>
      </c>
      <c r="K242" s="0" t="n">
        <v>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5</v>
      </c>
      <c r="Y242" s="0" t="n">
        <v>5</v>
      </c>
      <c r="Z242" s="0" t="inlineStr">
        <is>
          <t>https://new.land.naver.com/complexes/120670?tab=detail&amp;rf=Y</t>
        </is>
      </c>
      <c r="AA242" s="0" t="inlineStr">
        <is>
          <t>충청북도 청주시 상당구 영운동 135-20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상당구</t>
        </is>
      </c>
      <c r="AE242" s="0" t="inlineStr">
        <is>
          <t>영운동</t>
        </is>
      </c>
      <c r="AG242" s="0" t="inlineStr">
        <is>
          <t>충청북도 청주시 상당구 수영로137번길 82</t>
        </is>
      </c>
      <c r="AH242" s="0" t="n">
        <v>0</v>
      </c>
      <c r="AI242" s="0" t="n">
        <v>136</v>
      </c>
      <c r="AJ242" s="0" t="n">
        <v>31</v>
      </c>
      <c r="AK242" s="0" t="n">
        <v>22</v>
      </c>
      <c r="AL242" s="0" t="n">
        <v>1.16</v>
      </c>
    </row>
    <row r="243">
      <c r="A243" s="0" t="inlineStr">
        <is>
          <t>[영운동]</t>
        </is>
      </c>
      <c r="B243" s="0" t="n">
        <v>120670</v>
      </c>
      <c r="C243" s="0" t="n">
        <v>2</v>
      </c>
      <c r="D243" s="0" t="inlineStr">
        <is>
          <t>한신</t>
        </is>
      </c>
      <c r="E243" s="0" t="inlineStr">
        <is>
          <t>2004.11.</t>
        </is>
      </c>
      <c r="F243" s="0" t="n">
        <v>19</v>
      </c>
      <c r="G243" s="0" t="n">
        <v>29.76</v>
      </c>
      <c r="H243" s="0" t="n">
        <v>98.39</v>
      </c>
      <c r="I243" s="0" t="n">
        <v>25.62</v>
      </c>
      <c r="J243" s="0" t="n">
        <v>84.7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98</v>
      </c>
      <c r="X243" s="0" t="n">
        <v>5</v>
      </c>
      <c r="Y243" s="0" t="n">
        <v>5</v>
      </c>
      <c r="Z243" s="0" t="inlineStr">
        <is>
          <t>https://new.land.naver.com/complexes/120670?tab=detail&amp;rf=Y</t>
        </is>
      </c>
      <c r="AA243" s="0" t="inlineStr">
        <is>
          <t>충청북도 청주시 상당구 영운동 135-20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상당구</t>
        </is>
      </c>
      <c r="AE243" s="0" t="inlineStr">
        <is>
          <t>영운동</t>
        </is>
      </c>
      <c r="AG243" s="0" t="inlineStr">
        <is>
          <t>충청북도 청주시 상당구 수영로137번길 82</t>
        </is>
      </c>
      <c r="AH243" s="0" t="n">
        <v>0</v>
      </c>
      <c r="AI243" s="0" t="n">
        <v>136</v>
      </c>
      <c r="AJ243" s="0" t="n">
        <v>31</v>
      </c>
      <c r="AK243" s="0" t="n">
        <v>22</v>
      </c>
      <c r="AL243" s="0" t="n">
        <v>1.16</v>
      </c>
    </row>
    <row r="244">
      <c r="A244" s="0" t="inlineStr">
        <is>
          <t>[영운동]</t>
        </is>
      </c>
      <c r="B244" s="0" t="n">
        <v>12728</v>
      </c>
      <c r="C244" s="0" t="n">
        <v>1</v>
      </c>
      <c r="D244" s="0" t="inlineStr">
        <is>
          <t>영운삼일</t>
        </is>
      </c>
      <c r="E244" s="0" t="inlineStr">
        <is>
          <t>1992.08.</t>
        </is>
      </c>
      <c r="F244" s="0" t="n">
        <v>228</v>
      </c>
      <c r="G244" s="0" t="n">
        <v>20.17</v>
      </c>
      <c r="H244" s="0" t="n">
        <v>66.7</v>
      </c>
      <c r="I244" s="0" t="n">
        <v>16.13</v>
      </c>
      <c r="J244" s="0" t="n">
        <v>53.34</v>
      </c>
      <c r="K244" s="0" t="n">
        <v>14</v>
      </c>
      <c r="T244" s="0" t="n">
        <v>3</v>
      </c>
      <c r="U244" s="0" t="n">
        <v>1</v>
      </c>
      <c r="V244" s="0" t="inlineStr">
        <is>
          <t>계단식</t>
        </is>
      </c>
      <c r="W244" s="0" t="n">
        <v>66</v>
      </c>
      <c r="X244" s="0" t="n">
        <v>15</v>
      </c>
      <c r="Y244" s="0" t="n">
        <v>3</v>
      </c>
      <c r="Z244" s="0" t="inlineStr">
        <is>
          <t>https://new.land.naver.com/complexes/12728?tab=detail&amp;rf=Y</t>
        </is>
      </c>
      <c r="AA244" s="0" t="inlineStr">
        <is>
          <t>충청북도 청주시 상당구 영운동 204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상당구</t>
        </is>
      </c>
      <c r="AE244" s="0" t="inlineStr">
        <is>
          <t>영운동</t>
        </is>
      </c>
      <c r="AG244" s="0" t="inlineStr">
        <is>
          <t>충청북도 청주시 상당구 수영로 136</t>
        </is>
      </c>
      <c r="AH244" s="0" t="n">
        <v>0</v>
      </c>
      <c r="AI244" s="0" t="n">
        <v>185</v>
      </c>
      <c r="AJ244" s="0" t="n">
        <v>25</v>
      </c>
      <c r="AK244" s="0" t="n">
        <v>146</v>
      </c>
      <c r="AL244" s="0" t="n">
        <v>0.64</v>
      </c>
    </row>
    <row r="245">
      <c r="A245" s="0" t="inlineStr">
        <is>
          <t>[영운동]</t>
        </is>
      </c>
      <c r="B245" s="0" t="n">
        <v>12728</v>
      </c>
      <c r="C245" s="0" t="n">
        <v>2</v>
      </c>
      <c r="D245" s="0" t="inlineStr">
        <is>
          <t>영운삼일</t>
        </is>
      </c>
      <c r="E245" s="0" t="inlineStr">
        <is>
          <t>1992.08.</t>
        </is>
      </c>
      <c r="F245" s="0" t="n">
        <v>228</v>
      </c>
      <c r="G245" s="0" t="n">
        <v>22.02</v>
      </c>
      <c r="H245" s="0" t="n">
        <v>72.81999999999999</v>
      </c>
      <c r="I245" s="0" t="n">
        <v>17.87</v>
      </c>
      <c r="J245" s="0" t="n">
        <v>59.1</v>
      </c>
      <c r="K245" s="0" t="n">
        <v>78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72</v>
      </c>
      <c r="X245" s="0" t="n">
        <v>15</v>
      </c>
      <c r="Y245" s="0" t="n">
        <v>3</v>
      </c>
      <c r="Z245" s="0" t="inlineStr">
        <is>
          <t>https://new.land.naver.com/complexes/12728?tab=detail&amp;rf=Y</t>
        </is>
      </c>
      <c r="AA245" s="0" t="inlineStr">
        <is>
          <t>충청북도 청주시 상당구 영운동 204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상당구</t>
        </is>
      </c>
      <c r="AE245" s="0" t="inlineStr">
        <is>
          <t>영운동</t>
        </is>
      </c>
      <c r="AG245" s="0" t="inlineStr">
        <is>
          <t>충청북도 청주시 상당구 수영로 136</t>
        </is>
      </c>
      <c r="AH245" s="0" t="n">
        <v>0</v>
      </c>
      <c r="AI245" s="0" t="n">
        <v>185</v>
      </c>
      <c r="AJ245" s="0" t="n">
        <v>25</v>
      </c>
      <c r="AK245" s="0" t="n">
        <v>146</v>
      </c>
      <c r="AL245" s="0" t="n">
        <v>0.64</v>
      </c>
    </row>
    <row r="246">
      <c r="A246" s="0" t="inlineStr">
        <is>
          <t>[영운동]</t>
        </is>
      </c>
      <c r="B246" s="0" t="n">
        <v>12728</v>
      </c>
      <c r="C246" s="0" t="n">
        <v>3</v>
      </c>
      <c r="D246" s="0" t="inlineStr">
        <is>
          <t>영운삼일</t>
        </is>
      </c>
      <c r="E246" s="0" t="inlineStr">
        <is>
          <t>1992.08.</t>
        </is>
      </c>
      <c r="F246" s="0" t="n">
        <v>228</v>
      </c>
      <c r="G246" s="0" t="n">
        <v>30.77</v>
      </c>
      <c r="H246" s="0" t="n">
        <v>101.75</v>
      </c>
      <c r="I246" s="0" t="n">
        <v>25.46</v>
      </c>
      <c r="J246" s="0" t="n">
        <v>84.17</v>
      </c>
      <c r="K246" s="0" t="n">
        <v>28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101</v>
      </c>
      <c r="X246" s="0" t="n">
        <v>15</v>
      </c>
      <c r="Y246" s="0" t="n">
        <v>3</v>
      </c>
      <c r="Z246" s="0" t="inlineStr">
        <is>
          <t>https://new.land.naver.com/complexes/12728?tab=detail&amp;rf=Y</t>
        </is>
      </c>
      <c r="AA246" s="0" t="inlineStr">
        <is>
          <t>충청북도 청주시 상당구 영운동 204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상당구</t>
        </is>
      </c>
      <c r="AE246" s="0" t="inlineStr">
        <is>
          <t>영운동</t>
        </is>
      </c>
      <c r="AG246" s="0" t="inlineStr">
        <is>
          <t>충청북도 청주시 상당구 수영로 136</t>
        </is>
      </c>
      <c r="AH246" s="0" t="n">
        <v>0</v>
      </c>
      <c r="AI246" s="0" t="n">
        <v>185</v>
      </c>
      <c r="AJ246" s="0" t="n">
        <v>25</v>
      </c>
      <c r="AK246" s="0" t="n">
        <v>146</v>
      </c>
      <c r="AL246" s="0" t="n">
        <v>0.64</v>
      </c>
    </row>
    <row r="247">
      <c r="A247" s="0" t="inlineStr">
        <is>
          <t>[영운동]</t>
        </is>
      </c>
      <c r="B247" s="0" t="n">
        <v>12728</v>
      </c>
      <c r="C247" s="0" t="n">
        <v>4</v>
      </c>
      <c r="D247" s="0" t="inlineStr">
        <is>
          <t>영운삼일</t>
        </is>
      </c>
      <c r="E247" s="0" t="inlineStr">
        <is>
          <t>1992.08.</t>
        </is>
      </c>
      <c r="F247" s="0" t="n">
        <v>228</v>
      </c>
      <c r="G247" s="0" t="n">
        <v>32.07</v>
      </c>
      <c r="H247" s="0" t="n">
        <v>106.04</v>
      </c>
      <c r="I247" s="0" t="n">
        <v>25.42</v>
      </c>
      <c r="J247" s="0" t="n">
        <v>84.05</v>
      </c>
      <c r="K247" s="0" t="n">
        <v>108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106</v>
      </c>
      <c r="X247" s="0" t="n">
        <v>15</v>
      </c>
      <c r="Y247" s="0" t="n">
        <v>3</v>
      </c>
      <c r="Z247" s="0" t="inlineStr">
        <is>
          <t>https://new.land.naver.com/complexes/12728?tab=detail&amp;rf=Y</t>
        </is>
      </c>
      <c r="AA247" s="0" t="inlineStr">
        <is>
          <t>충청북도 청주시 상당구 영운동 204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상당구</t>
        </is>
      </c>
      <c r="AE247" s="0" t="inlineStr">
        <is>
          <t>영운동</t>
        </is>
      </c>
      <c r="AG247" s="0" t="inlineStr">
        <is>
          <t>충청북도 청주시 상당구 수영로 136</t>
        </is>
      </c>
      <c r="AH247" s="0" t="n">
        <v>0</v>
      </c>
      <c r="AI247" s="0" t="n">
        <v>185</v>
      </c>
      <c r="AJ247" s="0" t="n">
        <v>25</v>
      </c>
      <c r="AK247" s="0" t="n">
        <v>146</v>
      </c>
      <c r="AL247" s="0" t="n">
        <v>0.64</v>
      </c>
    </row>
    <row r="248">
      <c r="A248" s="0" t="inlineStr">
        <is>
          <t>[영운동]</t>
        </is>
      </c>
      <c r="B248" s="0" t="n">
        <v>12785</v>
      </c>
      <c r="C248" s="0" t="n">
        <v>1</v>
      </c>
      <c r="D248" s="0" t="inlineStr">
        <is>
          <t>영운한진신세대</t>
        </is>
      </c>
      <c r="E248" s="0" t="inlineStr">
        <is>
          <t>1997.09.</t>
        </is>
      </c>
      <c r="F248" s="0" t="n">
        <v>272</v>
      </c>
      <c r="G248" s="0" t="n">
        <v>17.56</v>
      </c>
      <c r="H248" s="0" t="n">
        <v>58.07</v>
      </c>
      <c r="I248" s="0" t="n">
        <v>13.08</v>
      </c>
      <c r="J248" s="0" t="n">
        <v>43.24</v>
      </c>
      <c r="K248" s="0" t="n">
        <v>272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58</v>
      </c>
      <c r="X248" s="0" t="n">
        <v>15</v>
      </c>
      <c r="Y248" s="0" t="n">
        <v>13</v>
      </c>
      <c r="Z248" s="0" t="inlineStr">
        <is>
          <t>https://new.land.naver.com/complexes/12785?tab=detail&amp;rf=Y</t>
        </is>
      </c>
      <c r="AA248" s="0" t="inlineStr">
        <is>
          <t>충청북도 청주시 상당구 영운동 33-1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상당구</t>
        </is>
      </c>
      <c r="AE248" s="0" t="inlineStr">
        <is>
          <t>영운동</t>
        </is>
      </c>
      <c r="AG248" s="0" t="inlineStr">
        <is>
          <t>충청북도 청주시 상당구 영운천로119번길 7</t>
        </is>
      </c>
      <c r="AH248" s="0" t="n">
        <v>0</v>
      </c>
      <c r="AI248" s="0" t="n">
        <v>368</v>
      </c>
      <c r="AJ248" s="0" t="n">
        <v>29</v>
      </c>
      <c r="AK248" s="0" t="n">
        <v>174</v>
      </c>
      <c r="AL248" s="0" t="n">
        <v>0.64</v>
      </c>
    </row>
    <row r="249">
      <c r="A249" s="0" t="inlineStr">
        <is>
          <t>[영운동]</t>
        </is>
      </c>
      <c r="B249" s="0" t="n">
        <v>120709</v>
      </c>
      <c r="C249" s="0" t="n">
        <v>1</v>
      </c>
      <c r="D249" s="0" t="inlineStr">
        <is>
          <t>정화(118)</t>
        </is>
      </c>
      <c r="E249" s="0" t="inlineStr">
        <is>
          <t>1984.09.</t>
        </is>
      </c>
      <c r="F249" s="0" t="n">
        <v>39</v>
      </c>
      <c r="G249" s="0" t="n">
        <v>19.53</v>
      </c>
      <c r="H249" s="0" t="n">
        <v>64.59</v>
      </c>
      <c r="I249" s="0" t="n">
        <v>17.49</v>
      </c>
      <c r="J249" s="0" t="n">
        <v>57.84</v>
      </c>
      <c r="K249" s="0" t="n">
        <v>39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64</v>
      </c>
      <c r="X249" s="0" t="n">
        <v>5</v>
      </c>
      <c r="Y249" s="0" t="n">
        <v>5</v>
      </c>
      <c r="Z249" s="0" t="inlineStr">
        <is>
          <t>https://new.land.naver.com/complexes/120709?tab=detail&amp;rf=Y</t>
        </is>
      </c>
      <c r="AA249" s="0" t="inlineStr">
        <is>
          <t>충청북도 청주시 상당구 영운동 118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상당구</t>
        </is>
      </c>
      <c r="AE249" s="0" t="inlineStr">
        <is>
          <t>영운동</t>
        </is>
      </c>
      <c r="AG249" s="0" t="inlineStr">
        <is>
          <t>충청북도 청주시 상당구 단재로115번길 22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[영운동]</t>
        </is>
      </c>
      <c r="B250" s="0" t="n">
        <v>139874</v>
      </c>
      <c r="C250" s="0" t="n">
        <v>1</v>
      </c>
      <c r="D250" s="0" t="inlineStr">
        <is>
          <t>대원</t>
        </is>
      </c>
      <c r="E250" s="0" t="inlineStr">
        <is>
          <t>1989.12.</t>
        </is>
      </c>
      <c r="F250" s="0" t="n">
        <v>35</v>
      </c>
      <c r="G250" s="0" t="n">
        <v>20.84</v>
      </c>
      <c r="H250" s="0" t="n">
        <v>68.90000000000001</v>
      </c>
      <c r="I250" s="0" t="n">
        <v>16.01</v>
      </c>
      <c r="J250" s="0" t="n">
        <v>52.94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68A</t>
        </is>
      </c>
      <c r="X250" s="0" t="n">
        <v>5</v>
      </c>
      <c r="Y250" s="0" t="n">
        <v>5</v>
      </c>
      <c r="Z250" s="0" t="inlineStr">
        <is>
          <t>https://new.land.naver.com/complexes/139874?tab=detail&amp;rf=Y</t>
        </is>
      </c>
      <c r="AA250" s="0" t="inlineStr">
        <is>
          <t>충청북도 청주시 상당구 영운동 152-9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상당구</t>
        </is>
      </c>
      <c r="AE250" s="0" t="inlineStr">
        <is>
          <t>영운동</t>
        </is>
      </c>
      <c r="AG250" s="0" t="inlineStr">
        <is>
          <t>충청북도 청주시 상당구 단재로78번길 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[영운동]</t>
        </is>
      </c>
      <c r="B251" s="0" t="n">
        <v>139874</v>
      </c>
      <c r="C251" s="0" t="n">
        <v>2</v>
      </c>
      <c r="D251" s="0" t="inlineStr">
        <is>
          <t>대원</t>
        </is>
      </c>
      <c r="E251" s="0" t="inlineStr">
        <is>
          <t>1989.12.</t>
        </is>
      </c>
      <c r="F251" s="0" t="n">
        <v>35</v>
      </c>
      <c r="G251" s="0" t="n">
        <v>21.29</v>
      </c>
      <c r="H251" s="0" t="n">
        <v>70.40000000000001</v>
      </c>
      <c r="I251" s="0" t="n">
        <v>16.39</v>
      </c>
      <c r="J251" s="0" t="n">
        <v>54.2</v>
      </c>
      <c r="K251" s="0" t="n">
        <v>5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70B</t>
        </is>
      </c>
      <c r="X251" s="0" t="n">
        <v>5</v>
      </c>
      <c r="Y251" s="0" t="n">
        <v>5</v>
      </c>
      <c r="Z251" s="0" t="inlineStr">
        <is>
          <t>https://new.land.naver.com/complexes/139874?tab=detail&amp;rf=Y</t>
        </is>
      </c>
      <c r="AA251" s="0" t="inlineStr">
        <is>
          <t>충청북도 청주시 상당구 영운동 152-9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상당구</t>
        </is>
      </c>
      <c r="AE251" s="0" t="inlineStr">
        <is>
          <t>영운동</t>
        </is>
      </c>
      <c r="AG251" s="0" t="inlineStr">
        <is>
          <t>충청북도 청주시 상당구 단재로78번길 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[영운동]</t>
        </is>
      </c>
      <c r="B252" s="0" t="n">
        <v>139874</v>
      </c>
      <c r="C252" s="0" t="n">
        <v>3</v>
      </c>
      <c r="D252" s="0" t="inlineStr">
        <is>
          <t>대원</t>
        </is>
      </c>
      <c r="E252" s="0" t="inlineStr">
        <is>
          <t>1989.12.</t>
        </is>
      </c>
      <c r="F252" s="0" t="n">
        <v>35</v>
      </c>
      <c r="G252" s="0" t="n">
        <v>21.7</v>
      </c>
      <c r="H252" s="0" t="n">
        <v>71.76000000000001</v>
      </c>
      <c r="I252" s="0" t="n">
        <v>16.74</v>
      </c>
      <c r="J252" s="0" t="n">
        <v>55.34</v>
      </c>
      <c r="K252" s="0" t="n">
        <v>5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5</v>
      </c>
      <c r="Y252" s="0" t="n">
        <v>5</v>
      </c>
      <c r="Z252" s="0" t="inlineStr">
        <is>
          <t>https://new.land.naver.com/complexes/139874?tab=detail&amp;rf=Y</t>
        </is>
      </c>
      <c r="AA252" s="0" t="inlineStr">
        <is>
          <t>충청북도 청주시 상당구 영운동 152-9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상당구</t>
        </is>
      </c>
      <c r="AE252" s="0" t="inlineStr">
        <is>
          <t>영운동</t>
        </is>
      </c>
      <c r="AG252" s="0" t="inlineStr">
        <is>
          <t>충청북도 청주시 상당구 단재로78번길 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[영운동]</t>
        </is>
      </c>
      <c r="B253" s="0" t="n">
        <v>139874</v>
      </c>
      <c r="C253" s="0" t="n">
        <v>4</v>
      </c>
      <c r="D253" s="0" t="inlineStr">
        <is>
          <t>대원</t>
        </is>
      </c>
      <c r="E253" s="0" t="inlineStr">
        <is>
          <t>1989.12.</t>
        </is>
      </c>
      <c r="F253" s="0" t="n">
        <v>35</v>
      </c>
      <c r="G253" s="0" t="n">
        <v>22.57</v>
      </c>
      <c r="H253" s="0" t="n">
        <v>74.63</v>
      </c>
      <c r="I253" s="0" t="n">
        <v>17.46</v>
      </c>
      <c r="J253" s="0" t="n">
        <v>57.75</v>
      </c>
      <c r="K253" s="0" t="n">
        <v>5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74A</t>
        </is>
      </c>
      <c r="X253" s="0" t="n">
        <v>5</v>
      </c>
      <c r="Y253" s="0" t="n">
        <v>5</v>
      </c>
      <c r="Z253" s="0" t="inlineStr">
        <is>
          <t>https://new.land.naver.com/complexes/139874?tab=detail&amp;rf=Y</t>
        </is>
      </c>
      <c r="AA253" s="0" t="inlineStr">
        <is>
          <t>충청북도 청주시 상당구 영운동 152-9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상당구</t>
        </is>
      </c>
      <c r="AE253" s="0" t="inlineStr">
        <is>
          <t>영운동</t>
        </is>
      </c>
      <c r="AG253" s="0" t="inlineStr">
        <is>
          <t>충청북도 청주시 상당구 단재로78번길 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[영운동]</t>
        </is>
      </c>
      <c r="B254" s="0" t="n">
        <v>139874</v>
      </c>
      <c r="C254" s="0" t="n">
        <v>5</v>
      </c>
      <c r="D254" s="0" t="inlineStr">
        <is>
          <t>대원</t>
        </is>
      </c>
      <c r="E254" s="0" t="inlineStr">
        <is>
          <t>1989.12.</t>
        </is>
      </c>
      <c r="F254" s="0" t="n">
        <v>35</v>
      </c>
      <c r="G254" s="0" t="n">
        <v>22.58</v>
      </c>
      <c r="H254" s="0" t="n">
        <v>74.67</v>
      </c>
      <c r="I254" s="0" t="n">
        <v>17.48</v>
      </c>
      <c r="J254" s="0" t="n">
        <v>57.79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74B</t>
        </is>
      </c>
      <c r="X254" s="0" t="n">
        <v>5</v>
      </c>
      <c r="Y254" s="0" t="n">
        <v>5</v>
      </c>
      <c r="Z254" s="0" t="inlineStr">
        <is>
          <t>https://new.land.naver.com/complexes/139874?tab=detail&amp;rf=Y</t>
        </is>
      </c>
      <c r="AA254" s="0" t="inlineStr">
        <is>
          <t>충청북도 청주시 상당구 영운동 152-9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상당구</t>
        </is>
      </c>
      <c r="AE254" s="0" t="inlineStr">
        <is>
          <t>영운동</t>
        </is>
      </c>
      <c r="AG254" s="0" t="inlineStr">
        <is>
          <t>충청북도 청주시 상당구 단재로78번길 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[영운동]</t>
        </is>
      </c>
      <c r="B255" s="0" t="n">
        <v>139874</v>
      </c>
      <c r="C255" s="0" t="n">
        <v>6</v>
      </c>
      <c r="D255" s="0" t="inlineStr">
        <is>
          <t>대원</t>
        </is>
      </c>
      <c r="E255" s="0" t="inlineStr">
        <is>
          <t>1989.12.</t>
        </is>
      </c>
      <c r="F255" s="0" t="n">
        <v>35</v>
      </c>
      <c r="G255" s="0" t="n">
        <v>22.99</v>
      </c>
      <c r="H255" s="0" t="n">
        <v>76.03</v>
      </c>
      <c r="I255" s="0" t="n">
        <v>17.82</v>
      </c>
      <c r="J255" s="0" t="n">
        <v>58.93</v>
      </c>
      <c r="K255" s="0" t="n">
        <v>5</v>
      </c>
      <c r="T255" s="0" t="n">
        <v>3</v>
      </c>
      <c r="U255" s="0" t="n">
        <v>1</v>
      </c>
      <c r="V255" s="0" t="inlineStr">
        <is>
          <t>계단식</t>
        </is>
      </c>
      <c r="W255" s="0" t="inlineStr">
        <is>
          <t>76C</t>
        </is>
      </c>
      <c r="X255" s="0" t="n">
        <v>5</v>
      </c>
      <c r="Y255" s="0" t="n">
        <v>5</v>
      </c>
      <c r="Z255" s="0" t="inlineStr">
        <is>
          <t>https://new.land.naver.com/complexes/139874?tab=detail&amp;rf=Y</t>
        </is>
      </c>
      <c r="AA255" s="0" t="inlineStr">
        <is>
          <t>충청북도 청주시 상당구 영운동 152-9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상당구</t>
        </is>
      </c>
      <c r="AE255" s="0" t="inlineStr">
        <is>
          <t>영운동</t>
        </is>
      </c>
      <c r="AG255" s="0" t="inlineStr">
        <is>
          <t>충청북도 청주시 상당구 단재로78번길 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[영운동]</t>
        </is>
      </c>
      <c r="B256" s="0" t="n">
        <v>139874</v>
      </c>
      <c r="C256" s="0" t="n">
        <v>7</v>
      </c>
      <c r="D256" s="0" t="inlineStr">
        <is>
          <t>대원</t>
        </is>
      </c>
      <c r="E256" s="0" t="inlineStr">
        <is>
          <t>1989.12.</t>
        </is>
      </c>
      <c r="F256" s="0" t="n">
        <v>35</v>
      </c>
      <c r="G256" s="0" t="n">
        <v>23.96</v>
      </c>
      <c r="H256" s="0" t="n">
        <v>79.20999999999999</v>
      </c>
      <c r="I256" s="0" t="n">
        <v>18.63</v>
      </c>
      <c r="J256" s="0" t="n">
        <v>61.6</v>
      </c>
      <c r="K256" s="0" t="n">
        <v>5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79</v>
      </c>
      <c r="X256" s="0" t="n">
        <v>5</v>
      </c>
      <c r="Y256" s="0" t="n">
        <v>5</v>
      </c>
      <c r="Z256" s="0" t="inlineStr">
        <is>
          <t>https://new.land.naver.com/complexes/139874?tab=detail&amp;rf=Y</t>
        </is>
      </c>
      <c r="AA256" s="0" t="inlineStr">
        <is>
          <t>충청북도 청주시 상당구 영운동 152-9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상당구</t>
        </is>
      </c>
      <c r="AE256" s="0" t="inlineStr">
        <is>
          <t>영운동</t>
        </is>
      </c>
      <c r="AG256" s="0" t="inlineStr">
        <is>
          <t>충청북도 청주시 상당구 단재로78번길 9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[영운동]</t>
        </is>
      </c>
      <c r="B257" s="0" t="n">
        <v>107264</v>
      </c>
      <c r="C257" s="0" t="n">
        <v>1</v>
      </c>
      <c r="D257" s="0" t="inlineStr">
        <is>
          <t>삼진</t>
        </is>
      </c>
      <c r="E257" s="0" t="inlineStr">
        <is>
          <t>1992.05.</t>
        </is>
      </c>
      <c r="F257" s="0" t="n">
        <v>132</v>
      </c>
      <c r="G257" s="0" t="n">
        <v>19.29</v>
      </c>
      <c r="H257" s="0" t="n">
        <v>63.79</v>
      </c>
      <c r="I257" s="0" t="n">
        <v>15.54</v>
      </c>
      <c r="J257" s="0" t="n">
        <v>51.38</v>
      </c>
      <c r="K257" s="0" t="n">
        <v>61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63B</t>
        </is>
      </c>
      <c r="X257" s="0" t="n">
        <v>6</v>
      </c>
      <c r="Y257" s="0" t="n">
        <v>6</v>
      </c>
      <c r="Z257" s="0" t="inlineStr">
        <is>
          <t>https://new.land.naver.com/complexes/107264?tab=detail&amp;rf=Y</t>
        </is>
      </c>
      <c r="AA257" s="0" t="inlineStr">
        <is>
          <t>충청북도 청주시 상당구 영운동 41-3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상당구</t>
        </is>
      </c>
      <c r="AE257" s="0" t="inlineStr">
        <is>
          <t>영운동</t>
        </is>
      </c>
      <c r="AG257" s="0" t="inlineStr">
        <is>
          <t>충청북도 청주시 상당구 영운천로69번길 57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[영운동]</t>
        </is>
      </c>
      <c r="B258" s="0" t="n">
        <v>107264</v>
      </c>
      <c r="C258" s="0" t="n">
        <v>2</v>
      </c>
      <c r="D258" s="0" t="inlineStr">
        <is>
          <t>삼진</t>
        </is>
      </c>
      <c r="E258" s="0" t="inlineStr">
        <is>
          <t>1992.05.</t>
        </is>
      </c>
      <c r="F258" s="0" t="n">
        <v>132</v>
      </c>
      <c r="G258" s="0" t="n">
        <v>19.09</v>
      </c>
      <c r="H258" s="0" t="n">
        <v>63.11</v>
      </c>
      <c r="I258" s="0" t="n">
        <v>15.36</v>
      </c>
      <c r="J258" s="0" t="n">
        <v>50.78</v>
      </c>
      <c r="K258" s="0" t="n">
        <v>5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63A</t>
        </is>
      </c>
      <c r="X258" s="0" t="n">
        <v>6</v>
      </c>
      <c r="Y258" s="0" t="n">
        <v>6</v>
      </c>
      <c r="Z258" s="0" t="inlineStr">
        <is>
          <t>https://new.land.naver.com/complexes/107264?tab=detail&amp;rf=Y</t>
        </is>
      </c>
      <c r="AA258" s="0" t="inlineStr">
        <is>
          <t>충청북도 청주시 상당구 영운동 41-3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상당구</t>
        </is>
      </c>
      <c r="AE258" s="0" t="inlineStr">
        <is>
          <t>영운동</t>
        </is>
      </c>
      <c r="AG258" s="0" t="inlineStr">
        <is>
          <t>충청북도 청주시 상당구 영운천로69번길 57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[영운동]</t>
        </is>
      </c>
      <c r="B259" s="0" t="n">
        <v>107264</v>
      </c>
      <c r="C259" s="0" t="n">
        <v>3</v>
      </c>
      <c r="D259" s="0" t="inlineStr">
        <is>
          <t>삼진</t>
        </is>
      </c>
      <c r="E259" s="0" t="inlineStr">
        <is>
          <t>1992.05.</t>
        </is>
      </c>
      <c r="F259" s="0" t="n">
        <v>132</v>
      </c>
      <c r="G259" s="0" t="n">
        <v>19.93</v>
      </c>
      <c r="H259" s="0" t="n">
        <v>65.90000000000001</v>
      </c>
      <c r="I259" s="0" t="n">
        <v>16.11</v>
      </c>
      <c r="J259" s="0" t="n">
        <v>53.27</v>
      </c>
      <c r="K259" s="0" t="n">
        <v>66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65</v>
      </c>
      <c r="X259" s="0" t="n">
        <v>6</v>
      </c>
      <c r="Y259" s="0" t="n">
        <v>6</v>
      </c>
      <c r="Z259" s="0" t="inlineStr">
        <is>
          <t>https://new.land.naver.com/complexes/107264?tab=detail&amp;rf=Y</t>
        </is>
      </c>
      <c r="AA259" s="0" t="inlineStr">
        <is>
          <t>충청북도 청주시 상당구 영운동 41-3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상당구</t>
        </is>
      </c>
      <c r="AE259" s="0" t="inlineStr">
        <is>
          <t>영운동</t>
        </is>
      </c>
      <c r="AG259" s="0" t="inlineStr">
        <is>
          <t>충청북도 청주시 상당구 영운천로69번길 57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[영운동]</t>
        </is>
      </c>
      <c r="B260" s="0" t="n">
        <v>7032</v>
      </c>
      <c r="C260" s="0" t="n">
        <v>1</v>
      </c>
      <c r="D260" s="0" t="inlineStr">
        <is>
          <t>미림</t>
        </is>
      </c>
      <c r="E260" s="0" t="inlineStr">
        <is>
          <t>1991.08.</t>
        </is>
      </c>
      <c r="F260" s="0" t="n">
        <v>250</v>
      </c>
      <c r="G260" s="0" t="n">
        <v>21.62</v>
      </c>
      <c r="H260" s="0" t="n">
        <v>71.48999999999999</v>
      </c>
      <c r="I260" s="0" t="n">
        <v>15.12</v>
      </c>
      <c r="J260" s="0" t="n">
        <v>49.99</v>
      </c>
      <c r="K260" s="0" t="n">
        <v>250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71</v>
      </c>
      <c r="X260" s="0" t="n">
        <v>6</v>
      </c>
      <c r="Y260" s="0" t="n">
        <v>5</v>
      </c>
      <c r="Z260" s="0" t="inlineStr">
        <is>
          <t>https://new.land.naver.com/complexes/7032?tab=detail&amp;rf=Y</t>
        </is>
      </c>
      <c r="AA260" s="0" t="inlineStr">
        <is>
          <t>충청북도 청주시 상당구 영운동 179-11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상당구</t>
        </is>
      </c>
      <c r="AE260" s="0" t="inlineStr">
        <is>
          <t>영운동</t>
        </is>
      </c>
      <c r="AG260" s="0" t="inlineStr">
        <is>
          <t>충청북도 청주시 상당구 수영로101번길 49</t>
        </is>
      </c>
      <c r="AH260" s="0" t="n">
        <v>0</v>
      </c>
      <c r="AI260" s="0" t="n">
        <v>0</v>
      </c>
      <c r="AJ260" s="0" t="n">
        <v>0</v>
      </c>
      <c r="AK260" s="0" t="n">
        <v>250</v>
      </c>
      <c r="AL260" s="0" t="n">
        <v>1</v>
      </c>
    </row>
    <row r="261">
      <c r="A261" s="0" t="inlineStr">
        <is>
          <t>[영운동]</t>
        </is>
      </c>
      <c r="B261" s="0" t="n">
        <v>112701</v>
      </c>
      <c r="C261" s="0" t="n">
        <v>1</v>
      </c>
      <c r="D261" s="0" t="inlineStr">
        <is>
          <t>정화(135-8)</t>
        </is>
      </c>
      <c r="E261" s="0" t="inlineStr">
        <is>
          <t>1985.10.</t>
        </is>
      </c>
      <c r="F261" s="0" t="n">
        <v>54</v>
      </c>
      <c r="G261" s="0" t="n">
        <v>21.62</v>
      </c>
      <c r="H261" s="0" t="n">
        <v>71.48999999999999</v>
      </c>
      <c r="I261" s="0" t="n">
        <v>17.54</v>
      </c>
      <c r="J261" s="0" t="n">
        <v>57.99</v>
      </c>
      <c r="K261" s="0" t="n">
        <v>54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71</v>
      </c>
      <c r="X261" s="0" t="n">
        <v>5</v>
      </c>
      <c r="Y261" s="0" t="n">
        <v>4</v>
      </c>
      <c r="Z261" s="0" t="inlineStr">
        <is>
          <t>https://new.land.naver.com/complexes/112701?tab=detail&amp;rf=Y</t>
        </is>
      </c>
      <c r="AA261" s="0" t="inlineStr">
        <is>
          <t>충청북도 청주시 상당구 영운동 135-8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상당구</t>
        </is>
      </c>
      <c r="AE261" s="0" t="inlineStr">
        <is>
          <t>영운동</t>
        </is>
      </c>
      <c r="AG261" s="0" t="inlineStr">
        <is>
          <t>충청북도 청주시 상당구 수영로137번길 116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[영운동]</t>
        </is>
      </c>
      <c r="B262" s="0" t="n">
        <v>12727</v>
      </c>
      <c r="C262" s="0" t="n">
        <v>1</v>
      </c>
      <c r="D262" s="0" t="inlineStr">
        <is>
          <t>태암수정</t>
        </is>
      </c>
      <c r="E262" s="0" t="inlineStr">
        <is>
          <t>1995.11.</t>
        </is>
      </c>
      <c r="F262" s="0" t="n">
        <v>486</v>
      </c>
      <c r="G262" s="0" t="n">
        <v>14</v>
      </c>
      <c r="H262" s="0" t="n">
        <v>46.29</v>
      </c>
      <c r="I262" s="0" t="n">
        <v>11.71</v>
      </c>
      <c r="J262" s="0" t="n">
        <v>38.72</v>
      </c>
      <c r="K262" s="0" t="n">
        <v>72</v>
      </c>
      <c r="T262" s="0" t="n">
        <v>1</v>
      </c>
      <c r="U262" s="0" t="n">
        <v>1</v>
      </c>
      <c r="V262" s="0" t="inlineStr">
        <is>
          <t>계단식</t>
        </is>
      </c>
      <c r="W262" s="0" t="n">
        <v>46</v>
      </c>
      <c r="X262" s="0" t="n">
        <v>15</v>
      </c>
      <c r="Y262" s="0" t="n">
        <v>8</v>
      </c>
      <c r="Z262" s="0" t="inlineStr">
        <is>
          <t>https://new.land.naver.com/complexes/12727?tab=detail&amp;rf=Y</t>
        </is>
      </c>
      <c r="AA262" s="0" t="inlineStr">
        <is>
          <t>충청북도 청주시 상당구 영운동 73-5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상당구</t>
        </is>
      </c>
      <c r="AE262" s="0" t="inlineStr">
        <is>
          <t>영운동</t>
        </is>
      </c>
      <c r="AG262" s="0" t="inlineStr">
        <is>
          <t>충청북도 청주시 상당구 영운천로51번길 26</t>
        </is>
      </c>
      <c r="AH262" s="0" t="n">
        <v>0</v>
      </c>
      <c r="AI262" s="0" t="n">
        <v>325</v>
      </c>
      <c r="AJ262" s="0" t="n">
        <v>33</v>
      </c>
      <c r="AK262" s="0" t="n">
        <v>206</v>
      </c>
      <c r="AL262" s="0" t="n">
        <v>0.42</v>
      </c>
    </row>
    <row r="263">
      <c r="A263" s="0" t="inlineStr">
        <is>
          <t>[영운동]</t>
        </is>
      </c>
      <c r="B263" s="0" t="n">
        <v>12727</v>
      </c>
      <c r="C263" s="0" t="n">
        <v>2</v>
      </c>
      <c r="D263" s="0" t="inlineStr">
        <is>
          <t>태암수정</t>
        </is>
      </c>
      <c r="E263" s="0" t="inlineStr">
        <is>
          <t>1995.11.</t>
        </is>
      </c>
      <c r="F263" s="0" t="n">
        <v>486</v>
      </c>
      <c r="G263" s="0" t="n">
        <v>15.27</v>
      </c>
      <c r="H263" s="0" t="n">
        <v>50.49</v>
      </c>
      <c r="I263" s="0" t="n">
        <v>12.77</v>
      </c>
      <c r="J263" s="0" t="n">
        <v>42.24</v>
      </c>
      <c r="K263" s="0" t="n">
        <v>336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15</v>
      </c>
      <c r="Y263" s="0" t="n">
        <v>8</v>
      </c>
      <c r="Z263" s="0" t="inlineStr">
        <is>
          <t>https://new.land.naver.com/complexes/12727?tab=detail&amp;rf=Y</t>
        </is>
      </c>
      <c r="AA263" s="0" t="inlineStr">
        <is>
          <t>충청북도 청주시 상당구 영운동 73-5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상당구</t>
        </is>
      </c>
      <c r="AE263" s="0" t="inlineStr">
        <is>
          <t>영운동</t>
        </is>
      </c>
      <c r="AG263" s="0" t="inlineStr">
        <is>
          <t>충청북도 청주시 상당구 영운천로51번길 26</t>
        </is>
      </c>
      <c r="AH263" s="0" t="n">
        <v>0</v>
      </c>
      <c r="AI263" s="0" t="n">
        <v>325</v>
      </c>
      <c r="AJ263" s="0" t="n">
        <v>33</v>
      </c>
      <c r="AK263" s="0" t="n">
        <v>206</v>
      </c>
      <c r="AL263" s="0" t="n">
        <v>0.42</v>
      </c>
    </row>
    <row r="264">
      <c r="A264" s="0" t="inlineStr">
        <is>
          <t>[영운동]</t>
        </is>
      </c>
      <c r="B264" s="0" t="n">
        <v>12727</v>
      </c>
      <c r="C264" s="0" t="n">
        <v>3</v>
      </c>
      <c r="D264" s="0" t="inlineStr">
        <is>
          <t>태암수정</t>
        </is>
      </c>
      <c r="E264" s="0" t="inlineStr">
        <is>
          <t>1995.11.</t>
        </is>
      </c>
      <c r="F264" s="0" t="n">
        <v>486</v>
      </c>
      <c r="G264" s="0" t="n">
        <v>19.57</v>
      </c>
      <c r="H264" s="0" t="n">
        <v>64.7</v>
      </c>
      <c r="I264" s="0" t="n">
        <v>16.37</v>
      </c>
      <c r="J264" s="0" t="n">
        <v>54.12</v>
      </c>
      <c r="K264" s="0" t="n">
        <v>78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64</v>
      </c>
      <c r="X264" s="0" t="n">
        <v>15</v>
      </c>
      <c r="Y264" s="0" t="n">
        <v>8</v>
      </c>
      <c r="Z264" s="0" t="inlineStr">
        <is>
          <t>https://new.land.naver.com/complexes/12727?tab=detail&amp;rf=Y</t>
        </is>
      </c>
      <c r="AA264" s="0" t="inlineStr">
        <is>
          <t>충청북도 청주시 상당구 영운동 73-5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상당구</t>
        </is>
      </c>
      <c r="AE264" s="0" t="inlineStr">
        <is>
          <t>영운동</t>
        </is>
      </c>
      <c r="AG264" s="0" t="inlineStr">
        <is>
          <t>충청북도 청주시 상당구 영운천로51번길 26</t>
        </is>
      </c>
      <c r="AH264" s="0" t="n">
        <v>0</v>
      </c>
      <c r="AI264" s="0" t="n">
        <v>325</v>
      </c>
      <c r="AJ264" s="0" t="n">
        <v>33</v>
      </c>
      <c r="AK264" s="0" t="n">
        <v>206</v>
      </c>
      <c r="AL264" s="0" t="n">
        <v>0.42</v>
      </c>
    </row>
    <row r="265">
      <c r="A265" s="0" t="inlineStr">
        <is>
          <t>[영운동]</t>
        </is>
      </c>
      <c r="B265" s="0" t="n">
        <v>122860</v>
      </c>
      <c r="C265" s="0" t="n">
        <v>1</v>
      </c>
      <c r="D265" s="0" t="inlineStr">
        <is>
          <t>파모스라움</t>
        </is>
      </c>
      <c r="E265" s="0" t="inlineStr">
        <is>
          <t>2018.10.</t>
        </is>
      </c>
      <c r="F265" s="0" t="n">
        <v>246</v>
      </c>
      <c r="G265" s="0" t="n">
        <v>26.22</v>
      </c>
      <c r="H265" s="0" t="n">
        <v>86.7</v>
      </c>
      <c r="I265" s="0" t="n">
        <v>18.01</v>
      </c>
      <c r="J265" s="0" t="n">
        <v>59.55</v>
      </c>
      <c r="K265" s="0" t="n">
        <v>51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86C</t>
        </is>
      </c>
      <c r="X265" s="0" t="n">
        <v>25</v>
      </c>
      <c r="Y265" s="0" t="n">
        <v>7</v>
      </c>
      <c r="Z265" s="0" t="inlineStr">
        <is>
          <t>https://new.land.naver.com/complexes/122860?tab=detail&amp;rf=Y</t>
        </is>
      </c>
      <c r="AA265" s="0" t="inlineStr">
        <is>
          <t>충청북도 청주시 상당구 영운동 222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상당구</t>
        </is>
      </c>
      <c r="AE265" s="0" t="inlineStr">
        <is>
          <t>영운동</t>
        </is>
      </c>
      <c r="AG265" s="0" t="inlineStr">
        <is>
          <t>충청북도 청주시 상당구 수영로 180</t>
        </is>
      </c>
      <c r="AH265" s="0" t="n">
        <v>0</v>
      </c>
      <c r="AI265" s="0" t="n">
        <v>228</v>
      </c>
      <c r="AJ265" s="0" t="n">
        <v>19</v>
      </c>
      <c r="AK265" s="0" t="n">
        <v>260</v>
      </c>
      <c r="AL265" s="0" t="n">
        <v>1.06</v>
      </c>
    </row>
    <row r="266">
      <c r="A266" s="0" t="inlineStr">
        <is>
          <t>[영운동]</t>
        </is>
      </c>
      <c r="B266" s="0" t="n">
        <v>122860</v>
      </c>
      <c r="C266" s="0" t="n">
        <v>2</v>
      </c>
      <c r="D266" s="0" t="inlineStr">
        <is>
          <t>파모스라움</t>
        </is>
      </c>
      <c r="E266" s="0" t="inlineStr">
        <is>
          <t>2018.10.</t>
        </is>
      </c>
      <c r="F266" s="0" t="n">
        <v>246</v>
      </c>
      <c r="G266" s="0" t="n">
        <v>26.11</v>
      </c>
      <c r="H266" s="0" t="n">
        <v>86.33</v>
      </c>
      <c r="I266" s="0" t="n">
        <v>17.98</v>
      </c>
      <c r="J266" s="0" t="n">
        <v>59.46</v>
      </c>
      <c r="K266" s="0" t="n">
        <v>31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86B</t>
        </is>
      </c>
      <c r="X266" s="0" t="n">
        <v>25</v>
      </c>
      <c r="Y266" s="0" t="n">
        <v>7</v>
      </c>
      <c r="Z266" s="0" t="inlineStr">
        <is>
          <t>https://new.land.naver.com/complexes/122860?tab=detail&amp;rf=Y</t>
        </is>
      </c>
      <c r="AA266" s="0" t="inlineStr">
        <is>
          <t>충청북도 청주시 상당구 영운동 222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상당구</t>
        </is>
      </c>
      <c r="AE266" s="0" t="inlineStr">
        <is>
          <t>영운동</t>
        </is>
      </c>
      <c r="AG266" s="0" t="inlineStr">
        <is>
          <t>충청북도 청주시 상당구 수영로 180</t>
        </is>
      </c>
      <c r="AH266" s="0" t="n">
        <v>0</v>
      </c>
      <c r="AI266" s="0" t="n">
        <v>228</v>
      </c>
      <c r="AJ266" s="0" t="n">
        <v>19</v>
      </c>
      <c r="AK266" s="0" t="n">
        <v>260</v>
      </c>
      <c r="AL266" s="0" t="n">
        <v>1.06</v>
      </c>
    </row>
    <row r="267">
      <c r="A267" s="0" t="inlineStr">
        <is>
          <t>[영운동]</t>
        </is>
      </c>
      <c r="B267" s="0" t="n">
        <v>122860</v>
      </c>
      <c r="C267" s="0" t="n">
        <v>3</v>
      </c>
      <c r="D267" s="0" t="inlineStr">
        <is>
          <t>파모스라움</t>
        </is>
      </c>
      <c r="E267" s="0" t="inlineStr">
        <is>
          <t>2018.10.</t>
        </is>
      </c>
      <c r="F267" s="0" t="n">
        <v>246</v>
      </c>
      <c r="G267" s="0" t="n">
        <v>26.22</v>
      </c>
      <c r="H267" s="0" t="n">
        <v>86.68000000000001</v>
      </c>
      <c r="I267" s="0" t="n">
        <v>17.95</v>
      </c>
      <c r="J267" s="0" t="n">
        <v>59.35</v>
      </c>
      <c r="K267" s="0" t="n">
        <v>9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86F</t>
        </is>
      </c>
      <c r="X267" s="0" t="n">
        <v>25</v>
      </c>
      <c r="Y267" s="0" t="n">
        <v>7</v>
      </c>
      <c r="Z267" s="0" t="inlineStr">
        <is>
          <t>https://new.land.naver.com/complexes/122860?tab=detail&amp;rf=Y</t>
        </is>
      </c>
      <c r="AA267" s="0" t="inlineStr">
        <is>
          <t>충청북도 청주시 상당구 영운동 222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상당구</t>
        </is>
      </c>
      <c r="AE267" s="0" t="inlineStr">
        <is>
          <t>영운동</t>
        </is>
      </c>
      <c r="AG267" s="0" t="inlineStr">
        <is>
          <t>충청북도 청주시 상당구 수영로 180</t>
        </is>
      </c>
      <c r="AH267" s="0" t="n">
        <v>0</v>
      </c>
      <c r="AI267" s="0" t="n">
        <v>228</v>
      </c>
      <c r="AJ267" s="0" t="n">
        <v>19</v>
      </c>
      <c r="AK267" s="0" t="n">
        <v>260</v>
      </c>
      <c r="AL267" s="0" t="n">
        <v>1.06</v>
      </c>
    </row>
    <row r="268">
      <c r="A268" s="0" t="inlineStr">
        <is>
          <t>[영운동]</t>
        </is>
      </c>
      <c r="B268" s="0" t="n">
        <v>122860</v>
      </c>
      <c r="C268" s="0" t="n">
        <v>4</v>
      </c>
      <c r="D268" s="0" t="inlineStr">
        <is>
          <t>파모스라움</t>
        </is>
      </c>
      <c r="E268" s="0" t="inlineStr">
        <is>
          <t>2018.10.</t>
        </is>
      </c>
      <c r="F268" s="0" t="n">
        <v>246</v>
      </c>
      <c r="G268" s="0" t="n">
        <v>26.33</v>
      </c>
      <c r="H268" s="0" t="n">
        <v>87.05</v>
      </c>
      <c r="I268" s="0" t="n">
        <v>17.97</v>
      </c>
      <c r="J268" s="0" t="n">
        <v>59.43</v>
      </c>
      <c r="K268" s="0" t="n">
        <v>142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87A</t>
        </is>
      </c>
      <c r="X268" s="0" t="n">
        <v>25</v>
      </c>
      <c r="Y268" s="0" t="n">
        <v>7</v>
      </c>
      <c r="Z268" s="0" t="inlineStr">
        <is>
          <t>https://new.land.naver.com/complexes/122860?tab=detail&amp;rf=Y</t>
        </is>
      </c>
      <c r="AA268" s="0" t="inlineStr">
        <is>
          <t>충청북도 청주시 상당구 영운동 222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상당구</t>
        </is>
      </c>
      <c r="AE268" s="0" t="inlineStr">
        <is>
          <t>영운동</t>
        </is>
      </c>
      <c r="AG268" s="0" t="inlineStr">
        <is>
          <t>충청북도 청주시 상당구 수영로 180</t>
        </is>
      </c>
      <c r="AH268" s="0" t="n">
        <v>0</v>
      </c>
      <c r="AI268" s="0" t="n">
        <v>228</v>
      </c>
      <c r="AJ268" s="0" t="n">
        <v>19</v>
      </c>
      <c r="AK268" s="0" t="n">
        <v>260</v>
      </c>
      <c r="AL268" s="0" t="n">
        <v>1.06</v>
      </c>
    </row>
    <row r="269">
      <c r="A269" s="0" t="inlineStr">
        <is>
          <t>[영운동]</t>
        </is>
      </c>
      <c r="B269" s="0" t="n">
        <v>122860</v>
      </c>
      <c r="C269" s="0" t="n">
        <v>5</v>
      </c>
      <c r="D269" s="0" t="inlineStr">
        <is>
          <t>파모스라움</t>
        </is>
      </c>
      <c r="E269" s="0" t="inlineStr">
        <is>
          <t>2018.10.</t>
        </is>
      </c>
      <c r="F269" s="0" t="n">
        <v>246</v>
      </c>
      <c r="G269" s="0" t="n">
        <v>26.32</v>
      </c>
      <c r="H269" s="0" t="n">
        <v>87.02</v>
      </c>
      <c r="I269" s="0" t="n">
        <v>18.07</v>
      </c>
      <c r="J269" s="0" t="n">
        <v>59.74</v>
      </c>
      <c r="K269" s="0" t="n">
        <v>13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87E</t>
        </is>
      </c>
      <c r="X269" s="0" t="n">
        <v>25</v>
      </c>
      <c r="Y269" s="0" t="n">
        <v>7</v>
      </c>
      <c r="Z269" s="0" t="inlineStr">
        <is>
          <t>https://new.land.naver.com/complexes/122860?tab=detail&amp;rf=Y</t>
        </is>
      </c>
      <c r="AA269" s="0" t="inlineStr">
        <is>
          <t>충청북도 청주시 상당구 영운동 222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상당구</t>
        </is>
      </c>
      <c r="AE269" s="0" t="inlineStr">
        <is>
          <t>영운동</t>
        </is>
      </c>
      <c r="AG269" s="0" t="inlineStr">
        <is>
          <t>충청북도 청주시 상당구 수영로 180</t>
        </is>
      </c>
      <c r="AH269" s="0" t="n">
        <v>0</v>
      </c>
      <c r="AI269" s="0" t="n">
        <v>228</v>
      </c>
      <c r="AJ269" s="0" t="n">
        <v>19</v>
      </c>
      <c r="AK269" s="0" t="n">
        <v>260</v>
      </c>
      <c r="AL269" s="0" t="n">
        <v>1.06</v>
      </c>
    </row>
    <row r="270">
      <c r="A270" s="0" t="inlineStr">
        <is>
          <t>[영운동]</t>
        </is>
      </c>
      <c r="B270" s="0" t="n">
        <v>15396</v>
      </c>
      <c r="C270" s="0" t="n">
        <v>1</v>
      </c>
      <c r="D270" s="0" t="inlineStr">
        <is>
          <t>삼진화랑</t>
        </is>
      </c>
      <c r="E270" s="0" t="inlineStr">
        <is>
          <t>1994.06.</t>
        </is>
      </c>
      <c r="F270" s="0" t="n">
        <v>86</v>
      </c>
      <c r="G270" s="0" t="n">
        <v>25.3</v>
      </c>
      <c r="H270" s="0" t="n">
        <v>83.66</v>
      </c>
      <c r="I270" s="0" t="n">
        <v>18.14</v>
      </c>
      <c r="J270" s="0" t="n">
        <v>59.99</v>
      </c>
      <c r="K270" s="0" t="n">
        <v>86</v>
      </c>
      <c r="T270" s="0" t="n">
        <v>3</v>
      </c>
      <c r="U270" s="0" t="n">
        <v>1</v>
      </c>
      <c r="V270" s="0" t="inlineStr">
        <is>
          <t>복도식</t>
        </is>
      </c>
      <c r="W270" s="0" t="n">
        <v>83</v>
      </c>
      <c r="X270" s="0" t="n">
        <v>9</v>
      </c>
      <c r="Y270" s="0" t="n">
        <v>6</v>
      </c>
      <c r="Z270" s="0" t="inlineStr">
        <is>
          <t>https://new.land.naver.com/complexes/15396?tab=detail&amp;rf=Y</t>
        </is>
      </c>
      <c r="AA270" s="0" t="inlineStr">
        <is>
          <t>충청북도 청주시 상당구 영운동 52-3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상당구</t>
        </is>
      </c>
      <c r="AE270" s="0" t="inlineStr">
        <is>
          <t>영운동</t>
        </is>
      </c>
      <c r="AG270" s="0" t="inlineStr">
        <is>
          <t>충청북도 청주시 상당구 영운천로83번길 25</t>
        </is>
      </c>
      <c r="AH270" s="0" t="n">
        <v>0</v>
      </c>
      <c r="AI270" s="0" t="n">
        <v>202</v>
      </c>
      <c r="AJ270" s="0" t="n">
        <v>31</v>
      </c>
      <c r="AK270" s="0" t="n">
        <v>75</v>
      </c>
      <c r="AL270" s="0" t="n">
        <v>0.87</v>
      </c>
    </row>
    <row r="271">
      <c r="A271" s="0" t="inlineStr">
        <is>
          <t>[영운동]</t>
        </is>
      </c>
      <c r="B271" s="0" t="n">
        <v>100654</v>
      </c>
      <c r="C271" s="0" t="n">
        <v>1</v>
      </c>
      <c r="D271" s="0" t="inlineStr">
        <is>
          <t>에브라임리치빌</t>
        </is>
      </c>
      <c r="E271" s="0" t="inlineStr">
        <is>
          <t>2005.09.</t>
        </is>
      </c>
      <c r="F271" s="0" t="n">
        <v>48</v>
      </c>
      <c r="G271" s="0" t="n">
        <v>31.91</v>
      </c>
      <c r="H271" s="0" t="n">
        <v>105.51</v>
      </c>
      <c r="I271" s="0" t="n">
        <v>23.32</v>
      </c>
      <c r="J271" s="0" t="n">
        <v>77.11</v>
      </c>
      <c r="K271" s="0" t="n">
        <v>5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105</v>
      </c>
      <c r="X271" s="0" t="n">
        <v>7</v>
      </c>
      <c r="Y271" s="0" t="n">
        <v>7</v>
      </c>
      <c r="Z271" s="0" t="inlineStr">
        <is>
          <t>https://new.land.naver.com/complexes/100654?tab=detail&amp;rf=Y</t>
        </is>
      </c>
      <c r="AA271" s="0" t="inlineStr">
        <is>
          <t>충청북도 청주시 상당구 영운동 103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상당구</t>
        </is>
      </c>
      <c r="AE271" s="0" t="inlineStr">
        <is>
          <t>영운동</t>
        </is>
      </c>
      <c r="AG271" s="0" t="inlineStr">
        <is>
          <t>충청북도 청주시 상당구 수영로137번길 30</t>
        </is>
      </c>
      <c r="AH271" s="0" t="n">
        <v>0</v>
      </c>
      <c r="AI271" s="0" t="n">
        <v>170</v>
      </c>
      <c r="AJ271" s="0" t="n">
        <v>31</v>
      </c>
      <c r="AK271" s="0" t="n">
        <v>51</v>
      </c>
      <c r="AL271" s="0" t="n">
        <v>1.06</v>
      </c>
    </row>
    <row r="272">
      <c r="A272" s="0" t="inlineStr">
        <is>
          <t>[영운동]</t>
        </is>
      </c>
      <c r="B272" s="0" t="n">
        <v>100654</v>
      </c>
      <c r="C272" s="0" t="n">
        <v>2</v>
      </c>
      <c r="D272" s="0" t="inlineStr">
        <is>
          <t>에브라임리치빌</t>
        </is>
      </c>
      <c r="E272" s="0" t="inlineStr">
        <is>
          <t>2005.09.</t>
        </is>
      </c>
      <c r="F272" s="0" t="n">
        <v>48</v>
      </c>
      <c r="G272" s="0" t="n">
        <v>33.09</v>
      </c>
      <c r="H272" s="0" t="n">
        <v>109.39</v>
      </c>
      <c r="I272" s="0" t="n">
        <v>24.33</v>
      </c>
      <c r="J272" s="0" t="n">
        <v>80.45999999999999</v>
      </c>
      <c r="K272" s="0" t="n">
        <v>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109</v>
      </c>
      <c r="X272" s="0" t="n">
        <v>7</v>
      </c>
      <c r="Y272" s="0" t="n">
        <v>7</v>
      </c>
      <c r="Z272" s="0" t="inlineStr">
        <is>
          <t>https://new.land.naver.com/complexes/100654?tab=detail&amp;rf=Y</t>
        </is>
      </c>
      <c r="AA272" s="0" t="inlineStr">
        <is>
          <t>충청북도 청주시 상당구 영운동 103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상당구</t>
        </is>
      </c>
      <c r="AE272" s="0" t="inlineStr">
        <is>
          <t>영운동</t>
        </is>
      </c>
      <c r="AG272" s="0" t="inlineStr">
        <is>
          <t>충청북도 청주시 상당구 수영로137번길 30</t>
        </is>
      </c>
      <c r="AH272" s="0" t="n">
        <v>0</v>
      </c>
      <c r="AI272" s="0" t="n">
        <v>170</v>
      </c>
      <c r="AJ272" s="0" t="n">
        <v>31</v>
      </c>
      <c r="AK272" s="0" t="n">
        <v>51</v>
      </c>
      <c r="AL272" s="0" t="n">
        <v>1.06</v>
      </c>
    </row>
    <row r="273">
      <c r="A273" s="0" t="inlineStr">
        <is>
          <t>[영운동]</t>
        </is>
      </c>
      <c r="B273" s="0" t="n">
        <v>100654</v>
      </c>
      <c r="C273" s="0" t="n">
        <v>3</v>
      </c>
      <c r="D273" s="0" t="inlineStr">
        <is>
          <t>에브라임리치빌</t>
        </is>
      </c>
      <c r="E273" s="0" t="inlineStr">
        <is>
          <t>2005.09.</t>
        </is>
      </c>
      <c r="F273" s="0" t="n">
        <v>48</v>
      </c>
      <c r="G273" s="0" t="n">
        <v>35.2</v>
      </c>
      <c r="H273" s="0" t="n">
        <v>116.38</v>
      </c>
      <c r="I273" s="0" t="n">
        <v>25.67</v>
      </c>
      <c r="J273" s="0" t="n">
        <v>84.86</v>
      </c>
      <c r="K273" s="0" t="n">
        <v>36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116</v>
      </c>
      <c r="X273" s="0" t="n">
        <v>7</v>
      </c>
      <c r="Y273" s="0" t="n">
        <v>7</v>
      </c>
      <c r="Z273" s="0" t="inlineStr">
        <is>
          <t>https://new.land.naver.com/complexes/100654?tab=detail&amp;rf=Y</t>
        </is>
      </c>
      <c r="AA273" s="0" t="inlineStr">
        <is>
          <t>충청북도 청주시 상당구 영운동 103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상당구</t>
        </is>
      </c>
      <c r="AE273" s="0" t="inlineStr">
        <is>
          <t>영운동</t>
        </is>
      </c>
      <c r="AG273" s="0" t="inlineStr">
        <is>
          <t>충청북도 청주시 상당구 수영로137번길 30</t>
        </is>
      </c>
      <c r="AH273" s="0" t="n">
        <v>0</v>
      </c>
      <c r="AI273" s="0" t="n">
        <v>170</v>
      </c>
      <c r="AJ273" s="0" t="n">
        <v>31</v>
      </c>
      <c r="AK273" s="0" t="n">
        <v>51</v>
      </c>
      <c r="AL273" s="0" t="n">
        <v>1.06</v>
      </c>
    </row>
    <row r="274">
      <c r="A274" s="0" t="inlineStr">
        <is>
          <t>[영운동]</t>
        </is>
      </c>
      <c r="B274" s="0" t="n">
        <v>137025</v>
      </c>
      <c r="C274" s="0" t="n">
        <v>1</v>
      </c>
      <c r="D274" s="0" t="inlineStr">
        <is>
          <t>한일</t>
        </is>
      </c>
      <c r="E274" s="0" t="inlineStr">
        <is>
          <t>1987.08.</t>
        </is>
      </c>
      <c r="F274" s="0" t="n">
        <v>30</v>
      </c>
      <c r="G274" s="0" t="n">
        <v>21.61</v>
      </c>
      <c r="H274" s="0" t="n">
        <v>71.45999999999999</v>
      </c>
      <c r="I274" s="0" t="n">
        <v>19.65</v>
      </c>
      <c r="J274" s="0" t="n">
        <v>64.98</v>
      </c>
      <c r="K274" s="0" t="n">
        <v>30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71</v>
      </c>
      <c r="X274" s="0" t="n">
        <v>5</v>
      </c>
      <c r="Y274" s="0" t="n">
        <v>5</v>
      </c>
      <c r="Z274" s="0" t="inlineStr">
        <is>
          <t>https://new.land.naver.com/complexes/137025?tab=detail&amp;rf=Y</t>
        </is>
      </c>
      <c r="AA274" s="0" t="inlineStr">
        <is>
          <t>충청북도 청주시 상당구 영운동 212-5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상당구</t>
        </is>
      </c>
      <c r="AE274" s="0" t="inlineStr">
        <is>
          <t>영운동</t>
        </is>
      </c>
      <c r="AG274" s="0" t="inlineStr">
        <is>
          <t>충청북도 청주시 상당구 수영로110번길 9-2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[영운동]</t>
        </is>
      </c>
      <c r="B275" s="0" t="n">
        <v>105113</v>
      </c>
      <c r="C275" s="0" t="n">
        <v>1</v>
      </c>
      <c r="D275" s="0" t="inlineStr">
        <is>
          <t>성화누리안1차</t>
        </is>
      </c>
      <c r="E275" s="0" t="inlineStr">
        <is>
          <t>2008.04.</t>
        </is>
      </c>
      <c r="F275" s="0" t="n">
        <v>66</v>
      </c>
      <c r="G275" s="0" t="n">
        <v>31.88</v>
      </c>
      <c r="H275" s="0" t="n">
        <v>105.41</v>
      </c>
      <c r="I275" s="0" t="n">
        <v>25.66</v>
      </c>
      <c r="J275" s="0" t="n">
        <v>84.84</v>
      </c>
      <c r="K275" s="0" t="n">
        <v>17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15</v>
      </c>
      <c r="Y275" s="0" t="n">
        <v>8</v>
      </c>
      <c r="Z275" s="0" t="inlineStr">
        <is>
          <t>https://new.land.naver.com/complexes/105113?tab=detail&amp;rf=Y</t>
        </is>
      </c>
      <c r="AA275" s="0" t="inlineStr">
        <is>
          <t>충청북도 청주시 상당구 영운동 113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상당구</t>
        </is>
      </c>
      <c r="AE275" s="0" t="inlineStr">
        <is>
          <t>영운동</t>
        </is>
      </c>
      <c r="AG275" s="0" t="inlineStr">
        <is>
          <t>충청북도 청주시 상당구 단재로115번길 44-1</t>
        </is>
      </c>
      <c r="AH275" s="0" t="n">
        <v>0</v>
      </c>
      <c r="AI275" s="0" t="n">
        <v>197</v>
      </c>
      <c r="AJ275" s="0" t="n">
        <v>22</v>
      </c>
      <c r="AK275" s="0" t="n">
        <v>75</v>
      </c>
      <c r="AL275" s="0" t="n">
        <v>1.14</v>
      </c>
    </row>
    <row r="276">
      <c r="A276" s="0" t="inlineStr">
        <is>
          <t>[영운동]</t>
        </is>
      </c>
      <c r="B276" s="0" t="n">
        <v>105113</v>
      </c>
      <c r="C276" s="0" t="n">
        <v>2</v>
      </c>
      <c r="D276" s="0" t="inlineStr">
        <is>
          <t>성화누리안1차</t>
        </is>
      </c>
      <c r="E276" s="0" t="inlineStr">
        <is>
          <t>2008.04.</t>
        </is>
      </c>
      <c r="F276" s="0" t="n">
        <v>66</v>
      </c>
      <c r="G276" s="0" t="n">
        <v>33.57</v>
      </c>
      <c r="H276" s="0" t="n">
        <v>110.99</v>
      </c>
      <c r="I276" s="0" t="n">
        <v>25.7</v>
      </c>
      <c r="J276" s="0" t="n">
        <v>84.98</v>
      </c>
      <c r="K276" s="0" t="n">
        <v>27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110A</t>
        </is>
      </c>
      <c r="X276" s="0" t="n">
        <v>15</v>
      </c>
      <c r="Y276" s="0" t="n">
        <v>8</v>
      </c>
      <c r="Z276" s="0" t="inlineStr">
        <is>
          <t>https://new.land.naver.com/complexes/105113?tab=detail&amp;rf=Y</t>
        </is>
      </c>
      <c r="AA276" s="0" t="inlineStr">
        <is>
          <t>충청북도 청주시 상당구 영운동 113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상당구</t>
        </is>
      </c>
      <c r="AE276" s="0" t="inlineStr">
        <is>
          <t>영운동</t>
        </is>
      </c>
      <c r="AG276" s="0" t="inlineStr">
        <is>
          <t>충청북도 청주시 상당구 단재로115번길 44-1</t>
        </is>
      </c>
      <c r="AH276" s="0" t="n">
        <v>0</v>
      </c>
      <c r="AI276" s="0" t="n">
        <v>197</v>
      </c>
      <c r="AJ276" s="0" t="n">
        <v>22</v>
      </c>
      <c r="AK276" s="0" t="n">
        <v>75</v>
      </c>
      <c r="AL276" s="0" t="n">
        <v>1.14</v>
      </c>
    </row>
    <row r="277">
      <c r="A277" s="0" t="inlineStr">
        <is>
          <t>[영운동]</t>
        </is>
      </c>
      <c r="B277" s="0" t="n">
        <v>105113</v>
      </c>
      <c r="C277" s="0" t="n">
        <v>3</v>
      </c>
      <c r="D277" s="0" t="inlineStr">
        <is>
          <t>성화누리안1차</t>
        </is>
      </c>
      <c r="E277" s="0" t="inlineStr">
        <is>
          <t>2008.04.</t>
        </is>
      </c>
      <c r="F277" s="0" t="n">
        <v>66</v>
      </c>
      <c r="G277" s="0" t="n">
        <v>33.51</v>
      </c>
      <c r="H277" s="0" t="n">
        <v>110.78</v>
      </c>
      <c r="I277" s="0" t="n">
        <v>25.7</v>
      </c>
      <c r="J277" s="0" t="n">
        <v>84.97</v>
      </c>
      <c r="K277" s="0" t="n">
        <v>22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110B</t>
        </is>
      </c>
      <c r="X277" s="0" t="n">
        <v>15</v>
      </c>
      <c r="Y277" s="0" t="n">
        <v>8</v>
      </c>
      <c r="Z277" s="0" t="inlineStr">
        <is>
          <t>https://new.land.naver.com/complexes/105113?tab=detail&amp;rf=Y</t>
        </is>
      </c>
      <c r="AA277" s="0" t="inlineStr">
        <is>
          <t>충청북도 청주시 상당구 영운동 113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상당구</t>
        </is>
      </c>
      <c r="AE277" s="0" t="inlineStr">
        <is>
          <t>영운동</t>
        </is>
      </c>
      <c r="AG277" s="0" t="inlineStr">
        <is>
          <t>충청북도 청주시 상당구 단재로115번길 44-1</t>
        </is>
      </c>
      <c r="AH277" s="0" t="n">
        <v>0</v>
      </c>
      <c r="AI277" s="0" t="n">
        <v>197</v>
      </c>
      <c r="AJ277" s="0" t="n">
        <v>22</v>
      </c>
      <c r="AK277" s="0" t="n">
        <v>75</v>
      </c>
      <c r="AL277" s="0" t="n">
        <v>1.14</v>
      </c>
    </row>
    <row r="278">
      <c r="A278" s="0" t="inlineStr">
        <is>
          <t>[영운동]</t>
        </is>
      </c>
      <c r="B278" s="0" t="n">
        <v>105088</v>
      </c>
      <c r="C278" s="0" t="n">
        <v>1</v>
      </c>
      <c r="D278" s="0" t="inlineStr">
        <is>
          <t>형제</t>
        </is>
      </c>
      <c r="E278" s="0" t="inlineStr">
        <is>
          <t>1989.12.</t>
        </is>
      </c>
      <c r="F278" s="0" t="n">
        <v>60</v>
      </c>
      <c r="G278" s="0" t="n">
        <v>30.02</v>
      </c>
      <c r="H278" s="0" t="n">
        <v>99.26000000000001</v>
      </c>
      <c r="I278" s="0" t="n">
        <v>22.99</v>
      </c>
      <c r="J278" s="0" t="n">
        <v>76.02</v>
      </c>
      <c r="K278" s="0" t="n">
        <v>40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99</v>
      </c>
      <c r="X278" s="0" t="n">
        <v>5</v>
      </c>
      <c r="Y278" s="0" t="n">
        <v>5</v>
      </c>
      <c r="Z278" s="0" t="inlineStr">
        <is>
          <t>https://new.land.naver.com/complexes/105088?tab=detail&amp;rf=Y</t>
        </is>
      </c>
      <c r="AA278" s="0" t="inlineStr">
        <is>
          <t>충청북도 청주시 상당구 영운동 80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상당구</t>
        </is>
      </c>
      <c r="AE278" s="0" t="inlineStr">
        <is>
          <t>영운동</t>
        </is>
      </c>
      <c r="AG278" s="0" t="inlineStr">
        <is>
          <t>충청북도 청주시 상당구 영운천로 37</t>
        </is>
      </c>
      <c r="AH278" s="0" t="n">
        <v>0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[영운동]</t>
        </is>
      </c>
      <c r="B279" s="0" t="n">
        <v>105088</v>
      </c>
      <c r="C279" s="0" t="n">
        <v>2</v>
      </c>
      <c r="D279" s="0" t="inlineStr">
        <is>
          <t>형제</t>
        </is>
      </c>
      <c r="E279" s="0" t="inlineStr">
        <is>
          <t>1989.12.</t>
        </is>
      </c>
      <c r="F279" s="0" t="n">
        <v>60</v>
      </c>
      <c r="G279" s="0" t="n">
        <v>32.44</v>
      </c>
      <c r="H279" s="0" t="n">
        <v>107.24</v>
      </c>
      <c r="I279" s="0" t="n">
        <v>25.41</v>
      </c>
      <c r="J279" s="0" t="n">
        <v>84</v>
      </c>
      <c r="K279" s="0" t="n">
        <v>20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107</v>
      </c>
      <c r="X279" s="0" t="n">
        <v>5</v>
      </c>
      <c r="Y279" s="0" t="n">
        <v>5</v>
      </c>
      <c r="Z279" s="0" t="inlineStr">
        <is>
          <t>https://new.land.naver.com/complexes/105088?tab=detail&amp;rf=Y</t>
        </is>
      </c>
      <c r="AA279" s="0" t="inlineStr">
        <is>
          <t>충청북도 청주시 상당구 영운동 80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상당구</t>
        </is>
      </c>
      <c r="AE279" s="0" t="inlineStr">
        <is>
          <t>영운동</t>
        </is>
      </c>
      <c r="AG279" s="0" t="inlineStr">
        <is>
          <t>충청북도 청주시 상당구 영운천로 37</t>
        </is>
      </c>
      <c r="AH279" s="0" t="n">
        <v>0</v>
      </c>
      <c r="AI279" s="0" t="n">
        <v>0</v>
      </c>
      <c r="AJ279" s="0" t="n">
        <v>0</v>
      </c>
      <c r="AK279" s="0" t="n">
        <v>0</v>
      </c>
      <c r="AL279" s="0" t="n">
        <v>0</v>
      </c>
    </row>
    <row r="280">
      <c r="A280" s="0" t="inlineStr">
        <is>
          <t>[영운동]</t>
        </is>
      </c>
      <c r="B280" s="0" t="n">
        <v>102059</v>
      </c>
      <c r="C280" s="0" t="n">
        <v>1</v>
      </c>
      <c r="D280" s="0" t="inlineStr">
        <is>
          <t>영운두산하이츠타운(두산독신자)</t>
        </is>
      </c>
      <c r="E280" s="0" t="inlineStr">
        <is>
          <t>1992.06.</t>
        </is>
      </c>
      <c r="F280" s="0" t="n">
        <v>296</v>
      </c>
      <c r="G280" s="0" t="n">
        <v>10.59</v>
      </c>
      <c r="H280" s="0" t="n">
        <v>35.01</v>
      </c>
      <c r="I280" s="0" t="n">
        <v>6.93</v>
      </c>
      <c r="J280" s="0" t="n">
        <v>22.93</v>
      </c>
      <c r="K280" s="0" t="n">
        <v>296</v>
      </c>
      <c r="T280" s="0" t="n">
        <v>1</v>
      </c>
      <c r="U280" s="0" t="n">
        <v>1</v>
      </c>
      <c r="V280" s="0" t="inlineStr">
        <is>
          <t>계단식</t>
        </is>
      </c>
      <c r="W280" s="0" t="n">
        <v>35</v>
      </c>
      <c r="X280" s="0" t="n">
        <v>15</v>
      </c>
      <c r="Y280" s="0" t="n">
        <v>14</v>
      </c>
      <c r="Z280" s="0" t="inlineStr">
        <is>
          <t>https://new.land.naver.com/complexes/102059?tab=detail&amp;rf=Y</t>
        </is>
      </c>
      <c r="AA280" s="0" t="inlineStr">
        <is>
          <t>충청북도 청주시 상당구 영운동 135-19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상당구</t>
        </is>
      </c>
      <c r="AE280" s="0" t="inlineStr">
        <is>
          <t>영운동</t>
        </is>
      </c>
      <c r="AG280" s="0" t="inlineStr">
        <is>
          <t>충청북도 청주시 상당구 단재로95번길 40</t>
        </is>
      </c>
      <c r="AH280" s="0" t="n">
        <v>0</v>
      </c>
      <c r="AI280" s="0" t="n">
        <v>299</v>
      </c>
      <c r="AJ280" s="0" t="n">
        <v>24</v>
      </c>
      <c r="AK280" s="0" t="n">
        <v>49</v>
      </c>
      <c r="AL280" s="0" t="n">
        <v>0.17</v>
      </c>
    </row>
    <row r="281">
      <c r="A281" s="0" t="inlineStr">
        <is>
          <t>[영운동]</t>
        </is>
      </c>
      <c r="B281" s="0" t="n">
        <v>123869</v>
      </c>
      <c r="C281" s="0" t="n">
        <v>1</v>
      </c>
      <c r="D281" s="0" t="inlineStr">
        <is>
          <t>하늘채</t>
        </is>
      </c>
      <c r="E281" s="0" t="inlineStr">
        <is>
          <t>2006.09.</t>
        </is>
      </c>
      <c r="F281" s="0" t="n">
        <v>16</v>
      </c>
      <c r="G281" s="0" t="n">
        <v>20.71</v>
      </c>
      <c r="H281" s="0" t="n">
        <v>68.48999999999999</v>
      </c>
      <c r="I281" s="0" t="n">
        <v>17.07</v>
      </c>
      <c r="J281" s="0" t="n">
        <v>56.43</v>
      </c>
      <c r="K281" s="0" t="n">
        <v>1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68</v>
      </c>
      <c r="X281" s="0" t="n">
        <v>9</v>
      </c>
      <c r="Y281" s="0" t="n">
        <v>9</v>
      </c>
      <c r="Z281" s="0" t="inlineStr">
        <is>
          <t>https://new.land.naver.com/complexes/123869?tab=detail&amp;rf=Y</t>
        </is>
      </c>
      <c r="AA281" s="0" t="inlineStr">
        <is>
          <t>충청북도 청주시 상당구 영운동 104-2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상당구</t>
        </is>
      </c>
      <c r="AE281" s="0" t="inlineStr">
        <is>
          <t>영운동</t>
        </is>
      </c>
      <c r="AG281" s="0" t="inlineStr">
        <is>
          <t>충청북도 청주시 상당구 수영로129번길 17</t>
        </is>
      </c>
      <c r="AH281" s="0" t="n">
        <v>0</v>
      </c>
      <c r="AI281" s="0" t="n">
        <v>223</v>
      </c>
      <c r="AJ281" s="0" t="n">
        <v>39</v>
      </c>
      <c r="AK281" s="0" t="n">
        <v>16</v>
      </c>
      <c r="AL281" s="0" t="n">
        <v>1</v>
      </c>
    </row>
    <row r="282">
      <c r="A282" s="0" t="inlineStr">
        <is>
          <t>[영운동]</t>
        </is>
      </c>
      <c r="B282" s="0" t="n">
        <v>123869</v>
      </c>
      <c r="C282" s="0" t="n">
        <v>2</v>
      </c>
      <c r="D282" s="0" t="inlineStr">
        <is>
          <t>하늘채</t>
        </is>
      </c>
      <c r="E282" s="0" t="inlineStr">
        <is>
          <t>2006.09.</t>
        </is>
      </c>
      <c r="F282" s="0" t="n">
        <v>16</v>
      </c>
      <c r="G282" s="0" t="n">
        <v>21.81</v>
      </c>
      <c r="H282" s="0" t="n">
        <v>72.09999999999999</v>
      </c>
      <c r="I282" s="0" t="n">
        <v>17.97</v>
      </c>
      <c r="J282" s="0" t="n">
        <v>59.41</v>
      </c>
      <c r="K282" s="0" t="n">
        <v>1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72</v>
      </c>
      <c r="X282" s="0" t="n">
        <v>9</v>
      </c>
      <c r="Y282" s="0" t="n">
        <v>9</v>
      </c>
      <c r="Z282" s="0" t="inlineStr">
        <is>
          <t>https://new.land.naver.com/complexes/123869?tab=detail&amp;rf=Y</t>
        </is>
      </c>
      <c r="AA282" s="0" t="inlineStr">
        <is>
          <t>충청북도 청주시 상당구 영운동 104-2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상당구</t>
        </is>
      </c>
      <c r="AE282" s="0" t="inlineStr">
        <is>
          <t>영운동</t>
        </is>
      </c>
      <c r="AG282" s="0" t="inlineStr">
        <is>
          <t>충청북도 청주시 상당구 수영로129번길 17</t>
        </is>
      </c>
      <c r="AH282" s="0" t="n">
        <v>0</v>
      </c>
      <c r="AI282" s="0" t="n">
        <v>223</v>
      </c>
      <c r="AJ282" s="0" t="n">
        <v>39</v>
      </c>
      <c r="AK282" s="0" t="n">
        <v>16</v>
      </c>
      <c r="AL282" s="0" t="n">
        <v>1</v>
      </c>
    </row>
    <row r="283">
      <c r="A283" s="0" t="inlineStr">
        <is>
          <t>[영운동]</t>
        </is>
      </c>
      <c r="B283" s="0" t="n">
        <v>123869</v>
      </c>
      <c r="C283" s="0" t="n">
        <v>3</v>
      </c>
      <c r="D283" s="0" t="inlineStr">
        <is>
          <t>하늘채</t>
        </is>
      </c>
      <c r="E283" s="0" t="inlineStr">
        <is>
          <t>2006.09.</t>
        </is>
      </c>
      <c r="F283" s="0" t="n">
        <v>16</v>
      </c>
      <c r="G283" s="0" t="n">
        <v>29.47</v>
      </c>
      <c r="H283" s="0" t="n">
        <v>97.44</v>
      </c>
      <c r="I283" s="0" t="n">
        <v>24.28</v>
      </c>
      <c r="J283" s="0" t="n">
        <v>80.28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97</v>
      </c>
      <c r="X283" s="0" t="n">
        <v>9</v>
      </c>
      <c r="Y283" s="0" t="n">
        <v>9</v>
      </c>
      <c r="Z283" s="0" t="inlineStr">
        <is>
          <t>https://new.land.naver.com/complexes/123869?tab=detail&amp;rf=Y</t>
        </is>
      </c>
      <c r="AA283" s="0" t="inlineStr">
        <is>
          <t>충청북도 청주시 상당구 영운동 104-2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상당구</t>
        </is>
      </c>
      <c r="AE283" s="0" t="inlineStr">
        <is>
          <t>영운동</t>
        </is>
      </c>
      <c r="AG283" s="0" t="inlineStr">
        <is>
          <t>충청북도 청주시 상당구 수영로129번길 17</t>
        </is>
      </c>
      <c r="AH283" s="0" t="n">
        <v>0</v>
      </c>
      <c r="AI283" s="0" t="n">
        <v>223</v>
      </c>
      <c r="AJ283" s="0" t="n">
        <v>39</v>
      </c>
      <c r="AK283" s="0" t="n">
        <v>16</v>
      </c>
      <c r="AL283" s="0" t="n">
        <v>1</v>
      </c>
    </row>
    <row r="284">
      <c r="A284" s="0" t="inlineStr">
        <is>
          <t>[영운동]</t>
        </is>
      </c>
      <c r="B284" s="0" t="n">
        <v>123869</v>
      </c>
      <c r="C284" s="0" t="n">
        <v>4</v>
      </c>
      <c r="D284" s="0" t="inlineStr">
        <is>
          <t>하늘채</t>
        </is>
      </c>
      <c r="E284" s="0" t="inlineStr">
        <is>
          <t>2006.09.</t>
        </is>
      </c>
      <c r="F284" s="0" t="n">
        <v>16</v>
      </c>
      <c r="G284" s="0" t="n">
        <v>31.11</v>
      </c>
      <c r="H284" s="0" t="n">
        <v>102.87</v>
      </c>
      <c r="I284" s="0" t="n">
        <v>25.63</v>
      </c>
      <c r="J284" s="0" t="n">
        <v>84.76000000000001</v>
      </c>
      <c r="K284" s="0" t="n">
        <v>6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102A</t>
        </is>
      </c>
      <c r="X284" s="0" t="n">
        <v>9</v>
      </c>
      <c r="Y284" s="0" t="n">
        <v>9</v>
      </c>
      <c r="Z284" s="0" t="inlineStr">
        <is>
          <t>https://new.land.naver.com/complexes/123869?tab=detail&amp;rf=Y</t>
        </is>
      </c>
      <c r="AA284" s="0" t="inlineStr">
        <is>
          <t>충청북도 청주시 상당구 영운동 104-2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상당구</t>
        </is>
      </c>
      <c r="AE284" s="0" t="inlineStr">
        <is>
          <t>영운동</t>
        </is>
      </c>
      <c r="AG284" s="0" t="inlineStr">
        <is>
          <t>충청북도 청주시 상당구 수영로129번길 17</t>
        </is>
      </c>
      <c r="AH284" s="0" t="n">
        <v>0</v>
      </c>
      <c r="AI284" s="0" t="n">
        <v>223</v>
      </c>
      <c r="AJ284" s="0" t="n">
        <v>39</v>
      </c>
      <c r="AK284" s="0" t="n">
        <v>16</v>
      </c>
      <c r="AL284" s="0" t="n">
        <v>1</v>
      </c>
    </row>
    <row r="285">
      <c r="A285" s="0" t="inlineStr">
        <is>
          <t>[영운동]</t>
        </is>
      </c>
      <c r="B285" s="0" t="n">
        <v>123869</v>
      </c>
      <c r="C285" s="0" t="n">
        <v>5</v>
      </c>
      <c r="D285" s="0" t="inlineStr">
        <is>
          <t>하늘채</t>
        </is>
      </c>
      <c r="E285" s="0" t="inlineStr">
        <is>
          <t>2006.09.</t>
        </is>
      </c>
      <c r="F285" s="0" t="n">
        <v>16</v>
      </c>
      <c r="G285" s="0" t="n">
        <v>31.12</v>
      </c>
      <c r="H285" s="0" t="n">
        <v>102.9</v>
      </c>
      <c r="I285" s="0" t="n">
        <v>25.64</v>
      </c>
      <c r="J285" s="0" t="n">
        <v>84.78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102B</t>
        </is>
      </c>
      <c r="X285" s="0" t="n">
        <v>9</v>
      </c>
      <c r="Y285" s="0" t="n">
        <v>9</v>
      </c>
      <c r="Z285" s="0" t="inlineStr">
        <is>
          <t>https://new.land.naver.com/complexes/123869?tab=detail&amp;rf=Y</t>
        </is>
      </c>
      <c r="AA285" s="0" t="inlineStr">
        <is>
          <t>충청북도 청주시 상당구 영운동 104-2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상당구</t>
        </is>
      </c>
      <c r="AE285" s="0" t="inlineStr">
        <is>
          <t>영운동</t>
        </is>
      </c>
      <c r="AG285" s="0" t="inlineStr">
        <is>
          <t>충청북도 청주시 상당구 수영로129번길 17</t>
        </is>
      </c>
      <c r="AH285" s="0" t="n">
        <v>0</v>
      </c>
      <c r="AI285" s="0" t="n">
        <v>223</v>
      </c>
      <c r="AJ285" s="0" t="n">
        <v>39</v>
      </c>
      <c r="AK285" s="0" t="n">
        <v>16</v>
      </c>
      <c r="AL285" s="0" t="n">
        <v>1</v>
      </c>
    </row>
    <row r="286">
      <c r="A286" s="0" t="inlineStr">
        <is>
          <t>[영운동]</t>
        </is>
      </c>
      <c r="B286" s="0" t="n">
        <v>123869</v>
      </c>
      <c r="C286" s="0" t="n">
        <v>6</v>
      </c>
      <c r="D286" s="0" t="inlineStr">
        <is>
          <t>하늘채</t>
        </is>
      </c>
      <c r="E286" s="0" t="inlineStr">
        <is>
          <t>2006.09.</t>
        </is>
      </c>
      <c r="F286" s="0" t="n">
        <v>16</v>
      </c>
      <c r="G286" s="0" t="n">
        <v>31.16</v>
      </c>
      <c r="H286" s="0" t="n">
        <v>103.03</v>
      </c>
      <c r="I286" s="0" t="n">
        <v>25.67</v>
      </c>
      <c r="J286" s="0" t="n">
        <v>84.89</v>
      </c>
      <c r="K286" s="0" t="n">
        <v>1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103C</t>
        </is>
      </c>
      <c r="X286" s="0" t="n">
        <v>9</v>
      </c>
      <c r="Y286" s="0" t="n">
        <v>9</v>
      </c>
      <c r="Z286" s="0" t="inlineStr">
        <is>
          <t>https://new.land.naver.com/complexes/123869?tab=detail&amp;rf=Y</t>
        </is>
      </c>
      <c r="AA286" s="0" t="inlineStr">
        <is>
          <t>충청북도 청주시 상당구 영운동 104-2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상당구</t>
        </is>
      </c>
      <c r="AE286" s="0" t="inlineStr">
        <is>
          <t>영운동</t>
        </is>
      </c>
      <c r="AG286" s="0" t="inlineStr">
        <is>
          <t>충청북도 청주시 상당구 수영로129번길 17</t>
        </is>
      </c>
      <c r="AH286" s="0" t="n">
        <v>0</v>
      </c>
      <c r="AI286" s="0" t="n">
        <v>223</v>
      </c>
      <c r="AJ286" s="0" t="n">
        <v>39</v>
      </c>
      <c r="AK286" s="0" t="n">
        <v>16</v>
      </c>
      <c r="AL286" s="0" t="n">
        <v>1</v>
      </c>
    </row>
    <row r="287">
      <c r="A287" s="0" t="inlineStr">
        <is>
          <t>[영운동]</t>
        </is>
      </c>
      <c r="B287" s="0" t="n">
        <v>143158</v>
      </c>
      <c r="C287" s="0" t="n">
        <v>1</v>
      </c>
      <c r="D287" s="0" t="inlineStr">
        <is>
          <t>천수빌</t>
        </is>
      </c>
      <c r="E287" s="0" t="inlineStr">
        <is>
          <t>2008.10.</t>
        </is>
      </c>
      <c r="F287" s="0" t="n">
        <v>12</v>
      </c>
      <c r="G287" s="0" t="n">
        <v>34.69</v>
      </c>
      <c r="H287" s="0" t="n">
        <v>114.71</v>
      </c>
      <c r="I287" s="0" t="n">
        <v>30.04</v>
      </c>
      <c r="J287" s="0" t="n">
        <v>99.33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114A</t>
        </is>
      </c>
      <c r="X287" s="0" t="n">
        <v>4</v>
      </c>
      <c r="Y287" s="0" t="n">
        <v>4</v>
      </c>
      <c r="Z287" s="0" t="inlineStr">
        <is>
          <t>https://new.land.naver.com/complexes/143158?tab=detail&amp;rf=Y</t>
        </is>
      </c>
      <c r="AA287" s="0" t="inlineStr">
        <is>
          <t>충청북도 청주시 상당구 영운동 181-4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상당구</t>
        </is>
      </c>
      <c r="AE287" s="0" t="inlineStr">
        <is>
          <t>영운동</t>
        </is>
      </c>
      <c r="AG287" s="0" t="inlineStr">
        <is>
          <t>충청북도 청주시 상당구 무심동로 120</t>
        </is>
      </c>
      <c r="AH287" s="0" t="n">
        <v>0</v>
      </c>
      <c r="AI287" s="0" t="n">
        <v>123</v>
      </c>
      <c r="AJ287" s="0" t="n">
        <v>38</v>
      </c>
      <c r="AK287" s="0" t="n">
        <v>22</v>
      </c>
      <c r="AL287" s="0" t="n">
        <v>1.83</v>
      </c>
    </row>
    <row r="288">
      <c r="A288" s="0" t="inlineStr">
        <is>
          <t>[영운동]</t>
        </is>
      </c>
      <c r="B288" s="0" t="n">
        <v>143158</v>
      </c>
      <c r="C288" s="0" t="n">
        <v>2</v>
      </c>
      <c r="D288" s="0" t="inlineStr">
        <is>
          <t>천수빌</t>
        </is>
      </c>
      <c r="E288" s="0" t="inlineStr">
        <is>
          <t>2008.10.</t>
        </is>
      </c>
      <c r="F288" s="0" t="n">
        <v>12</v>
      </c>
      <c r="G288" s="0" t="n">
        <v>35.2</v>
      </c>
      <c r="H288" s="0" t="n">
        <v>116.39</v>
      </c>
      <c r="I288" s="0" t="n">
        <v>30.56</v>
      </c>
      <c r="J288" s="0" t="n">
        <v>101.04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116B</t>
        </is>
      </c>
      <c r="X288" s="0" t="n">
        <v>4</v>
      </c>
      <c r="Y288" s="0" t="n">
        <v>4</v>
      </c>
      <c r="Z288" s="0" t="inlineStr">
        <is>
          <t>https://new.land.naver.com/complexes/143158?tab=detail&amp;rf=Y</t>
        </is>
      </c>
      <c r="AA288" s="0" t="inlineStr">
        <is>
          <t>충청북도 청주시 상당구 영운동 181-4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상당구</t>
        </is>
      </c>
      <c r="AE288" s="0" t="inlineStr">
        <is>
          <t>영운동</t>
        </is>
      </c>
      <c r="AG288" s="0" t="inlineStr">
        <is>
          <t>충청북도 청주시 상당구 무심동로 120</t>
        </is>
      </c>
      <c r="AH288" s="0" t="n">
        <v>0</v>
      </c>
      <c r="AI288" s="0" t="n">
        <v>123</v>
      </c>
      <c r="AJ288" s="0" t="n">
        <v>38</v>
      </c>
      <c r="AK288" s="0" t="n">
        <v>22</v>
      </c>
      <c r="AL288" s="0" t="n">
        <v>1.83</v>
      </c>
    </row>
    <row r="289">
      <c r="A289" s="0" t="inlineStr">
        <is>
          <t>[영운동]</t>
        </is>
      </c>
      <c r="B289" s="0" t="n">
        <v>143158</v>
      </c>
      <c r="C289" s="0" t="n">
        <v>3</v>
      </c>
      <c r="D289" s="0" t="inlineStr">
        <is>
          <t>천수빌</t>
        </is>
      </c>
      <c r="E289" s="0" t="inlineStr">
        <is>
          <t>2008.10.</t>
        </is>
      </c>
      <c r="F289" s="0" t="n">
        <v>12</v>
      </c>
      <c r="G289" s="0" t="n">
        <v>35.17</v>
      </c>
      <c r="H289" s="0" t="n">
        <v>116.29</v>
      </c>
      <c r="I289" s="0" t="n">
        <v>30.62</v>
      </c>
      <c r="J289" s="0" t="n">
        <v>101.25</v>
      </c>
      <c r="K289" s="0" t="n">
        <v>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116C</t>
        </is>
      </c>
      <c r="X289" s="0" t="n">
        <v>4</v>
      </c>
      <c r="Y289" s="0" t="n">
        <v>4</v>
      </c>
      <c r="Z289" s="0" t="inlineStr">
        <is>
          <t>https://new.land.naver.com/complexes/143158?tab=detail&amp;rf=Y</t>
        </is>
      </c>
      <c r="AA289" s="0" t="inlineStr">
        <is>
          <t>충청북도 청주시 상당구 영운동 181-4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상당구</t>
        </is>
      </c>
      <c r="AE289" s="0" t="inlineStr">
        <is>
          <t>영운동</t>
        </is>
      </c>
      <c r="AG289" s="0" t="inlineStr">
        <is>
          <t>충청북도 청주시 상당구 무심동로 120</t>
        </is>
      </c>
      <c r="AH289" s="0" t="n">
        <v>0</v>
      </c>
      <c r="AI289" s="0" t="n">
        <v>123</v>
      </c>
      <c r="AJ289" s="0" t="n">
        <v>38</v>
      </c>
      <c r="AK289" s="0" t="n">
        <v>22</v>
      </c>
      <c r="AL289" s="0" t="n">
        <v>1.83</v>
      </c>
    </row>
    <row r="290">
      <c r="A290" s="0" t="inlineStr">
        <is>
          <t>[영운동]</t>
        </is>
      </c>
      <c r="B290" s="0" t="n">
        <v>143158</v>
      </c>
      <c r="C290" s="0" t="n">
        <v>4</v>
      </c>
      <c r="D290" s="0" t="inlineStr">
        <is>
          <t>천수빌</t>
        </is>
      </c>
      <c r="E290" s="0" t="inlineStr">
        <is>
          <t>2008.10.</t>
        </is>
      </c>
      <c r="F290" s="0" t="n">
        <v>12</v>
      </c>
      <c r="G290" s="0" t="n">
        <v>38.07</v>
      </c>
      <c r="H290" s="0" t="n">
        <v>125.86</v>
      </c>
      <c r="I290" s="0" t="n">
        <v>33.21</v>
      </c>
      <c r="J290" s="0" t="n">
        <v>109.79</v>
      </c>
      <c r="K290" s="0" t="n">
        <v>3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125</v>
      </c>
      <c r="X290" s="0" t="n">
        <v>4</v>
      </c>
      <c r="Y290" s="0" t="n">
        <v>4</v>
      </c>
      <c r="Z290" s="0" t="inlineStr">
        <is>
          <t>https://new.land.naver.com/complexes/143158?tab=detail&amp;rf=Y</t>
        </is>
      </c>
      <c r="AA290" s="0" t="inlineStr">
        <is>
          <t>충청북도 청주시 상당구 영운동 181-4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상당구</t>
        </is>
      </c>
      <c r="AE290" s="0" t="inlineStr">
        <is>
          <t>영운동</t>
        </is>
      </c>
      <c r="AG290" s="0" t="inlineStr">
        <is>
          <t>충청북도 청주시 상당구 무심동로 120</t>
        </is>
      </c>
      <c r="AH290" s="0" t="n">
        <v>0</v>
      </c>
      <c r="AI290" s="0" t="n">
        <v>123</v>
      </c>
      <c r="AJ290" s="0" t="n">
        <v>38</v>
      </c>
      <c r="AK290" s="0" t="n">
        <v>22</v>
      </c>
      <c r="AL290" s="0" t="n">
        <v>1.83</v>
      </c>
    </row>
    <row r="291">
      <c r="A291" s="0" t="inlineStr">
        <is>
          <t>[용담동]</t>
        </is>
      </c>
      <c r="B291" s="0" t="n">
        <v>12782</v>
      </c>
      <c r="C291" s="0" t="n">
        <v>1</v>
      </c>
      <c r="D291" s="0" t="inlineStr">
        <is>
          <t>진양</t>
        </is>
      </c>
      <c r="E291" s="0" t="inlineStr">
        <is>
          <t>1985.12.</t>
        </is>
      </c>
      <c r="F291" s="0" t="n">
        <v>90</v>
      </c>
      <c r="G291" s="0" t="n">
        <v>20.08</v>
      </c>
      <c r="H291" s="0" t="n">
        <v>66.39</v>
      </c>
      <c r="I291" s="0" t="n">
        <v>18.18</v>
      </c>
      <c r="J291" s="0" t="n">
        <v>60.12</v>
      </c>
      <c r="K291" s="0" t="n">
        <v>25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https://new.land.naver.com/complexes/12782?tab=detail&amp;rf=Y</t>
        </is>
      </c>
      <c r="AA291" s="0" t="inlineStr">
        <is>
          <t>충청북도 청주시 상당구 용담동 156-18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상당구</t>
        </is>
      </c>
      <c r="AE291" s="0" t="inlineStr">
        <is>
          <t>용담동</t>
        </is>
      </c>
      <c r="AG291" s="0" t="inlineStr">
        <is>
          <t>충청북도 청주시 상당구 교동로 127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[용담동]</t>
        </is>
      </c>
      <c r="B292" s="0" t="n">
        <v>12782</v>
      </c>
      <c r="C292" s="0" t="n">
        <v>2</v>
      </c>
      <c r="D292" s="0" t="inlineStr">
        <is>
          <t>진양</t>
        </is>
      </c>
      <c r="E292" s="0" t="inlineStr">
        <is>
          <t>1985.12.</t>
        </is>
      </c>
      <c r="F292" s="0" t="n">
        <v>90</v>
      </c>
      <c r="G292" s="0" t="n">
        <v>21.74</v>
      </c>
      <c r="H292" s="0" t="n">
        <v>71.88</v>
      </c>
      <c r="I292" s="0" t="n">
        <v>19.84</v>
      </c>
      <c r="J292" s="0" t="n">
        <v>65.61</v>
      </c>
      <c r="K292" s="0" t="n">
        <v>65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71</v>
      </c>
      <c r="X292" s="0" t="n">
        <v>5</v>
      </c>
      <c r="Y292" s="0" t="n">
        <v>5</v>
      </c>
      <c r="Z292" s="0" t="inlineStr">
        <is>
          <t>https://new.land.naver.com/complexes/12782?tab=detail&amp;rf=Y</t>
        </is>
      </c>
      <c r="AA292" s="0" t="inlineStr">
        <is>
          <t>충청북도 청주시 상당구 용담동 156-18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상당구</t>
        </is>
      </c>
      <c r="AE292" s="0" t="inlineStr">
        <is>
          <t>용담동</t>
        </is>
      </c>
      <c r="AG292" s="0" t="inlineStr">
        <is>
          <t>충청북도 청주시 상당구 교동로 127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[용담동]</t>
        </is>
      </c>
      <c r="B293" s="0" t="n">
        <v>100984</v>
      </c>
      <c r="C293" s="0" t="n">
        <v>1</v>
      </c>
      <c r="D293" s="0" t="inlineStr">
        <is>
          <t>가좌마을5단지부영</t>
        </is>
      </c>
      <c r="E293" s="0" t="inlineStr">
        <is>
          <t>2004.06.</t>
        </is>
      </c>
      <c r="F293" s="0" t="n">
        <v>437</v>
      </c>
      <c r="G293" s="0" t="n">
        <v>34.37</v>
      </c>
      <c r="H293" s="0" t="n">
        <v>113.63</v>
      </c>
      <c r="I293" s="0" t="n">
        <v>25.7</v>
      </c>
      <c r="J293" s="0" t="n">
        <v>84.98999999999999</v>
      </c>
      <c r="K293" s="0" t="n">
        <v>437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113</v>
      </c>
      <c r="X293" s="0" t="n">
        <v>15</v>
      </c>
      <c r="Y293" s="0" t="n">
        <v>9</v>
      </c>
      <c r="Z293" s="0" t="inlineStr">
        <is>
          <t>https://new.land.naver.com/complexes/100984?tab=detail&amp;rf=Y</t>
        </is>
      </c>
      <c r="AA293" s="0" t="inlineStr">
        <is>
          <t>충청북도 청주시 상당구 용담동 418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상당구</t>
        </is>
      </c>
      <c r="AE293" s="0" t="inlineStr">
        <is>
          <t>용담동</t>
        </is>
      </c>
      <c r="AG293" s="0" t="inlineStr">
        <is>
          <t>충청북도 청주시 상당구 산성로116번길 23</t>
        </is>
      </c>
      <c r="AH293" s="0" t="n">
        <v>0</v>
      </c>
      <c r="AI293" s="0" t="n">
        <v>219</v>
      </c>
      <c r="AJ293" s="0" t="n">
        <v>18</v>
      </c>
      <c r="AK293" s="0" t="n">
        <v>499</v>
      </c>
      <c r="AL293" s="0" t="n">
        <v>1.14</v>
      </c>
    </row>
    <row r="294">
      <c r="A294" s="0" t="inlineStr">
        <is>
          <t>[용담동]</t>
        </is>
      </c>
      <c r="B294" s="0" t="n">
        <v>25799</v>
      </c>
      <c r="C294" s="0" t="n">
        <v>1</v>
      </c>
      <c r="D294" s="0" t="inlineStr">
        <is>
          <t>가좌마을용담세영첼시빌</t>
        </is>
      </c>
      <c r="E294" s="0" t="inlineStr">
        <is>
          <t>2005.01.</t>
        </is>
      </c>
      <c r="F294" s="0" t="n">
        <v>568</v>
      </c>
      <c r="G294" s="0" t="n">
        <v>36.12</v>
      </c>
      <c r="H294" s="0" t="n">
        <v>119.43</v>
      </c>
      <c r="I294" s="0" t="n">
        <v>25.7</v>
      </c>
      <c r="J294" s="0" t="n">
        <v>84.98999999999999</v>
      </c>
      <c r="K294" s="0" t="n">
        <v>388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119</v>
      </c>
      <c r="X294" s="0" t="n">
        <v>15</v>
      </c>
      <c r="Y294" s="0" t="n">
        <v>12</v>
      </c>
      <c r="Z294" s="0" t="inlineStr">
        <is>
          <t>https://new.land.naver.com/complexes/25799?tab=detail&amp;rf=Y</t>
        </is>
      </c>
      <c r="AA294" s="0" t="inlineStr">
        <is>
          <t>충청북도 청주시 상당구 용담동 421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상당구</t>
        </is>
      </c>
      <c r="AE294" s="0" t="inlineStr">
        <is>
          <t>용담동</t>
        </is>
      </c>
      <c r="AG294" s="0" t="inlineStr">
        <is>
          <t>충청북도 청주시 상당구 수영로 315</t>
        </is>
      </c>
      <c r="AH294" s="0" t="n">
        <v>0</v>
      </c>
      <c r="AI294" s="0" t="n">
        <v>213</v>
      </c>
      <c r="AJ294" s="0" t="n">
        <v>20</v>
      </c>
      <c r="AK294" s="0" t="n">
        <v>701</v>
      </c>
      <c r="AL294" s="0" t="n">
        <v>1.23</v>
      </c>
    </row>
    <row r="295">
      <c r="A295" s="0" t="inlineStr">
        <is>
          <t>[용담동]</t>
        </is>
      </c>
      <c r="B295" s="0" t="n">
        <v>25799</v>
      </c>
      <c r="C295" s="0" t="n">
        <v>2</v>
      </c>
      <c r="D295" s="0" t="inlineStr">
        <is>
          <t>가좌마을용담세영첼시빌</t>
        </is>
      </c>
      <c r="E295" s="0" t="inlineStr">
        <is>
          <t>2005.01.</t>
        </is>
      </c>
      <c r="F295" s="0" t="n">
        <v>568</v>
      </c>
      <c r="G295" s="0" t="n">
        <v>47.18</v>
      </c>
      <c r="H295" s="0" t="n">
        <v>155.99</v>
      </c>
      <c r="I295" s="0" t="n">
        <v>39.72</v>
      </c>
      <c r="J295" s="0" t="n">
        <v>131.33</v>
      </c>
      <c r="K295" s="0" t="n">
        <v>120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155</v>
      </c>
      <c r="X295" s="0" t="n">
        <v>15</v>
      </c>
      <c r="Y295" s="0" t="n">
        <v>12</v>
      </c>
      <c r="Z295" s="0" t="inlineStr">
        <is>
          <t>https://new.land.naver.com/complexes/25799?tab=detail&amp;rf=Y</t>
        </is>
      </c>
      <c r="AA295" s="0" t="inlineStr">
        <is>
          <t>충청북도 청주시 상당구 용담동 421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상당구</t>
        </is>
      </c>
      <c r="AE295" s="0" t="inlineStr">
        <is>
          <t>용담동</t>
        </is>
      </c>
      <c r="AG295" s="0" t="inlineStr">
        <is>
          <t>충청북도 청주시 상당구 수영로 315</t>
        </is>
      </c>
      <c r="AH295" s="0" t="n">
        <v>0</v>
      </c>
      <c r="AI295" s="0" t="n">
        <v>213</v>
      </c>
      <c r="AJ295" s="0" t="n">
        <v>20</v>
      </c>
      <c r="AK295" s="0" t="n">
        <v>701</v>
      </c>
      <c r="AL295" s="0" t="n">
        <v>1.23</v>
      </c>
    </row>
    <row r="296">
      <c r="A296" s="0" t="inlineStr">
        <is>
          <t>[용담동]</t>
        </is>
      </c>
      <c r="B296" s="0" t="n">
        <v>25799</v>
      </c>
      <c r="C296" s="0" t="n">
        <v>3</v>
      </c>
      <c r="D296" s="0" t="inlineStr">
        <is>
          <t>가좌마을용담세영첼시빌</t>
        </is>
      </c>
      <c r="E296" s="0" t="inlineStr">
        <is>
          <t>2005.01.</t>
        </is>
      </c>
      <c r="F296" s="0" t="n">
        <v>568</v>
      </c>
      <c r="G296" s="0" t="n">
        <v>55.82</v>
      </c>
      <c r="H296" s="0" t="n">
        <v>184.54</v>
      </c>
      <c r="I296" s="0" t="n">
        <v>47.5</v>
      </c>
      <c r="J296" s="0" t="n">
        <v>157.04</v>
      </c>
      <c r="K296" s="0" t="n">
        <v>60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184</v>
      </c>
      <c r="X296" s="0" t="n">
        <v>15</v>
      </c>
      <c r="Y296" s="0" t="n">
        <v>12</v>
      </c>
      <c r="Z296" s="0" t="inlineStr">
        <is>
          <t>https://new.land.naver.com/complexes/25799?tab=detail&amp;rf=Y</t>
        </is>
      </c>
      <c r="AA296" s="0" t="inlineStr">
        <is>
          <t>충청북도 청주시 상당구 용담동 421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상당구</t>
        </is>
      </c>
      <c r="AE296" s="0" t="inlineStr">
        <is>
          <t>용담동</t>
        </is>
      </c>
      <c r="AG296" s="0" t="inlineStr">
        <is>
          <t>충청북도 청주시 상당구 수영로 315</t>
        </is>
      </c>
      <c r="AH296" s="0" t="n">
        <v>0</v>
      </c>
      <c r="AI296" s="0" t="n">
        <v>213</v>
      </c>
      <c r="AJ296" s="0" t="n">
        <v>20</v>
      </c>
      <c r="AK296" s="0" t="n">
        <v>701</v>
      </c>
      <c r="AL296" s="0" t="n">
        <v>1.23</v>
      </c>
    </row>
    <row r="297">
      <c r="A297" s="0" t="inlineStr">
        <is>
          <t>[용담동]</t>
        </is>
      </c>
      <c r="B297" s="0" t="n">
        <v>13463</v>
      </c>
      <c r="C297" s="0" t="n">
        <v>1</v>
      </c>
      <c r="D297" s="0" t="inlineStr">
        <is>
          <t>가좌마을부영그린타운1차</t>
        </is>
      </c>
      <c r="E297" s="0" t="inlineStr">
        <is>
          <t>2003.07.</t>
        </is>
      </c>
      <c r="F297" s="0" t="n">
        <v>380</v>
      </c>
      <c r="G297" s="0" t="n">
        <v>32.07</v>
      </c>
      <c r="H297" s="0" t="n">
        <v>106.03</v>
      </c>
      <c r="I297" s="0" t="n">
        <v>25.7</v>
      </c>
      <c r="J297" s="0" t="n">
        <v>84.98999999999999</v>
      </c>
      <c r="K297" s="0" t="n">
        <v>380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106</v>
      </c>
      <c r="X297" s="0" t="n">
        <v>15</v>
      </c>
      <c r="Y297" s="0" t="n">
        <v>13</v>
      </c>
      <c r="Z297" s="0" t="inlineStr">
        <is>
          <t>https://new.land.naver.com/complexes/13463?tab=detail&amp;rf=Y</t>
        </is>
      </c>
      <c r="AA297" s="0" t="inlineStr">
        <is>
          <t>충청북도 청주시 상당구 용담동 423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상당구</t>
        </is>
      </c>
      <c r="AE297" s="0" t="inlineStr">
        <is>
          <t>용담동</t>
        </is>
      </c>
      <c r="AG297" s="0" t="inlineStr">
        <is>
          <t>충청북도 청주시 상당구 호미로 317</t>
        </is>
      </c>
      <c r="AH297" s="0" t="n">
        <v>0</v>
      </c>
      <c r="AI297" s="0" t="n">
        <v>209</v>
      </c>
      <c r="AJ297" s="0" t="n">
        <v>18</v>
      </c>
      <c r="AK297" s="0" t="n">
        <v>434</v>
      </c>
      <c r="AL297" s="0" t="n">
        <v>1.14</v>
      </c>
    </row>
    <row r="298">
      <c r="A298" s="0" t="inlineStr">
        <is>
          <t>[용담동]</t>
        </is>
      </c>
      <c r="B298" s="0" t="n">
        <v>118495</v>
      </c>
      <c r="C298" s="0" t="n">
        <v>1</v>
      </c>
      <c r="D298" s="0" t="inlineStr">
        <is>
          <t>용담선광로즈웰</t>
        </is>
      </c>
      <c r="E298" s="0" t="inlineStr">
        <is>
          <t>2012.05.</t>
        </is>
      </c>
      <c r="F298" s="0" t="n">
        <v>79</v>
      </c>
      <c r="G298" s="0" t="n">
        <v>22</v>
      </c>
      <c r="H298" s="0" t="n">
        <v>72.75</v>
      </c>
      <c r="I298" s="0" t="n">
        <v>16.2</v>
      </c>
      <c r="J298" s="0" t="n">
        <v>53.57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72</v>
      </c>
      <c r="X298" s="0" t="n">
        <v>4</v>
      </c>
      <c r="Y298" s="0" t="n">
        <v>3</v>
      </c>
      <c r="Z298" s="0" t="inlineStr">
        <is>
          <t>https://new.land.naver.com/complexes/118495?tab=detail&amp;rf=Y</t>
        </is>
      </c>
      <c r="AA298" s="0" t="inlineStr">
        <is>
          <t>충청북도 청주시 상당구 용담동 87-1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상당구</t>
        </is>
      </c>
      <c r="AE298" s="0" t="inlineStr">
        <is>
          <t>용담동</t>
        </is>
      </c>
      <c r="AG298" s="0" t="inlineStr">
        <is>
          <t>충청북도 청주시 상당구 명암로 7-36</t>
        </is>
      </c>
      <c r="AH298" s="0" t="n">
        <v>0</v>
      </c>
      <c r="AI298" s="0" t="n">
        <v>78</v>
      </c>
      <c r="AJ298" s="0" t="n">
        <v>27</v>
      </c>
      <c r="AK298" s="0" t="n">
        <v>79</v>
      </c>
      <c r="AL298" s="0" t="n">
        <v>1</v>
      </c>
    </row>
    <row r="299">
      <c r="A299" s="0" t="inlineStr">
        <is>
          <t>[용담동]</t>
        </is>
      </c>
      <c r="B299" s="0" t="n">
        <v>118495</v>
      </c>
      <c r="C299" s="0" t="n">
        <v>2</v>
      </c>
      <c r="D299" s="0" t="inlineStr">
        <is>
          <t>용담선광로즈웰</t>
        </is>
      </c>
      <c r="E299" s="0" t="inlineStr">
        <is>
          <t>2012.05.</t>
        </is>
      </c>
      <c r="F299" s="0" t="n">
        <v>79</v>
      </c>
      <c r="G299" s="0" t="n">
        <v>24.16</v>
      </c>
      <c r="H299" s="0" t="n">
        <v>79.89</v>
      </c>
      <c r="I299" s="0" t="n">
        <v>17.9</v>
      </c>
      <c r="J299" s="0" t="n">
        <v>59.2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79</v>
      </c>
      <c r="X299" s="0" t="n">
        <v>4</v>
      </c>
      <c r="Y299" s="0" t="n">
        <v>3</v>
      </c>
      <c r="Z299" s="0" t="inlineStr">
        <is>
          <t>https://new.land.naver.com/complexes/118495?tab=detail&amp;rf=Y</t>
        </is>
      </c>
      <c r="AA299" s="0" t="inlineStr">
        <is>
          <t>충청북도 청주시 상당구 용담동 87-1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상당구</t>
        </is>
      </c>
      <c r="AE299" s="0" t="inlineStr">
        <is>
          <t>용담동</t>
        </is>
      </c>
      <c r="AG299" s="0" t="inlineStr">
        <is>
          <t>충청북도 청주시 상당구 명암로 7-36</t>
        </is>
      </c>
      <c r="AH299" s="0" t="n">
        <v>0</v>
      </c>
      <c r="AI299" s="0" t="n">
        <v>78</v>
      </c>
      <c r="AJ299" s="0" t="n">
        <v>27</v>
      </c>
      <c r="AK299" s="0" t="n">
        <v>79</v>
      </c>
      <c r="AL299" s="0" t="n">
        <v>1</v>
      </c>
    </row>
    <row r="300">
      <c r="A300" s="0" t="inlineStr">
        <is>
          <t>[용담동]</t>
        </is>
      </c>
      <c r="B300" s="0" t="n">
        <v>118495</v>
      </c>
      <c r="C300" s="0" t="n">
        <v>3</v>
      </c>
      <c r="D300" s="0" t="inlineStr">
        <is>
          <t>용담선광로즈웰</t>
        </is>
      </c>
      <c r="E300" s="0" t="inlineStr">
        <is>
          <t>2012.05.</t>
        </is>
      </c>
      <c r="F300" s="0" t="n">
        <v>79</v>
      </c>
      <c r="G300" s="0" t="n">
        <v>27.32</v>
      </c>
      <c r="H300" s="0" t="n">
        <v>90.34</v>
      </c>
      <c r="I300" s="0" t="n">
        <v>21.53</v>
      </c>
      <c r="J300" s="0" t="n">
        <v>71.2</v>
      </c>
      <c r="K300" s="0" t="n">
        <v>24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90</v>
      </c>
      <c r="X300" s="0" t="n">
        <v>4</v>
      </c>
      <c r="Y300" s="0" t="n">
        <v>3</v>
      </c>
      <c r="Z300" s="0" t="inlineStr">
        <is>
          <t>https://new.land.naver.com/complexes/118495?tab=detail&amp;rf=Y</t>
        </is>
      </c>
      <c r="AA300" s="0" t="inlineStr">
        <is>
          <t>충청북도 청주시 상당구 용담동 87-1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상당구</t>
        </is>
      </c>
      <c r="AE300" s="0" t="inlineStr">
        <is>
          <t>용담동</t>
        </is>
      </c>
      <c r="AG300" s="0" t="inlineStr">
        <is>
          <t>충청북도 청주시 상당구 명암로 7-36</t>
        </is>
      </c>
      <c r="AH300" s="0" t="n">
        <v>0</v>
      </c>
      <c r="AI300" s="0" t="n">
        <v>78</v>
      </c>
      <c r="AJ300" s="0" t="n">
        <v>27</v>
      </c>
      <c r="AK300" s="0" t="n">
        <v>79</v>
      </c>
      <c r="AL300" s="0" t="n">
        <v>1</v>
      </c>
    </row>
    <row r="301">
      <c r="A301" s="0" t="inlineStr">
        <is>
          <t>[용담동]</t>
        </is>
      </c>
      <c r="B301" s="0" t="n">
        <v>118495</v>
      </c>
      <c r="C301" s="0" t="n">
        <v>4</v>
      </c>
      <c r="D301" s="0" t="inlineStr">
        <is>
          <t>용담선광로즈웰</t>
        </is>
      </c>
      <c r="E301" s="0" t="inlineStr">
        <is>
          <t>2012.05.</t>
        </is>
      </c>
      <c r="F301" s="0" t="n">
        <v>79</v>
      </c>
      <c r="G301" s="0" t="n">
        <v>48.48</v>
      </c>
      <c r="H301" s="0" t="n">
        <v>160.29</v>
      </c>
      <c r="I301" s="0" t="n">
        <v>37.62</v>
      </c>
      <c r="J301" s="0" t="n">
        <v>124.38</v>
      </c>
      <c r="K301" s="0" t="n">
        <v>1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160</v>
      </c>
      <c r="X301" s="0" t="n">
        <v>4</v>
      </c>
      <c r="Y301" s="0" t="n">
        <v>3</v>
      </c>
      <c r="Z301" s="0" t="inlineStr">
        <is>
          <t>https://new.land.naver.com/complexes/118495?tab=detail&amp;rf=Y</t>
        </is>
      </c>
      <c r="AA301" s="0" t="inlineStr">
        <is>
          <t>충청북도 청주시 상당구 용담동 87-1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상당구</t>
        </is>
      </c>
      <c r="AE301" s="0" t="inlineStr">
        <is>
          <t>용담동</t>
        </is>
      </c>
      <c r="AG301" s="0" t="inlineStr">
        <is>
          <t>충청북도 청주시 상당구 명암로 7-36</t>
        </is>
      </c>
      <c r="AH301" s="0" t="n">
        <v>0</v>
      </c>
      <c r="AI301" s="0" t="n">
        <v>78</v>
      </c>
      <c r="AJ301" s="0" t="n">
        <v>27</v>
      </c>
      <c r="AK301" s="0" t="n">
        <v>79</v>
      </c>
      <c r="AL301" s="0" t="n">
        <v>1</v>
      </c>
    </row>
    <row r="302">
      <c r="A302" s="0" t="inlineStr">
        <is>
          <t>[용담동]</t>
        </is>
      </c>
      <c r="B302" s="0" t="n">
        <v>134047</v>
      </c>
      <c r="C302" s="0" t="n">
        <v>1</v>
      </c>
      <c r="D302" s="0" t="inlineStr">
        <is>
          <t>우람아트빌</t>
        </is>
      </c>
      <c r="E302" s="0" t="inlineStr">
        <is>
          <t>2000.12.</t>
        </is>
      </c>
      <c r="F302" s="0" t="n">
        <v>19</v>
      </c>
      <c r="G302" s="0" t="n">
        <v>57.87</v>
      </c>
      <c r="H302" s="0" t="n">
        <v>191.32</v>
      </c>
      <c r="I302" s="0" t="n">
        <v>48.68</v>
      </c>
      <c r="J302" s="0" t="n">
        <v>160.95</v>
      </c>
      <c r="K302" s="0" t="n">
        <v>19</v>
      </c>
      <c r="T302" s="0" t="n">
        <v>5</v>
      </c>
      <c r="U302" s="0" t="n">
        <v>3</v>
      </c>
      <c r="V302" s="0" t="inlineStr">
        <is>
          <t>계단식</t>
        </is>
      </c>
      <c r="W302" s="0" t="n">
        <v>191</v>
      </c>
      <c r="X302" s="0" t="n">
        <v>7</v>
      </c>
      <c r="Y302" s="0" t="n">
        <v>4</v>
      </c>
      <c r="Z302" s="0" t="inlineStr">
        <is>
          <t>https://new.land.naver.com/complexes/134047?tab=detail&amp;rf=Y</t>
        </is>
      </c>
      <c r="AA302" s="0" t="inlineStr">
        <is>
          <t>충청북도 청주시 상당구 용담동 143-20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상당구</t>
        </is>
      </c>
      <c r="AE302" s="0" t="inlineStr">
        <is>
          <t>용담동</t>
        </is>
      </c>
      <c r="AG302" s="0" t="inlineStr">
        <is>
          <t>충청북도 청주시 상당구 용담로 131-1</t>
        </is>
      </c>
      <c r="AH302" s="0" t="n">
        <v>0</v>
      </c>
      <c r="AI302" s="0" t="n">
        <v>153</v>
      </c>
      <c r="AJ302" s="0" t="n">
        <v>33</v>
      </c>
      <c r="AK302" s="0" t="n">
        <v>34</v>
      </c>
      <c r="AL302" s="0" t="n">
        <v>1.79</v>
      </c>
    </row>
    <row r="303">
      <c r="A303" s="0" t="inlineStr">
        <is>
          <t>[용담동]</t>
        </is>
      </c>
      <c r="B303" s="0" t="n">
        <v>15400</v>
      </c>
      <c r="C303" s="0" t="n">
        <v>1</v>
      </c>
      <c r="D303" s="0" t="inlineStr">
        <is>
          <t>모드니</t>
        </is>
      </c>
      <c r="E303" s="0" t="inlineStr">
        <is>
          <t>2009.12.</t>
        </is>
      </c>
      <c r="F303" s="0" t="n">
        <v>113</v>
      </c>
      <c r="G303" s="0" t="n">
        <v>22.92</v>
      </c>
      <c r="H303" s="0" t="n">
        <v>75.79000000000001</v>
      </c>
      <c r="I303" s="0" t="n">
        <v>12.56</v>
      </c>
      <c r="J303" s="0" t="n">
        <v>41.53</v>
      </c>
      <c r="K303" s="0" t="n">
        <v>23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75</v>
      </c>
      <c r="X303" s="0" t="n">
        <v>14</v>
      </c>
      <c r="Y303" s="0" t="n">
        <v>9</v>
      </c>
      <c r="Z303" s="0" t="inlineStr">
        <is>
          <t>https://new.land.naver.com/complexes/15400?tab=detail&amp;rf=Y</t>
        </is>
      </c>
      <c r="AA303" s="0" t="inlineStr">
        <is>
          <t>충청북도 청주시 상당구 용담동 190-1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상당구</t>
        </is>
      </c>
      <c r="AE303" s="0" t="inlineStr">
        <is>
          <t>용담동</t>
        </is>
      </c>
      <c r="AG303" s="0" t="inlineStr">
        <is>
          <t>충청북도 청주시 상당구 용담로105번길 70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[용담동]</t>
        </is>
      </c>
      <c r="B304" s="0" t="n">
        <v>15400</v>
      </c>
      <c r="C304" s="0" t="n">
        <v>2</v>
      </c>
      <c r="D304" s="0" t="inlineStr">
        <is>
          <t>모드니</t>
        </is>
      </c>
      <c r="E304" s="0" t="inlineStr">
        <is>
          <t>2009.12.</t>
        </is>
      </c>
      <c r="F304" s="0" t="n">
        <v>113</v>
      </c>
      <c r="G304" s="0" t="n">
        <v>28.15</v>
      </c>
      <c r="H304" s="0" t="n">
        <v>93.06</v>
      </c>
      <c r="I304" s="0" t="n">
        <v>15.42</v>
      </c>
      <c r="J304" s="0" t="n">
        <v>51</v>
      </c>
      <c r="K304" s="0" t="n">
        <v>71</v>
      </c>
      <c r="T304" s="0" t="n">
        <v>2</v>
      </c>
      <c r="U304" s="0" t="n">
        <v>1</v>
      </c>
      <c r="V304" s="0" t="inlineStr">
        <is>
          <t>복도식</t>
        </is>
      </c>
      <c r="W304" s="0" t="n">
        <v>93</v>
      </c>
      <c r="X304" s="0" t="n">
        <v>14</v>
      </c>
      <c r="Y304" s="0" t="n">
        <v>9</v>
      </c>
      <c r="Z304" s="0" t="inlineStr">
        <is>
          <t>https://new.land.naver.com/complexes/15400?tab=detail&amp;rf=Y</t>
        </is>
      </c>
      <c r="AA304" s="0" t="inlineStr">
        <is>
          <t>충청북도 청주시 상당구 용담동 190-1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상당구</t>
        </is>
      </c>
      <c r="AE304" s="0" t="inlineStr">
        <is>
          <t>용담동</t>
        </is>
      </c>
      <c r="AG304" s="0" t="inlineStr">
        <is>
          <t>충청북도 청주시 상당구 용담로105번길 70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[용담동]</t>
        </is>
      </c>
      <c r="B305" s="0" t="n">
        <v>15400</v>
      </c>
      <c r="C305" s="0" t="n">
        <v>3</v>
      </c>
      <c r="D305" s="0" t="inlineStr">
        <is>
          <t>모드니</t>
        </is>
      </c>
      <c r="E305" s="0" t="inlineStr">
        <is>
          <t>2009.12.</t>
        </is>
      </c>
      <c r="F305" s="0" t="n">
        <v>113</v>
      </c>
      <c r="G305" s="0" t="n">
        <v>29.44</v>
      </c>
      <c r="H305" s="0" t="n">
        <v>97.34999999999999</v>
      </c>
      <c r="I305" s="0" t="n">
        <v>16.13</v>
      </c>
      <c r="J305" s="0" t="n">
        <v>53.35</v>
      </c>
      <c r="K305" s="0" t="n">
        <v>9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97</v>
      </c>
      <c r="X305" s="0" t="n">
        <v>14</v>
      </c>
      <c r="Y305" s="0" t="n">
        <v>9</v>
      </c>
      <c r="Z305" s="0" t="inlineStr">
        <is>
          <t>https://new.land.naver.com/complexes/15400?tab=detail&amp;rf=Y</t>
        </is>
      </c>
      <c r="AA305" s="0" t="inlineStr">
        <is>
          <t>충청북도 청주시 상당구 용담동 190-1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상당구</t>
        </is>
      </c>
      <c r="AE305" s="0" t="inlineStr">
        <is>
          <t>용담동</t>
        </is>
      </c>
      <c r="AG305" s="0" t="inlineStr">
        <is>
          <t>충청북도 청주시 상당구 용담로105번길 70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[용담동]</t>
        </is>
      </c>
      <c r="B306" s="0" t="n">
        <v>15400</v>
      </c>
      <c r="C306" s="0" t="n">
        <v>4</v>
      </c>
      <c r="D306" s="0" t="inlineStr">
        <is>
          <t>모드니</t>
        </is>
      </c>
      <c r="E306" s="0" t="inlineStr">
        <is>
          <t>2009.12.</t>
        </is>
      </c>
      <c r="F306" s="0" t="n">
        <v>113</v>
      </c>
      <c r="G306" s="0" t="n">
        <v>29.72</v>
      </c>
      <c r="H306" s="0" t="n">
        <v>98.28</v>
      </c>
      <c r="I306" s="0" t="n">
        <v>16.29</v>
      </c>
      <c r="J306" s="0" t="n">
        <v>53.86</v>
      </c>
      <c r="K306" s="0" t="n">
        <v>10</v>
      </c>
      <c r="T306" s="0" t="n">
        <v>2</v>
      </c>
      <c r="U306" s="0" t="n">
        <v>1</v>
      </c>
      <c r="V306" s="0" t="inlineStr">
        <is>
          <t>복도식</t>
        </is>
      </c>
      <c r="W306" s="0" t="n">
        <v>98</v>
      </c>
      <c r="X306" s="0" t="n">
        <v>14</v>
      </c>
      <c r="Y306" s="0" t="n">
        <v>9</v>
      </c>
      <c r="Z306" s="0" t="inlineStr">
        <is>
          <t>https://new.land.naver.com/complexes/15400?tab=detail&amp;rf=Y</t>
        </is>
      </c>
      <c r="AA306" s="0" t="inlineStr">
        <is>
          <t>충청북도 청주시 상당구 용담동 190-1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상당구</t>
        </is>
      </c>
      <c r="AE306" s="0" t="inlineStr">
        <is>
          <t>용담동</t>
        </is>
      </c>
      <c r="AG306" s="0" t="inlineStr">
        <is>
          <t>충청북도 청주시 상당구 용담로105번길 70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[용담동]</t>
        </is>
      </c>
      <c r="B307" s="0" t="n">
        <v>11871</v>
      </c>
      <c r="C307" s="0" t="n">
        <v>1</v>
      </c>
      <c r="D307" s="0" t="inlineStr">
        <is>
          <t>용담가좌마을e-편한세상</t>
        </is>
      </c>
      <c r="E307" s="0" t="inlineStr">
        <is>
          <t>2004.10.</t>
        </is>
      </c>
      <c r="F307" s="0" t="n">
        <v>421</v>
      </c>
      <c r="G307" s="0" t="n">
        <v>39.36</v>
      </c>
      <c r="H307" s="0" t="n">
        <v>130.14</v>
      </c>
      <c r="I307" s="0" t="n">
        <v>32.46</v>
      </c>
      <c r="J307" s="0" t="n">
        <v>107.33</v>
      </c>
      <c r="K307" s="0" t="n">
        <v>174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130A</t>
        </is>
      </c>
      <c r="X307" s="0" t="n">
        <v>15</v>
      </c>
      <c r="Y307" s="0" t="n">
        <v>13</v>
      </c>
      <c r="Z307" s="0" t="inlineStr">
        <is>
          <t>https://new.land.naver.com/complexes/11871?tab=detail&amp;rf=Y</t>
        </is>
      </c>
      <c r="AA307" s="0" t="inlineStr">
        <is>
          <t>충청북도 청주시 상당구 용담동 436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상당구</t>
        </is>
      </c>
      <c r="AE307" s="0" t="inlineStr">
        <is>
          <t>용담동</t>
        </is>
      </c>
      <c r="AG307" s="0" t="inlineStr">
        <is>
          <t>충청북도 청주시 상당구 호미로 330</t>
        </is>
      </c>
      <c r="AH307" s="0" t="n">
        <v>0</v>
      </c>
      <c r="AI307" s="0" t="n">
        <v>219</v>
      </c>
      <c r="AJ307" s="0" t="n">
        <v>19</v>
      </c>
      <c r="AK307" s="0" t="n">
        <v>735</v>
      </c>
      <c r="AL307" s="0" t="n">
        <v>1.75</v>
      </c>
    </row>
    <row r="308">
      <c r="A308" s="0" t="inlineStr">
        <is>
          <t>[용담동]</t>
        </is>
      </c>
      <c r="B308" s="0" t="n">
        <v>11871</v>
      </c>
      <c r="C308" s="0" t="n">
        <v>2</v>
      </c>
      <c r="D308" s="0" t="inlineStr">
        <is>
          <t>용담가좌마을e-편한세상</t>
        </is>
      </c>
      <c r="E308" s="0" t="inlineStr">
        <is>
          <t>2004.10.</t>
        </is>
      </c>
      <c r="F308" s="0" t="n">
        <v>421</v>
      </c>
      <c r="G308" s="0" t="n">
        <v>39.46</v>
      </c>
      <c r="H308" s="0" t="n">
        <v>130.45</v>
      </c>
      <c r="I308" s="0" t="n">
        <v>32.53</v>
      </c>
      <c r="J308" s="0" t="n">
        <v>107.55</v>
      </c>
      <c r="K308" s="0" t="n">
        <v>13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130B</t>
        </is>
      </c>
      <c r="X308" s="0" t="n">
        <v>15</v>
      </c>
      <c r="Y308" s="0" t="n">
        <v>13</v>
      </c>
      <c r="Z308" s="0" t="inlineStr">
        <is>
          <t>https://new.land.naver.com/complexes/11871?tab=detail&amp;rf=Y</t>
        </is>
      </c>
      <c r="AA308" s="0" t="inlineStr">
        <is>
          <t>충청북도 청주시 상당구 용담동 436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상당구</t>
        </is>
      </c>
      <c r="AE308" s="0" t="inlineStr">
        <is>
          <t>용담동</t>
        </is>
      </c>
      <c r="AG308" s="0" t="inlineStr">
        <is>
          <t>충청북도 청주시 상당구 호미로 330</t>
        </is>
      </c>
      <c r="AH308" s="0" t="n">
        <v>0</v>
      </c>
      <c r="AI308" s="0" t="n">
        <v>219</v>
      </c>
      <c r="AJ308" s="0" t="n">
        <v>19</v>
      </c>
      <c r="AK308" s="0" t="n">
        <v>735</v>
      </c>
      <c r="AL308" s="0" t="n">
        <v>1.75</v>
      </c>
    </row>
    <row r="309">
      <c r="A309" s="0" t="inlineStr">
        <is>
          <t>[용담동]</t>
        </is>
      </c>
      <c r="B309" s="0" t="n">
        <v>11871</v>
      </c>
      <c r="C309" s="0" t="n">
        <v>3</v>
      </c>
      <c r="D309" s="0" t="inlineStr">
        <is>
          <t>용담가좌마을e-편한세상</t>
        </is>
      </c>
      <c r="E309" s="0" t="inlineStr">
        <is>
          <t>2004.10.</t>
        </is>
      </c>
      <c r="F309" s="0" t="n">
        <v>421</v>
      </c>
      <c r="G309" s="0" t="n">
        <v>48.92</v>
      </c>
      <c r="H309" s="0" t="n">
        <v>161.73</v>
      </c>
      <c r="I309" s="0" t="n">
        <v>42.11</v>
      </c>
      <c r="J309" s="0" t="n">
        <v>139.23</v>
      </c>
      <c r="K309" s="0" t="n">
        <v>176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161</v>
      </c>
      <c r="X309" s="0" t="n">
        <v>15</v>
      </c>
      <c r="Y309" s="0" t="n">
        <v>13</v>
      </c>
      <c r="Z309" s="0" t="inlineStr">
        <is>
          <t>https://new.land.naver.com/complexes/11871?tab=detail&amp;rf=Y</t>
        </is>
      </c>
      <c r="AA309" s="0" t="inlineStr">
        <is>
          <t>충청북도 청주시 상당구 용담동 436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상당구</t>
        </is>
      </c>
      <c r="AE309" s="0" t="inlineStr">
        <is>
          <t>용담동</t>
        </is>
      </c>
      <c r="AG309" s="0" t="inlineStr">
        <is>
          <t>충청북도 청주시 상당구 호미로 330</t>
        </is>
      </c>
      <c r="AH309" s="0" t="n">
        <v>0</v>
      </c>
      <c r="AI309" s="0" t="n">
        <v>219</v>
      </c>
      <c r="AJ309" s="0" t="n">
        <v>19</v>
      </c>
      <c r="AK309" s="0" t="n">
        <v>735</v>
      </c>
      <c r="AL309" s="0" t="n">
        <v>1.75</v>
      </c>
    </row>
    <row r="310">
      <c r="A310" s="0" t="inlineStr">
        <is>
          <t>[용담동]</t>
        </is>
      </c>
      <c r="B310" s="0" t="n">
        <v>11871</v>
      </c>
      <c r="C310" s="0" t="n">
        <v>4</v>
      </c>
      <c r="D310" s="0" t="inlineStr">
        <is>
          <t>용담가좌마을e-편한세상</t>
        </is>
      </c>
      <c r="E310" s="0" t="inlineStr">
        <is>
          <t>2004.10.</t>
        </is>
      </c>
      <c r="F310" s="0" t="n">
        <v>421</v>
      </c>
      <c r="G310" s="0" t="n">
        <v>57.53</v>
      </c>
      <c r="H310" s="0" t="n">
        <v>190.19</v>
      </c>
      <c r="I310" s="0" t="n">
        <v>50.68</v>
      </c>
      <c r="J310" s="0" t="n">
        <v>167.56</v>
      </c>
      <c r="K310" s="0" t="n">
        <v>58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190</v>
      </c>
      <c r="X310" s="0" t="n">
        <v>15</v>
      </c>
      <c r="Y310" s="0" t="n">
        <v>13</v>
      </c>
      <c r="Z310" s="0" t="inlineStr">
        <is>
          <t>https://new.land.naver.com/complexes/11871?tab=detail&amp;rf=Y</t>
        </is>
      </c>
      <c r="AA310" s="0" t="inlineStr">
        <is>
          <t>충청북도 청주시 상당구 용담동 436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상당구</t>
        </is>
      </c>
      <c r="AE310" s="0" t="inlineStr">
        <is>
          <t>용담동</t>
        </is>
      </c>
      <c r="AG310" s="0" t="inlineStr">
        <is>
          <t>충청북도 청주시 상당구 호미로 330</t>
        </is>
      </c>
      <c r="AH310" s="0" t="n">
        <v>0</v>
      </c>
      <c r="AI310" s="0" t="n">
        <v>219</v>
      </c>
      <c r="AJ310" s="0" t="n">
        <v>19</v>
      </c>
      <c r="AK310" s="0" t="n">
        <v>735</v>
      </c>
      <c r="AL310" s="0" t="n">
        <v>1.75</v>
      </c>
    </row>
    <row r="311">
      <c r="A311" s="0" t="inlineStr">
        <is>
          <t>[용담동]</t>
        </is>
      </c>
      <c r="B311" s="0" t="n">
        <v>110558</v>
      </c>
      <c r="C311" s="0" t="n">
        <v>1</v>
      </c>
      <c r="D311" s="0" t="inlineStr">
        <is>
          <t>우미린에듀파크2단지</t>
        </is>
      </c>
      <c r="E311" s="0" t="inlineStr">
        <is>
          <t>2018.02.</t>
        </is>
      </c>
      <c r="F311" s="0" t="n">
        <v>901</v>
      </c>
      <c r="G311" s="0" t="n">
        <v>29.61</v>
      </c>
      <c r="H311" s="0" t="n">
        <v>97.91</v>
      </c>
      <c r="I311" s="0" t="n">
        <v>22.06</v>
      </c>
      <c r="J311" s="0" t="n">
        <v>72.93000000000001</v>
      </c>
      <c r="K311" s="0" t="n">
        <v>93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29</v>
      </c>
      <c r="Y311" s="0" t="n">
        <v>17</v>
      </c>
      <c r="Z311" s="0" t="inlineStr">
        <is>
          <t>https://new.land.naver.com/complexes/110558?tab=detail&amp;rf=Y</t>
        </is>
      </c>
      <c r="AA311" s="0" t="inlineStr">
        <is>
          <t>충청북도 청주시 상당구 용담동 467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상당구</t>
        </is>
      </c>
      <c r="AE311" s="0" t="inlineStr">
        <is>
          <t>용담동</t>
        </is>
      </c>
      <c r="AG311" s="0" t="inlineStr">
        <is>
          <t>충청북도 청주시 상당구 수영로 359</t>
        </is>
      </c>
      <c r="AH311" s="0" t="n">
        <v>0</v>
      </c>
      <c r="AI311" s="0" t="n">
        <v>199</v>
      </c>
      <c r="AJ311" s="0" t="n">
        <v>14</v>
      </c>
      <c r="AK311" s="0" t="n">
        <v>1203</v>
      </c>
      <c r="AL311" s="0" t="n">
        <v>1.34</v>
      </c>
    </row>
    <row r="312">
      <c r="A312" s="0" t="inlineStr">
        <is>
          <t>[용담동]</t>
        </is>
      </c>
      <c r="B312" s="0" t="n">
        <v>110558</v>
      </c>
      <c r="C312" s="0" t="n">
        <v>2</v>
      </c>
      <c r="D312" s="0" t="inlineStr">
        <is>
          <t>우미린에듀파크2단지</t>
        </is>
      </c>
      <c r="E312" s="0" t="inlineStr">
        <is>
          <t>2018.02.</t>
        </is>
      </c>
      <c r="F312" s="0" t="n">
        <v>901</v>
      </c>
      <c r="G312" s="0" t="n">
        <v>33.62</v>
      </c>
      <c r="H312" s="0" t="n">
        <v>111.17</v>
      </c>
      <c r="I312" s="0" t="n">
        <v>25.7</v>
      </c>
      <c r="J312" s="0" t="n">
        <v>84.98</v>
      </c>
      <c r="K312" s="0" t="n">
        <v>280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111A</t>
        </is>
      </c>
      <c r="X312" s="0" t="n">
        <v>29</v>
      </c>
      <c r="Y312" s="0" t="n">
        <v>17</v>
      </c>
      <c r="Z312" s="0" t="inlineStr">
        <is>
          <t>https://new.land.naver.com/complexes/110558?tab=detail&amp;rf=Y</t>
        </is>
      </c>
      <c r="AA312" s="0" t="inlineStr">
        <is>
          <t>충청북도 청주시 상당구 용담동 467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상당구</t>
        </is>
      </c>
      <c r="AE312" s="0" t="inlineStr">
        <is>
          <t>용담동</t>
        </is>
      </c>
      <c r="AG312" s="0" t="inlineStr">
        <is>
          <t>충청북도 청주시 상당구 수영로 359</t>
        </is>
      </c>
      <c r="AH312" s="0" t="n">
        <v>0</v>
      </c>
      <c r="AI312" s="0" t="n">
        <v>199</v>
      </c>
      <c r="AJ312" s="0" t="n">
        <v>14</v>
      </c>
      <c r="AK312" s="0" t="n">
        <v>1203</v>
      </c>
      <c r="AL312" s="0" t="n">
        <v>1.34</v>
      </c>
    </row>
    <row r="313">
      <c r="A313" s="0" t="inlineStr">
        <is>
          <t>[용담동]</t>
        </is>
      </c>
      <c r="B313" s="0" t="n">
        <v>110558</v>
      </c>
      <c r="C313" s="0" t="n">
        <v>3</v>
      </c>
      <c r="D313" s="0" t="inlineStr">
        <is>
          <t>우미린에듀파크2단지</t>
        </is>
      </c>
      <c r="E313" s="0" t="inlineStr">
        <is>
          <t>2018.02.</t>
        </is>
      </c>
      <c r="F313" s="0" t="n">
        <v>901</v>
      </c>
      <c r="G313" s="0" t="n">
        <v>33.84</v>
      </c>
      <c r="H313" s="0" t="n">
        <v>111.88</v>
      </c>
      <c r="I313" s="0" t="n">
        <v>25.7</v>
      </c>
      <c r="J313" s="0" t="n">
        <v>84.95999999999999</v>
      </c>
      <c r="K313" s="0" t="n">
        <v>189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111B</t>
        </is>
      </c>
      <c r="X313" s="0" t="n">
        <v>29</v>
      </c>
      <c r="Y313" s="0" t="n">
        <v>17</v>
      </c>
      <c r="Z313" s="0" t="inlineStr">
        <is>
          <t>https://new.land.naver.com/complexes/110558?tab=detail&amp;rf=Y</t>
        </is>
      </c>
      <c r="AA313" s="0" t="inlineStr">
        <is>
          <t>충청북도 청주시 상당구 용담동 467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상당구</t>
        </is>
      </c>
      <c r="AE313" s="0" t="inlineStr">
        <is>
          <t>용담동</t>
        </is>
      </c>
      <c r="AG313" s="0" t="inlineStr">
        <is>
          <t>충청북도 청주시 상당구 수영로 359</t>
        </is>
      </c>
      <c r="AH313" s="0" t="n">
        <v>0</v>
      </c>
      <c r="AI313" s="0" t="n">
        <v>199</v>
      </c>
      <c r="AJ313" s="0" t="n">
        <v>14</v>
      </c>
      <c r="AK313" s="0" t="n">
        <v>1203</v>
      </c>
      <c r="AL313" s="0" t="n">
        <v>1.34</v>
      </c>
    </row>
    <row r="314">
      <c r="A314" s="0" t="inlineStr">
        <is>
          <t>[용담동]</t>
        </is>
      </c>
      <c r="B314" s="0" t="n">
        <v>110558</v>
      </c>
      <c r="C314" s="0" t="n">
        <v>4</v>
      </c>
      <c r="D314" s="0" t="inlineStr">
        <is>
          <t>우미린에듀파크2단지</t>
        </is>
      </c>
      <c r="E314" s="0" t="inlineStr">
        <is>
          <t>2018.02.</t>
        </is>
      </c>
      <c r="F314" s="0" t="n">
        <v>901</v>
      </c>
      <c r="G314" s="0" t="n">
        <v>33.93</v>
      </c>
      <c r="H314" s="0" t="n">
        <v>112.17</v>
      </c>
      <c r="I314" s="0" t="n">
        <v>25.7</v>
      </c>
      <c r="J314" s="0" t="n">
        <v>84.98</v>
      </c>
      <c r="K314" s="0" t="n">
        <v>231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112D</t>
        </is>
      </c>
      <c r="X314" s="0" t="n">
        <v>29</v>
      </c>
      <c r="Y314" s="0" t="n">
        <v>17</v>
      </c>
      <c r="Z314" s="0" t="inlineStr">
        <is>
          <t>https://new.land.naver.com/complexes/110558?tab=detail&amp;rf=Y</t>
        </is>
      </c>
      <c r="AA314" s="0" t="inlineStr">
        <is>
          <t>충청북도 청주시 상당구 용담동 467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상당구</t>
        </is>
      </c>
      <c r="AE314" s="0" t="inlineStr">
        <is>
          <t>용담동</t>
        </is>
      </c>
      <c r="AG314" s="0" t="inlineStr">
        <is>
          <t>충청북도 청주시 상당구 수영로 359</t>
        </is>
      </c>
      <c r="AH314" s="0" t="n">
        <v>0</v>
      </c>
      <c r="AI314" s="0" t="n">
        <v>199</v>
      </c>
      <c r="AJ314" s="0" t="n">
        <v>14</v>
      </c>
      <c r="AK314" s="0" t="n">
        <v>1203</v>
      </c>
      <c r="AL314" s="0" t="n">
        <v>1.34</v>
      </c>
    </row>
    <row r="315">
      <c r="A315" s="0" t="inlineStr">
        <is>
          <t>[용담동]</t>
        </is>
      </c>
      <c r="B315" s="0" t="n">
        <v>110558</v>
      </c>
      <c r="C315" s="0" t="n">
        <v>5</v>
      </c>
      <c r="D315" s="0" t="inlineStr">
        <is>
          <t>우미린에듀파크2단지</t>
        </is>
      </c>
      <c r="E315" s="0" t="inlineStr">
        <is>
          <t>2018.02.</t>
        </is>
      </c>
      <c r="F315" s="0" t="n">
        <v>901</v>
      </c>
      <c r="G315" s="0" t="n">
        <v>33.91</v>
      </c>
      <c r="H315" s="0" t="n">
        <v>112.11</v>
      </c>
      <c r="I315" s="0" t="n">
        <v>25.7</v>
      </c>
      <c r="J315" s="0" t="n">
        <v>84.98</v>
      </c>
      <c r="K315" s="0" t="n">
        <v>18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112C</t>
        </is>
      </c>
      <c r="X315" s="0" t="n">
        <v>29</v>
      </c>
      <c r="Y315" s="0" t="n">
        <v>17</v>
      </c>
      <c r="Z315" s="0" t="inlineStr">
        <is>
          <t>https://new.land.naver.com/complexes/110558?tab=detail&amp;rf=Y</t>
        </is>
      </c>
      <c r="AA315" s="0" t="inlineStr">
        <is>
          <t>충청북도 청주시 상당구 용담동 467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상당구</t>
        </is>
      </c>
      <c r="AE315" s="0" t="inlineStr">
        <is>
          <t>용담동</t>
        </is>
      </c>
      <c r="AG315" s="0" t="inlineStr">
        <is>
          <t>충청북도 청주시 상당구 수영로 359</t>
        </is>
      </c>
      <c r="AH315" s="0" t="n">
        <v>0</v>
      </c>
      <c r="AI315" s="0" t="n">
        <v>199</v>
      </c>
      <c r="AJ315" s="0" t="n">
        <v>14</v>
      </c>
      <c r="AK315" s="0" t="n">
        <v>1203</v>
      </c>
      <c r="AL315" s="0" t="n">
        <v>1.34</v>
      </c>
    </row>
    <row r="316">
      <c r="A316" s="0" t="inlineStr">
        <is>
          <t>[용담동]</t>
        </is>
      </c>
      <c r="B316" s="0" t="n">
        <v>110558</v>
      </c>
      <c r="C316" s="0" t="n">
        <v>6</v>
      </c>
      <c r="D316" s="0" t="inlineStr">
        <is>
          <t>우미린에듀파크2단지</t>
        </is>
      </c>
      <c r="E316" s="0" t="inlineStr">
        <is>
          <t>2018.02.</t>
        </is>
      </c>
      <c r="F316" s="0" t="n">
        <v>901</v>
      </c>
      <c r="G316" s="0" t="n">
        <v>42.87</v>
      </c>
      <c r="H316" s="0" t="n">
        <v>141.75</v>
      </c>
      <c r="I316" s="0" t="n">
        <v>34.46</v>
      </c>
      <c r="J316" s="0" t="n">
        <v>113.94</v>
      </c>
      <c r="K316" s="0" t="n">
        <v>90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141</v>
      </c>
      <c r="X316" s="0" t="n">
        <v>29</v>
      </c>
      <c r="Y316" s="0" t="n">
        <v>17</v>
      </c>
      <c r="Z316" s="0" t="inlineStr">
        <is>
          <t>https://new.land.naver.com/complexes/110558?tab=detail&amp;rf=Y</t>
        </is>
      </c>
      <c r="AA316" s="0" t="inlineStr">
        <is>
          <t>충청북도 청주시 상당구 용담동 467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상당구</t>
        </is>
      </c>
      <c r="AE316" s="0" t="inlineStr">
        <is>
          <t>용담동</t>
        </is>
      </c>
      <c r="AG316" s="0" t="inlineStr">
        <is>
          <t>충청북도 청주시 상당구 수영로 359</t>
        </is>
      </c>
      <c r="AH316" s="0" t="n">
        <v>0</v>
      </c>
      <c r="AI316" s="0" t="n">
        <v>199</v>
      </c>
      <c r="AJ316" s="0" t="n">
        <v>14</v>
      </c>
      <c r="AK316" s="0" t="n">
        <v>1203</v>
      </c>
      <c r="AL316" s="0" t="n">
        <v>1.34</v>
      </c>
    </row>
    <row r="317">
      <c r="A317" s="0" t="inlineStr">
        <is>
          <t>[용담동]</t>
        </is>
      </c>
      <c r="B317" s="0" t="n">
        <v>106941</v>
      </c>
      <c r="C317" s="0" t="n">
        <v>1</v>
      </c>
      <c r="D317" s="0" t="inlineStr">
        <is>
          <t>가좌마을2단지부영</t>
        </is>
      </c>
      <c r="E317" s="0" t="inlineStr">
        <is>
          <t>2003.07.</t>
        </is>
      </c>
      <c r="F317" s="0" t="n">
        <v>569</v>
      </c>
      <c r="G317" s="0" t="n">
        <v>23.57</v>
      </c>
      <c r="H317" s="0" t="n">
        <v>77.95</v>
      </c>
      <c r="I317" s="0" t="n">
        <v>18.14</v>
      </c>
      <c r="J317" s="0" t="n">
        <v>59.98</v>
      </c>
      <c r="K317" s="0" t="n">
        <v>569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77</v>
      </c>
      <c r="X317" s="0" t="n">
        <v>15</v>
      </c>
      <c r="Y317" s="0" t="n">
        <v>15</v>
      </c>
      <c r="Z317" s="0" t="inlineStr">
        <is>
          <t>https://new.land.naver.com/complexes/106941?tab=detail&amp;rf=Y</t>
        </is>
      </c>
      <c r="AA317" s="0" t="inlineStr">
        <is>
          <t>충청북도 청주시 상당구 용담동 425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상당구</t>
        </is>
      </c>
      <c r="AE317" s="0" t="inlineStr">
        <is>
          <t>용담동</t>
        </is>
      </c>
      <c r="AG317" s="0" t="inlineStr">
        <is>
          <t>충청북도 청주시 상당구 호미로 329</t>
        </is>
      </c>
      <c r="AH317" s="0" t="n">
        <v>0</v>
      </c>
      <c r="AI317" s="0" t="n">
        <v>206</v>
      </c>
      <c r="AJ317" s="0" t="n">
        <v>18</v>
      </c>
      <c r="AK317" s="0" t="n">
        <v>485</v>
      </c>
      <c r="AL317" s="0" t="n">
        <v>0.85</v>
      </c>
    </row>
    <row r="318">
      <c r="A318" s="0" t="inlineStr">
        <is>
          <t>[용암동]</t>
        </is>
      </c>
      <c r="B318" s="0" t="n">
        <v>7036</v>
      </c>
      <c r="C318" s="0" t="n">
        <v>1</v>
      </c>
      <c r="D318" s="0" t="inlineStr">
        <is>
          <t>건영</t>
        </is>
      </c>
      <c r="E318" s="0" t="inlineStr">
        <is>
          <t>1999.04.</t>
        </is>
      </c>
      <c r="F318" s="0" t="n">
        <v>1046</v>
      </c>
      <c r="G318" s="0" t="n">
        <v>32.28</v>
      </c>
      <c r="H318" s="0" t="n">
        <v>106.73</v>
      </c>
      <c r="I318" s="0" t="n">
        <v>25.69</v>
      </c>
      <c r="J318" s="0" t="n">
        <v>84.93000000000001</v>
      </c>
      <c r="K318" s="0" t="n">
        <v>416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106</v>
      </c>
      <c r="X318" s="0" t="n">
        <v>15</v>
      </c>
      <c r="Y318" s="0" t="n">
        <v>13</v>
      </c>
      <c r="Z318" s="0" t="inlineStr">
        <is>
          <t>https://new.land.naver.com/complexes/7036?tab=detail&amp;rf=Y</t>
        </is>
      </c>
      <c r="AA318" s="0" t="inlineStr">
        <is>
          <t>충청북도 청주시 상당구 용암동 2099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상당구</t>
        </is>
      </c>
      <c r="AE318" s="0" t="inlineStr">
        <is>
          <t>용암동</t>
        </is>
      </c>
      <c r="AG318" s="0" t="inlineStr">
        <is>
          <t>충청북도 청주시 상당구 중흥로 71</t>
        </is>
      </c>
      <c r="AH318" s="0" t="n">
        <v>0</v>
      </c>
      <c r="AI318" s="0" t="n">
        <v>217</v>
      </c>
      <c r="AJ318" s="0" t="n">
        <v>22</v>
      </c>
      <c r="AK318" s="0" t="n">
        <v>1168</v>
      </c>
      <c r="AL318" s="0" t="n">
        <v>1.12</v>
      </c>
    </row>
    <row r="319">
      <c r="A319" s="0" t="inlineStr">
        <is>
          <t>[용암동]</t>
        </is>
      </c>
      <c r="B319" s="0" t="n">
        <v>7036</v>
      </c>
      <c r="C319" s="0" t="n">
        <v>2</v>
      </c>
      <c r="D319" s="0" t="inlineStr">
        <is>
          <t>건영</t>
        </is>
      </c>
      <c r="E319" s="0" t="inlineStr">
        <is>
          <t>1999.04.</t>
        </is>
      </c>
      <c r="F319" s="0" t="n">
        <v>1046</v>
      </c>
      <c r="G319" s="0" t="n">
        <v>36.58</v>
      </c>
      <c r="H319" s="0" t="n">
        <v>120.95</v>
      </c>
      <c r="I319" s="0" t="n">
        <v>30.23</v>
      </c>
      <c r="J319" s="0" t="n">
        <v>99.95999999999999</v>
      </c>
      <c r="K319" s="0" t="n">
        <v>330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120</v>
      </c>
      <c r="X319" s="0" t="n">
        <v>15</v>
      </c>
      <c r="Y319" s="0" t="n">
        <v>13</v>
      </c>
      <c r="Z319" s="0" t="inlineStr">
        <is>
          <t>https://new.land.naver.com/complexes/7036?tab=detail&amp;rf=Y</t>
        </is>
      </c>
      <c r="AA319" s="0" t="inlineStr">
        <is>
          <t>충청북도 청주시 상당구 용암동 2099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상당구</t>
        </is>
      </c>
      <c r="AE319" s="0" t="inlineStr">
        <is>
          <t>용암동</t>
        </is>
      </c>
      <c r="AG319" s="0" t="inlineStr">
        <is>
          <t>충청북도 청주시 상당구 중흥로 71</t>
        </is>
      </c>
      <c r="AH319" s="0" t="n">
        <v>0</v>
      </c>
      <c r="AI319" s="0" t="n">
        <v>217</v>
      </c>
      <c r="AJ319" s="0" t="n">
        <v>22</v>
      </c>
      <c r="AK319" s="0" t="n">
        <v>1168</v>
      </c>
      <c r="AL319" s="0" t="n">
        <v>1.12</v>
      </c>
    </row>
    <row r="320">
      <c r="A320" s="0" t="inlineStr">
        <is>
          <t>[용암동]</t>
        </is>
      </c>
      <c r="B320" s="0" t="n">
        <v>7036</v>
      </c>
      <c r="C320" s="0" t="n">
        <v>3</v>
      </c>
      <c r="D320" s="0" t="inlineStr">
        <is>
          <t>건영</t>
        </is>
      </c>
      <c r="E320" s="0" t="inlineStr">
        <is>
          <t>1999.04.</t>
        </is>
      </c>
      <c r="F320" s="0" t="n">
        <v>1046</v>
      </c>
      <c r="G320" s="0" t="n">
        <v>48.01</v>
      </c>
      <c r="H320" s="0" t="n">
        <v>158.73</v>
      </c>
      <c r="I320" s="0" t="n">
        <v>40.71</v>
      </c>
      <c r="J320" s="0" t="n">
        <v>134.61</v>
      </c>
      <c r="K320" s="0" t="n">
        <v>300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158</v>
      </c>
      <c r="X320" s="0" t="n">
        <v>15</v>
      </c>
      <c r="Y320" s="0" t="n">
        <v>13</v>
      </c>
      <c r="Z320" s="0" t="inlineStr">
        <is>
          <t>https://new.land.naver.com/complexes/7036?tab=detail&amp;rf=Y</t>
        </is>
      </c>
      <c r="AA320" s="0" t="inlineStr">
        <is>
          <t>충청북도 청주시 상당구 용암동 2099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상당구</t>
        </is>
      </c>
      <c r="AE320" s="0" t="inlineStr">
        <is>
          <t>용암동</t>
        </is>
      </c>
      <c r="AG320" s="0" t="inlineStr">
        <is>
          <t>충청북도 청주시 상당구 중흥로 71</t>
        </is>
      </c>
      <c r="AH320" s="0" t="n">
        <v>0</v>
      </c>
      <c r="AI320" s="0" t="n">
        <v>217</v>
      </c>
      <c r="AJ320" s="0" t="n">
        <v>22</v>
      </c>
      <c r="AK320" s="0" t="n">
        <v>1168</v>
      </c>
      <c r="AL320" s="0" t="n">
        <v>1.12</v>
      </c>
    </row>
    <row r="321">
      <c r="A321" s="0" t="inlineStr">
        <is>
          <t>[용암동]</t>
        </is>
      </c>
      <c r="B321" s="0" t="n">
        <v>7161</v>
      </c>
      <c r="C321" s="0" t="n">
        <v>1</v>
      </c>
      <c r="D321" s="0" t="inlineStr">
        <is>
          <t>용암형석</t>
        </is>
      </c>
      <c r="E321" s="0" t="inlineStr">
        <is>
          <t>1995.09.</t>
        </is>
      </c>
      <c r="F321" s="0" t="n">
        <v>430</v>
      </c>
      <c r="G321" s="0" t="n">
        <v>31.74</v>
      </c>
      <c r="H321" s="0" t="n">
        <v>104.93</v>
      </c>
      <c r="I321" s="0" t="n">
        <v>25.64</v>
      </c>
      <c r="J321" s="0" t="n">
        <v>84.78</v>
      </c>
      <c r="K321" s="0" t="n">
        <v>430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104</v>
      </c>
      <c r="X321" s="0" t="n">
        <v>15</v>
      </c>
      <c r="Y321" s="0" t="n">
        <v>10</v>
      </c>
      <c r="Z321" s="0" t="inlineStr">
        <is>
          <t>https://new.land.naver.com/complexes/7161?tab=detail&amp;rf=Y</t>
        </is>
      </c>
      <c r="AA321" s="0" t="inlineStr">
        <is>
          <t>충청북도 청주시 상당구 용암동 2088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상당구</t>
        </is>
      </c>
      <c r="AE321" s="0" t="inlineStr">
        <is>
          <t>용암동</t>
        </is>
      </c>
      <c r="AG321" s="0" t="inlineStr">
        <is>
          <t>충청북도 청주시 상당구 월평로 207</t>
        </is>
      </c>
      <c r="AH321" s="0" t="n">
        <v>0</v>
      </c>
      <c r="AI321" s="0" t="n">
        <v>0</v>
      </c>
      <c r="AJ321" s="0" t="n">
        <v>0</v>
      </c>
      <c r="AK321" s="0" t="n">
        <v>437</v>
      </c>
      <c r="AL321" s="0" t="n">
        <v>1.02</v>
      </c>
    </row>
    <row r="322">
      <c r="A322" s="0" t="inlineStr">
        <is>
          <t>[용암동]</t>
        </is>
      </c>
      <c r="B322" s="0" t="n">
        <v>7048</v>
      </c>
      <c r="C322" s="0" t="n">
        <v>1</v>
      </c>
      <c r="D322" s="0" t="inlineStr">
        <is>
          <t>용암현대1차</t>
        </is>
      </c>
      <c r="E322" s="0" t="inlineStr">
        <is>
          <t>1994.12.</t>
        </is>
      </c>
      <c r="F322" s="0" t="n">
        <v>264</v>
      </c>
      <c r="G322" s="0" t="n">
        <v>36.33</v>
      </c>
      <c r="H322" s="0" t="n">
        <v>120.13</v>
      </c>
      <c r="I322" s="0" t="n">
        <v>30.83</v>
      </c>
      <c r="J322" s="0" t="n">
        <v>101.92</v>
      </c>
      <c r="K322" s="0" t="n">
        <v>120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120</v>
      </c>
      <c r="X322" s="0" t="n">
        <v>15</v>
      </c>
      <c r="Y322" s="0" t="n">
        <v>12</v>
      </c>
      <c r="Z322" s="0" t="inlineStr">
        <is>
          <t>https://new.land.naver.com/complexes/7048?tab=detail&amp;rf=Y</t>
        </is>
      </c>
      <c r="AA322" s="0" t="inlineStr">
        <is>
          <t>충청북도 청주시 상당구 용암동 2095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상당구</t>
        </is>
      </c>
      <c r="AE322" s="0" t="inlineStr">
        <is>
          <t>용암동</t>
        </is>
      </c>
      <c r="AG322" s="0" t="inlineStr">
        <is>
          <t>충청북도 청주시 상당구 월평로 189</t>
        </is>
      </c>
      <c r="AH322" s="0" t="n">
        <v>0</v>
      </c>
      <c r="AI322" s="0" t="n">
        <v>219</v>
      </c>
      <c r="AJ322" s="0" t="n">
        <v>20</v>
      </c>
      <c r="AK322" s="0" t="n">
        <v>358</v>
      </c>
      <c r="AL322" s="0" t="n">
        <v>1.36</v>
      </c>
    </row>
    <row r="323">
      <c r="A323" s="0" t="inlineStr">
        <is>
          <t>[용암동]</t>
        </is>
      </c>
      <c r="B323" s="0" t="n">
        <v>7048</v>
      </c>
      <c r="C323" s="0" t="n">
        <v>2</v>
      </c>
      <c r="D323" s="0" t="inlineStr">
        <is>
          <t>용암현대1차</t>
        </is>
      </c>
      <c r="E323" s="0" t="inlineStr">
        <is>
          <t>1994.12.</t>
        </is>
      </c>
      <c r="F323" s="0" t="n">
        <v>264</v>
      </c>
      <c r="G323" s="0" t="n">
        <v>48.04</v>
      </c>
      <c r="H323" s="0" t="n">
        <v>158.82</v>
      </c>
      <c r="I323" s="0" t="n">
        <v>40.75</v>
      </c>
      <c r="J323" s="0" t="n">
        <v>134.74</v>
      </c>
      <c r="K323" s="0" t="n">
        <v>120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158</v>
      </c>
      <c r="X323" s="0" t="n">
        <v>15</v>
      </c>
      <c r="Y323" s="0" t="n">
        <v>12</v>
      </c>
      <c r="Z323" s="0" t="inlineStr">
        <is>
          <t>https://new.land.naver.com/complexes/7048?tab=detail&amp;rf=Y</t>
        </is>
      </c>
      <c r="AA323" s="0" t="inlineStr">
        <is>
          <t>충청북도 청주시 상당구 용암동 2095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상당구</t>
        </is>
      </c>
      <c r="AE323" s="0" t="inlineStr">
        <is>
          <t>용암동</t>
        </is>
      </c>
      <c r="AG323" s="0" t="inlineStr">
        <is>
          <t>충청북도 청주시 상당구 월평로 189</t>
        </is>
      </c>
      <c r="AH323" s="0" t="n">
        <v>0</v>
      </c>
      <c r="AI323" s="0" t="n">
        <v>219</v>
      </c>
      <c r="AJ323" s="0" t="n">
        <v>20</v>
      </c>
      <c r="AK323" s="0" t="n">
        <v>358</v>
      </c>
      <c r="AL323" s="0" t="n">
        <v>1.36</v>
      </c>
    </row>
    <row r="324">
      <c r="A324" s="0" t="inlineStr">
        <is>
          <t>[용암동]</t>
        </is>
      </c>
      <c r="B324" s="0" t="n">
        <v>7048</v>
      </c>
      <c r="C324" s="0" t="n">
        <v>3</v>
      </c>
      <c r="D324" s="0" t="inlineStr">
        <is>
          <t>용암현대1차</t>
        </is>
      </c>
      <c r="E324" s="0" t="inlineStr">
        <is>
          <t>1994.12.</t>
        </is>
      </c>
      <c r="F324" s="0" t="n">
        <v>264</v>
      </c>
      <c r="G324" s="0" t="n">
        <v>61.73</v>
      </c>
      <c r="H324" s="0" t="n">
        <v>204.08</v>
      </c>
      <c r="I324" s="0" t="n">
        <v>52.37</v>
      </c>
      <c r="J324" s="0" t="n">
        <v>173.15</v>
      </c>
      <c r="K324" s="0" t="n">
        <v>24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204</v>
      </c>
      <c r="X324" s="0" t="n">
        <v>15</v>
      </c>
      <c r="Y324" s="0" t="n">
        <v>12</v>
      </c>
      <c r="Z324" s="0" t="inlineStr">
        <is>
          <t>https://new.land.naver.com/complexes/7048?tab=detail&amp;rf=Y</t>
        </is>
      </c>
      <c r="AA324" s="0" t="inlineStr">
        <is>
          <t>충청북도 청주시 상당구 용암동 2095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상당구</t>
        </is>
      </c>
      <c r="AE324" s="0" t="inlineStr">
        <is>
          <t>용암동</t>
        </is>
      </c>
      <c r="AG324" s="0" t="inlineStr">
        <is>
          <t>충청북도 청주시 상당구 월평로 189</t>
        </is>
      </c>
      <c r="AH324" s="0" t="n">
        <v>0</v>
      </c>
      <c r="AI324" s="0" t="n">
        <v>219</v>
      </c>
      <c r="AJ324" s="0" t="n">
        <v>20</v>
      </c>
      <c r="AK324" s="0" t="n">
        <v>358</v>
      </c>
      <c r="AL324" s="0" t="n">
        <v>1.36</v>
      </c>
    </row>
    <row r="325">
      <c r="A325" s="0" t="inlineStr">
        <is>
          <t>[용암동]</t>
        </is>
      </c>
      <c r="B325" s="0" t="n">
        <v>7050</v>
      </c>
      <c r="C325" s="0" t="n">
        <v>1</v>
      </c>
      <c r="D325" s="0" t="inlineStr">
        <is>
          <t>용암현대2차</t>
        </is>
      </c>
      <c r="E325" s="0" t="inlineStr">
        <is>
          <t>1994.12.</t>
        </is>
      </c>
      <c r="F325" s="0" t="n">
        <v>315</v>
      </c>
      <c r="G325" s="0" t="n">
        <v>31.35</v>
      </c>
      <c r="H325" s="0" t="n">
        <v>103.65</v>
      </c>
      <c r="I325" s="0" t="n">
        <v>25.47</v>
      </c>
      <c r="J325" s="0" t="n">
        <v>84.23</v>
      </c>
      <c r="K325" s="0" t="n">
        <v>315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103</v>
      </c>
      <c r="X325" s="0" t="n">
        <v>15</v>
      </c>
      <c r="Y325" s="0" t="n">
        <v>15</v>
      </c>
      <c r="Z325" s="0" t="inlineStr">
        <is>
          <t>https://new.land.naver.com/complexes/7050?tab=detail&amp;rf=Y</t>
        </is>
      </c>
      <c r="AA325" s="0" t="inlineStr">
        <is>
          <t>충청북도 청주시 상당구 용암동 2104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상당구</t>
        </is>
      </c>
      <c r="AE325" s="0" t="inlineStr">
        <is>
          <t>용암동</t>
        </is>
      </c>
      <c r="AG325" s="0" t="inlineStr">
        <is>
          <t>충청북도 청주시 상당구 원봉로 41</t>
        </is>
      </c>
      <c r="AH325" s="0" t="n">
        <v>0</v>
      </c>
      <c r="AI325" s="0" t="n">
        <v>214</v>
      </c>
      <c r="AJ325" s="0" t="n">
        <v>20</v>
      </c>
      <c r="AK325" s="0" t="n">
        <v>311</v>
      </c>
      <c r="AL325" s="0" t="n">
        <v>0.99</v>
      </c>
    </row>
    <row r="326">
      <c r="A326" s="0" t="inlineStr">
        <is>
          <t>[용암동]</t>
        </is>
      </c>
      <c r="B326" s="0" t="n">
        <v>117347</v>
      </c>
      <c r="C326" s="0" t="n">
        <v>1</v>
      </c>
      <c r="D326" s="0" t="inlineStr">
        <is>
          <t>대원칸타빌더테라스1단지</t>
        </is>
      </c>
      <c r="E326" s="0" t="inlineStr">
        <is>
          <t>2019.12.</t>
        </is>
      </c>
      <c r="F326" s="0" t="n">
        <v>676</v>
      </c>
      <c r="G326" s="0" t="n">
        <v>30.39</v>
      </c>
      <c r="H326" s="0" t="n">
        <v>100.49</v>
      </c>
      <c r="I326" s="0" t="n">
        <v>23.86</v>
      </c>
      <c r="J326" s="0" t="n">
        <v>78.89</v>
      </c>
      <c r="K326" s="0" t="n">
        <v>189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100</v>
      </c>
      <c r="X326" s="0" t="n">
        <v>25</v>
      </c>
      <c r="Y326" s="0" t="n">
        <v>22</v>
      </c>
      <c r="Z326" s="0" t="inlineStr">
        <is>
          <t>https://new.land.naver.com/complexes/117347?tab=detail&amp;rf=Y</t>
        </is>
      </c>
      <c r="AA326" s="0" t="inlineStr">
        <is>
          <t>충청북도 청주시 상당구 용암동 동남택지개발지구 C1블럭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상당구</t>
        </is>
      </c>
      <c r="AE326" s="0" t="inlineStr">
        <is>
          <t>용암동</t>
        </is>
      </c>
      <c r="AG326" s="0" t="inlineStr">
        <is>
          <t>충청북도 청주시 상당구 중고개로 140</t>
        </is>
      </c>
      <c r="AH326" s="0" t="n">
        <v>0</v>
      </c>
      <c r="AI326" s="0" t="n">
        <v>0</v>
      </c>
      <c r="AJ326" s="0" t="n">
        <v>0</v>
      </c>
      <c r="AK326" s="0" t="n">
        <v>970</v>
      </c>
      <c r="AL326" s="0" t="n">
        <v>1.43</v>
      </c>
    </row>
    <row r="327">
      <c r="A327" s="0" t="inlineStr">
        <is>
          <t>[용암동]</t>
        </is>
      </c>
      <c r="B327" s="0" t="n">
        <v>117347</v>
      </c>
      <c r="C327" s="0" t="n">
        <v>2</v>
      </c>
      <c r="D327" s="0" t="inlineStr">
        <is>
          <t>대원칸타빌더테라스1단지</t>
        </is>
      </c>
      <c r="E327" s="0" t="inlineStr">
        <is>
          <t>2019.12.</t>
        </is>
      </c>
      <c r="F327" s="0" t="n">
        <v>676</v>
      </c>
      <c r="G327" s="0" t="n">
        <v>32.69</v>
      </c>
      <c r="H327" s="0" t="n">
        <v>108.08</v>
      </c>
      <c r="I327" s="0" t="n">
        <v>25.58</v>
      </c>
      <c r="J327" s="0" t="n">
        <v>84.56999999999999</v>
      </c>
      <c r="K327" s="0" t="n">
        <v>96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108A</t>
        </is>
      </c>
      <c r="X327" s="0" t="n">
        <v>25</v>
      </c>
      <c r="Y327" s="0" t="n">
        <v>22</v>
      </c>
      <c r="Z327" s="0" t="inlineStr">
        <is>
          <t>https://new.land.naver.com/complexes/117347?tab=detail&amp;rf=Y</t>
        </is>
      </c>
      <c r="AA327" s="0" t="inlineStr">
        <is>
          <t>충청북도 청주시 상당구 용암동 동남택지개발지구 C1블럭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상당구</t>
        </is>
      </c>
      <c r="AE327" s="0" t="inlineStr">
        <is>
          <t>용암동</t>
        </is>
      </c>
      <c r="AG327" s="0" t="inlineStr">
        <is>
          <t>충청북도 청주시 상당구 중고개로 140</t>
        </is>
      </c>
      <c r="AH327" s="0" t="n">
        <v>0</v>
      </c>
      <c r="AI327" s="0" t="n">
        <v>0</v>
      </c>
      <c r="AJ327" s="0" t="n">
        <v>0</v>
      </c>
      <c r="AK327" s="0" t="n">
        <v>970</v>
      </c>
      <c r="AL327" s="0" t="n">
        <v>1.43</v>
      </c>
    </row>
    <row r="328">
      <c r="A328" s="0" t="inlineStr">
        <is>
          <t>[용암동]</t>
        </is>
      </c>
      <c r="B328" s="0" t="n">
        <v>117347</v>
      </c>
      <c r="C328" s="0" t="n">
        <v>3</v>
      </c>
      <c r="D328" s="0" t="inlineStr">
        <is>
          <t>대원칸타빌더테라스1단지</t>
        </is>
      </c>
      <c r="E328" s="0" t="inlineStr">
        <is>
          <t>2019.12.</t>
        </is>
      </c>
      <c r="F328" s="0" t="n">
        <v>676</v>
      </c>
      <c r="G328" s="0" t="n">
        <v>33.38</v>
      </c>
      <c r="H328" s="0" t="n">
        <v>110.36</v>
      </c>
      <c r="I328" s="0" t="n">
        <v>25.68</v>
      </c>
      <c r="J328" s="0" t="n">
        <v>84.92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110B</t>
        </is>
      </c>
      <c r="X328" s="0" t="n">
        <v>25</v>
      </c>
      <c r="Y328" s="0" t="n">
        <v>22</v>
      </c>
      <c r="Z328" s="0" t="inlineStr">
        <is>
          <t>https://new.land.naver.com/complexes/117347?tab=detail&amp;rf=Y</t>
        </is>
      </c>
      <c r="AA328" s="0" t="inlineStr">
        <is>
          <t>충청북도 청주시 상당구 용암동 동남택지개발지구 C1블럭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상당구</t>
        </is>
      </c>
      <c r="AE328" s="0" t="inlineStr">
        <is>
          <t>용암동</t>
        </is>
      </c>
      <c r="AG328" s="0" t="inlineStr">
        <is>
          <t>충청북도 청주시 상당구 중고개로 140</t>
        </is>
      </c>
      <c r="AH328" s="0" t="n">
        <v>0</v>
      </c>
      <c r="AI328" s="0" t="n">
        <v>0</v>
      </c>
      <c r="AJ328" s="0" t="n">
        <v>0</v>
      </c>
      <c r="AK328" s="0" t="n">
        <v>970</v>
      </c>
      <c r="AL328" s="0" t="n">
        <v>1.43</v>
      </c>
    </row>
    <row r="329">
      <c r="A329" s="0" t="inlineStr">
        <is>
          <t>[용암동]</t>
        </is>
      </c>
      <c r="B329" s="0" t="n">
        <v>117347</v>
      </c>
      <c r="C329" s="0" t="n">
        <v>4</v>
      </c>
      <c r="D329" s="0" t="inlineStr">
        <is>
          <t>대원칸타빌더테라스1단지</t>
        </is>
      </c>
      <c r="E329" s="0" t="inlineStr">
        <is>
          <t>2019.12.</t>
        </is>
      </c>
      <c r="F329" s="0" t="n">
        <v>676</v>
      </c>
      <c r="G329" s="0" t="n">
        <v>39.08</v>
      </c>
      <c r="H329" s="0" t="n">
        <v>129.2</v>
      </c>
      <c r="I329" s="0" t="n">
        <v>31.94</v>
      </c>
      <c r="J329" s="0" t="n">
        <v>105.59</v>
      </c>
      <c r="K329" s="0" t="n">
        <v>100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129</v>
      </c>
      <c r="X329" s="0" t="n">
        <v>25</v>
      </c>
      <c r="Y329" s="0" t="n">
        <v>22</v>
      </c>
      <c r="Z329" s="0" t="inlineStr">
        <is>
          <t>https://new.land.naver.com/complexes/117347?tab=detail&amp;rf=Y</t>
        </is>
      </c>
      <c r="AA329" s="0" t="inlineStr">
        <is>
          <t>충청북도 청주시 상당구 용암동 동남택지개발지구 C1블럭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상당구</t>
        </is>
      </c>
      <c r="AE329" s="0" t="inlineStr">
        <is>
          <t>용암동</t>
        </is>
      </c>
      <c r="AG329" s="0" t="inlineStr">
        <is>
          <t>충청북도 청주시 상당구 중고개로 140</t>
        </is>
      </c>
      <c r="AH329" s="0" t="n">
        <v>0</v>
      </c>
      <c r="AI329" s="0" t="n">
        <v>0</v>
      </c>
      <c r="AJ329" s="0" t="n">
        <v>0</v>
      </c>
      <c r="AK329" s="0" t="n">
        <v>970</v>
      </c>
      <c r="AL329" s="0" t="n">
        <v>1.43</v>
      </c>
    </row>
    <row r="330">
      <c r="A330" s="0" t="inlineStr">
        <is>
          <t>[용암동]</t>
        </is>
      </c>
      <c r="B330" s="0" t="n">
        <v>117347</v>
      </c>
      <c r="C330" s="0" t="n">
        <v>5</v>
      </c>
      <c r="D330" s="0" t="inlineStr">
        <is>
          <t>대원칸타빌더테라스1단지</t>
        </is>
      </c>
      <c r="E330" s="0" t="inlineStr">
        <is>
          <t>2019.12.</t>
        </is>
      </c>
      <c r="F330" s="0" t="n">
        <v>676</v>
      </c>
      <c r="G330" s="0" t="n">
        <v>42.36</v>
      </c>
      <c r="H330" s="0" t="n">
        <v>140.06</v>
      </c>
      <c r="I330" s="0" t="n">
        <v>35.28</v>
      </c>
      <c r="J330" s="0" t="n">
        <v>116.64</v>
      </c>
      <c r="K330" s="0" t="n">
        <v>171</v>
      </c>
      <c r="T330" s="0" t="n">
        <v>4</v>
      </c>
      <c r="U330" s="0" t="n">
        <v>2</v>
      </c>
      <c r="V330" s="0" t="inlineStr">
        <is>
          <t>계단식</t>
        </is>
      </c>
      <c r="W330" s="0" t="n">
        <v>140</v>
      </c>
      <c r="X330" s="0" t="n">
        <v>25</v>
      </c>
      <c r="Y330" s="0" t="n">
        <v>22</v>
      </c>
      <c r="Z330" s="0" t="inlineStr">
        <is>
          <t>https://new.land.naver.com/complexes/117347?tab=detail&amp;rf=Y</t>
        </is>
      </c>
      <c r="AA330" s="0" t="inlineStr">
        <is>
          <t>충청북도 청주시 상당구 용암동 동남택지개발지구 C1블럭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상당구</t>
        </is>
      </c>
      <c r="AE330" s="0" t="inlineStr">
        <is>
          <t>용암동</t>
        </is>
      </c>
      <c r="AG330" s="0" t="inlineStr">
        <is>
          <t>충청북도 청주시 상당구 중고개로 140</t>
        </is>
      </c>
      <c r="AH330" s="0" t="n">
        <v>0</v>
      </c>
      <c r="AI330" s="0" t="n">
        <v>0</v>
      </c>
      <c r="AJ330" s="0" t="n">
        <v>0</v>
      </c>
      <c r="AK330" s="0" t="n">
        <v>970</v>
      </c>
      <c r="AL330" s="0" t="n">
        <v>1.43</v>
      </c>
    </row>
    <row r="331">
      <c r="A331" s="0" t="inlineStr">
        <is>
          <t>[용암동]</t>
        </is>
      </c>
      <c r="B331" s="0" t="n">
        <v>117347</v>
      </c>
      <c r="C331" s="0" t="n">
        <v>6</v>
      </c>
      <c r="D331" s="0" t="inlineStr">
        <is>
          <t>대원칸타빌더테라스1단지</t>
        </is>
      </c>
      <c r="E331" s="0" t="inlineStr">
        <is>
          <t>2019.12.</t>
        </is>
      </c>
      <c r="F331" s="0" t="n">
        <v>676</v>
      </c>
      <c r="G331" s="0" t="n">
        <v>44.01</v>
      </c>
      <c r="H331" s="0" t="n">
        <v>145.51</v>
      </c>
      <c r="I331" s="0" t="n">
        <v>36.66</v>
      </c>
      <c r="J331" s="0" t="n">
        <v>121.2</v>
      </c>
      <c r="K331" s="0" t="n">
        <v>25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145</v>
      </c>
      <c r="X331" s="0" t="n">
        <v>25</v>
      </c>
      <c r="Y331" s="0" t="n">
        <v>22</v>
      </c>
      <c r="Z331" s="0" t="inlineStr">
        <is>
          <t>https://new.land.naver.com/complexes/117347?tab=detail&amp;rf=Y</t>
        </is>
      </c>
      <c r="AA331" s="0" t="inlineStr">
        <is>
          <t>충청북도 청주시 상당구 용암동 동남택지개발지구 C1블럭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상당구</t>
        </is>
      </c>
      <c r="AE331" s="0" t="inlineStr">
        <is>
          <t>용암동</t>
        </is>
      </c>
      <c r="AG331" s="0" t="inlineStr">
        <is>
          <t>충청북도 청주시 상당구 중고개로 140</t>
        </is>
      </c>
      <c r="AH331" s="0" t="n">
        <v>0</v>
      </c>
      <c r="AI331" s="0" t="n">
        <v>0</v>
      </c>
      <c r="AJ331" s="0" t="n">
        <v>0</v>
      </c>
      <c r="AK331" s="0" t="n">
        <v>970</v>
      </c>
      <c r="AL331" s="0" t="n">
        <v>1.43</v>
      </c>
    </row>
    <row r="332">
      <c r="A332" s="0" t="inlineStr">
        <is>
          <t>[용암동]</t>
        </is>
      </c>
      <c r="B332" s="0" t="n">
        <v>22416</v>
      </c>
      <c r="C332" s="0" t="n">
        <v>1</v>
      </c>
      <c r="D332" s="0" t="inlineStr">
        <is>
          <t>중흥마을2단지부영</t>
        </is>
      </c>
      <c r="E332" s="0" t="inlineStr">
        <is>
          <t>2001.09.</t>
        </is>
      </c>
      <c r="F332" s="0" t="n">
        <v>620</v>
      </c>
      <c r="G332" s="0" t="n">
        <v>34.18</v>
      </c>
      <c r="H332" s="0" t="n">
        <v>113.02</v>
      </c>
      <c r="I332" s="0" t="n">
        <v>25.69</v>
      </c>
      <c r="J332" s="0" t="n">
        <v>84.95</v>
      </c>
      <c r="K332" s="0" t="n">
        <v>620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113</v>
      </c>
      <c r="X332" s="0" t="n">
        <v>15</v>
      </c>
      <c r="Y332" s="0" t="n">
        <v>11</v>
      </c>
      <c r="Z332" s="0" t="inlineStr">
        <is>
          <t>https://new.land.naver.com/complexes/22416?tab=detail&amp;rf=Y</t>
        </is>
      </c>
      <c r="AA332" s="0" t="inlineStr">
        <is>
          <t>충청북도 청주시 상당구 용암동 2444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상당구</t>
        </is>
      </c>
      <c r="AE332" s="0" t="inlineStr">
        <is>
          <t>용암동</t>
        </is>
      </c>
      <c r="AG332" s="0" t="inlineStr">
        <is>
          <t>충청북도 청주시 상당구 중흥로 196</t>
        </is>
      </c>
      <c r="AH332" s="0" t="n">
        <v>0</v>
      </c>
      <c r="AI332" s="0" t="n">
        <v>214</v>
      </c>
      <c r="AJ332" s="0" t="n">
        <v>20</v>
      </c>
      <c r="AK332" s="0" t="n">
        <v>717</v>
      </c>
      <c r="AL332" s="0" t="n">
        <v>1.16</v>
      </c>
    </row>
    <row r="333">
      <c r="A333" s="0" t="inlineStr">
        <is>
          <t>[용암동]</t>
        </is>
      </c>
      <c r="B333" s="0" t="n">
        <v>7044</v>
      </c>
      <c r="C333" s="0" t="n">
        <v>1</v>
      </c>
      <c r="D333" s="0" t="inlineStr">
        <is>
          <t>청주용암주공1단지</t>
        </is>
      </c>
      <c r="E333" s="0" t="inlineStr">
        <is>
          <t>1994.11.</t>
        </is>
      </c>
      <c r="F333" s="0" t="n">
        <v>600</v>
      </c>
      <c r="G333" s="0" t="n">
        <v>21.07</v>
      </c>
      <c r="H333" s="0" t="n">
        <v>69.66</v>
      </c>
      <c r="I333" s="0" t="n">
        <v>15.06</v>
      </c>
      <c r="J333" s="0" t="n">
        <v>49.8</v>
      </c>
      <c r="K333" s="0" t="n">
        <v>480</v>
      </c>
      <c r="T333" s="0" t="n">
        <v>2</v>
      </c>
      <c r="U333" s="0" t="n">
        <v>1</v>
      </c>
      <c r="V333" s="0" t="inlineStr">
        <is>
          <t>복도식</t>
        </is>
      </c>
      <c r="W333" s="0" t="inlineStr">
        <is>
          <t>69A</t>
        </is>
      </c>
      <c r="X333" s="0" t="n">
        <v>15</v>
      </c>
      <c r="Y333" s="0" t="n">
        <v>15</v>
      </c>
      <c r="Z333" s="0" t="inlineStr">
        <is>
          <t>https://new.land.naver.com/complexes/7044?tab=detail&amp;rf=Y</t>
        </is>
      </c>
      <c r="AA333" s="0" t="inlineStr">
        <is>
          <t>충청북도 청주시 상당구 용암동 2108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상당구</t>
        </is>
      </c>
      <c r="AE333" s="0" t="inlineStr">
        <is>
          <t>용암동</t>
        </is>
      </c>
      <c r="AG333" s="0" t="inlineStr">
        <is>
          <t>충청북도 청주시 상당구 원봉로 52</t>
        </is>
      </c>
      <c r="AH333" s="0" t="n">
        <v>0</v>
      </c>
      <c r="AI333" s="0" t="n">
        <v>207</v>
      </c>
      <c r="AJ333" s="0" t="n">
        <v>16</v>
      </c>
      <c r="AK333" s="0" t="n">
        <v>168</v>
      </c>
      <c r="AL333" s="0" t="n">
        <v>0.28</v>
      </c>
    </row>
    <row r="334">
      <c r="A334" s="0" t="inlineStr">
        <is>
          <t>[용암동]</t>
        </is>
      </c>
      <c r="B334" s="0" t="n">
        <v>7044</v>
      </c>
      <c r="C334" s="0" t="n">
        <v>2</v>
      </c>
      <c r="D334" s="0" t="inlineStr">
        <is>
          <t>청주용암주공1단지</t>
        </is>
      </c>
      <c r="E334" s="0" t="inlineStr">
        <is>
          <t>1994.11.</t>
        </is>
      </c>
      <c r="F334" s="0" t="n">
        <v>600</v>
      </c>
      <c r="G334" s="0" t="n">
        <v>21.46</v>
      </c>
      <c r="H334" s="0" t="n">
        <v>70.97</v>
      </c>
      <c r="I334" s="0" t="n">
        <v>15.06</v>
      </c>
      <c r="J334" s="0" t="n">
        <v>49.8</v>
      </c>
      <c r="K334" s="0" t="n">
        <v>120</v>
      </c>
      <c r="T334" s="0" t="n">
        <v>2</v>
      </c>
      <c r="U334" s="0" t="n">
        <v>1</v>
      </c>
      <c r="V334" s="0" t="inlineStr">
        <is>
          <t>복도식</t>
        </is>
      </c>
      <c r="W334" s="0" t="inlineStr">
        <is>
          <t>70B</t>
        </is>
      </c>
      <c r="X334" s="0" t="n">
        <v>15</v>
      </c>
      <c r="Y334" s="0" t="n">
        <v>15</v>
      </c>
      <c r="Z334" s="0" t="inlineStr">
        <is>
          <t>https://new.land.naver.com/complexes/7044?tab=detail&amp;rf=Y</t>
        </is>
      </c>
      <c r="AA334" s="0" t="inlineStr">
        <is>
          <t>충청북도 청주시 상당구 용암동 2108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상당구</t>
        </is>
      </c>
      <c r="AE334" s="0" t="inlineStr">
        <is>
          <t>용암동</t>
        </is>
      </c>
      <c r="AG334" s="0" t="inlineStr">
        <is>
          <t>충청북도 청주시 상당구 원봉로 52</t>
        </is>
      </c>
      <c r="AH334" s="0" t="n">
        <v>0</v>
      </c>
      <c r="AI334" s="0" t="n">
        <v>207</v>
      </c>
      <c r="AJ334" s="0" t="n">
        <v>16</v>
      </c>
      <c r="AK334" s="0" t="n">
        <v>168</v>
      </c>
      <c r="AL334" s="0" t="n">
        <v>0.28</v>
      </c>
    </row>
    <row r="335">
      <c r="A335" s="0" t="inlineStr">
        <is>
          <t>[용암동]</t>
        </is>
      </c>
      <c r="B335" s="0" t="n">
        <v>126163</v>
      </c>
      <c r="C335" s="0" t="n">
        <v>1</v>
      </c>
      <c r="D335" s="0" t="inlineStr">
        <is>
          <t>청주동남지구우미린에듀포레</t>
        </is>
      </c>
      <c r="E335" s="0" t="inlineStr">
        <is>
          <t>2022.01.</t>
        </is>
      </c>
      <c r="F335" s="0" t="n">
        <v>489</v>
      </c>
      <c r="G335" s="0" t="n">
        <v>32.76</v>
      </c>
      <c r="H335" s="0" t="n">
        <v>108.3</v>
      </c>
      <c r="I335" s="0" t="n">
        <v>25.7</v>
      </c>
      <c r="J335" s="0" t="n">
        <v>84.95999999999999</v>
      </c>
      <c r="K335" s="0" t="n">
        <v>228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25</v>
      </c>
      <c r="Y335" s="0" t="n">
        <v>23</v>
      </c>
      <c r="Z335" s="0" t="inlineStr">
        <is>
          <t>https://new.land.naver.com/complexes/126163?tab=detail&amp;rf=Y</t>
        </is>
      </c>
      <c r="AA335" s="0" t="inlineStr">
        <is>
          <t>충청북도 청주시 상당구 용암동 동남택지개발지구 C-2BL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상당구</t>
        </is>
      </c>
      <c r="AE335" s="0" t="inlineStr">
        <is>
          <t>용암동</t>
        </is>
      </c>
      <c r="AG335" s="0" t="inlineStr">
        <is>
          <t>충청북도 청주시 상당구</t>
        </is>
      </c>
      <c r="AH335" s="0" t="n">
        <v>0</v>
      </c>
      <c r="AI335" s="0" t="n">
        <v>0</v>
      </c>
      <c r="AJ335" s="0" t="n">
        <v>0</v>
      </c>
      <c r="AK335" s="0" t="n">
        <v>679</v>
      </c>
      <c r="AL335" s="0" t="n">
        <v>1.39</v>
      </c>
    </row>
    <row r="336">
      <c r="A336" s="0" t="inlineStr">
        <is>
          <t>[용암동]</t>
        </is>
      </c>
      <c r="B336" s="0" t="n">
        <v>126163</v>
      </c>
      <c r="C336" s="0" t="n">
        <v>2</v>
      </c>
      <c r="D336" s="0" t="inlineStr">
        <is>
          <t>청주동남지구우미린에듀포레</t>
        </is>
      </c>
      <c r="E336" s="0" t="inlineStr">
        <is>
          <t>2022.01.</t>
        </is>
      </c>
      <c r="F336" s="0" t="n">
        <v>489</v>
      </c>
      <c r="G336" s="0" t="n">
        <v>32.99</v>
      </c>
      <c r="H336" s="0" t="n">
        <v>109.09</v>
      </c>
      <c r="I336" s="0" t="n">
        <v>25.69</v>
      </c>
      <c r="J336" s="0" t="n">
        <v>84.93000000000001</v>
      </c>
      <c r="K336" s="0" t="n">
        <v>46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109B</t>
        </is>
      </c>
      <c r="X336" s="0" t="n">
        <v>25</v>
      </c>
      <c r="Y336" s="0" t="n">
        <v>23</v>
      </c>
      <c r="Z336" s="0" t="inlineStr">
        <is>
          <t>https://new.land.naver.com/complexes/126163?tab=detail&amp;rf=Y</t>
        </is>
      </c>
      <c r="AA336" s="0" t="inlineStr">
        <is>
          <t>충청북도 청주시 상당구 용암동 동남택지개발지구 C-2BL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상당구</t>
        </is>
      </c>
      <c r="AE336" s="0" t="inlineStr">
        <is>
          <t>용암동</t>
        </is>
      </c>
      <c r="AG336" s="0" t="inlineStr">
        <is>
          <t>충청북도 청주시 상당구</t>
        </is>
      </c>
      <c r="AH336" s="0" t="n">
        <v>0</v>
      </c>
      <c r="AI336" s="0" t="n">
        <v>0</v>
      </c>
      <c r="AJ336" s="0" t="n">
        <v>0</v>
      </c>
      <c r="AK336" s="0" t="n">
        <v>679</v>
      </c>
      <c r="AL336" s="0" t="n">
        <v>1.39</v>
      </c>
    </row>
    <row r="337">
      <c r="A337" s="0" t="inlineStr">
        <is>
          <t>[용암동]</t>
        </is>
      </c>
      <c r="B337" s="0" t="n">
        <v>126163</v>
      </c>
      <c r="C337" s="0" t="n">
        <v>3</v>
      </c>
      <c r="D337" s="0" t="inlineStr">
        <is>
          <t>청주동남지구우미린에듀포레</t>
        </is>
      </c>
      <c r="E337" s="0" t="inlineStr">
        <is>
          <t>2022.01.</t>
        </is>
      </c>
      <c r="F337" s="0" t="n">
        <v>489</v>
      </c>
      <c r="G337" s="0" t="n">
        <v>36.63</v>
      </c>
      <c r="H337" s="0" t="n">
        <v>121.11</v>
      </c>
      <c r="I337" s="0" t="n">
        <v>28.98</v>
      </c>
      <c r="J337" s="0" t="n">
        <v>95.81999999999999</v>
      </c>
      <c r="K337" s="0" t="n">
        <v>17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121A</t>
        </is>
      </c>
      <c r="X337" s="0" t="n">
        <v>25</v>
      </c>
      <c r="Y337" s="0" t="n">
        <v>23</v>
      </c>
      <c r="Z337" s="0" t="inlineStr">
        <is>
          <t>https://new.land.naver.com/complexes/126163?tab=detail&amp;rf=Y</t>
        </is>
      </c>
      <c r="AA337" s="0" t="inlineStr">
        <is>
          <t>충청북도 청주시 상당구 용암동 동남택지개발지구 C-2BL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상당구</t>
        </is>
      </c>
      <c r="AE337" s="0" t="inlineStr">
        <is>
          <t>용암동</t>
        </is>
      </c>
      <c r="AG337" s="0" t="inlineStr">
        <is>
          <t>충청북도 청주시 상당구</t>
        </is>
      </c>
      <c r="AH337" s="0" t="n">
        <v>0</v>
      </c>
      <c r="AI337" s="0" t="n">
        <v>0</v>
      </c>
      <c r="AJ337" s="0" t="n">
        <v>0</v>
      </c>
      <c r="AK337" s="0" t="n">
        <v>679</v>
      </c>
      <c r="AL337" s="0" t="n">
        <v>1.39</v>
      </c>
    </row>
    <row r="338">
      <c r="A338" s="0" t="inlineStr">
        <is>
          <t>[용암동]</t>
        </is>
      </c>
      <c r="B338" s="0" t="n">
        <v>126163</v>
      </c>
      <c r="C338" s="0" t="n">
        <v>4</v>
      </c>
      <c r="D338" s="0" t="inlineStr">
        <is>
          <t>청주동남지구우미린에듀포레</t>
        </is>
      </c>
      <c r="E338" s="0" t="inlineStr">
        <is>
          <t>2022.01.</t>
        </is>
      </c>
      <c r="F338" s="0" t="n">
        <v>489</v>
      </c>
      <c r="G338" s="0" t="n">
        <v>36.87</v>
      </c>
      <c r="H338" s="0" t="n">
        <v>121.89</v>
      </c>
      <c r="I338" s="0" t="n">
        <v>28.97</v>
      </c>
      <c r="J338" s="0" t="n">
        <v>95.79000000000001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121B</t>
        </is>
      </c>
      <c r="X338" s="0" t="n">
        <v>25</v>
      </c>
      <c r="Y338" s="0" t="n">
        <v>23</v>
      </c>
      <c r="Z338" s="0" t="inlineStr">
        <is>
          <t>https://new.land.naver.com/complexes/126163?tab=detail&amp;rf=Y</t>
        </is>
      </c>
      <c r="AA338" s="0" t="inlineStr">
        <is>
          <t>충청북도 청주시 상당구 용암동 동남택지개발지구 C-2BL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상당구</t>
        </is>
      </c>
      <c r="AE338" s="0" t="inlineStr">
        <is>
          <t>용암동</t>
        </is>
      </c>
      <c r="AG338" s="0" t="inlineStr">
        <is>
          <t>충청북도 청주시 상당구</t>
        </is>
      </c>
      <c r="AH338" s="0" t="n">
        <v>0</v>
      </c>
      <c r="AI338" s="0" t="n">
        <v>0</v>
      </c>
      <c r="AJ338" s="0" t="n">
        <v>0</v>
      </c>
      <c r="AK338" s="0" t="n">
        <v>679</v>
      </c>
      <c r="AL338" s="0" t="n">
        <v>1.39</v>
      </c>
    </row>
    <row r="339">
      <c r="A339" s="0" t="inlineStr">
        <is>
          <t>[용암동]</t>
        </is>
      </c>
      <c r="B339" s="0" t="n">
        <v>126163</v>
      </c>
      <c r="C339" s="0" t="n">
        <v>5</v>
      </c>
      <c r="D339" s="0" t="inlineStr">
        <is>
          <t>청주동남지구우미린에듀포레</t>
        </is>
      </c>
      <c r="E339" s="0" t="inlineStr">
        <is>
          <t>2022.01.</t>
        </is>
      </c>
      <c r="F339" s="0" t="n">
        <v>489</v>
      </c>
      <c r="G339" s="0" t="n">
        <v>38.55</v>
      </c>
      <c r="H339" s="0" t="n">
        <v>127.47</v>
      </c>
      <c r="I339" s="0" t="n">
        <v>30.54</v>
      </c>
      <c r="J339" s="0" t="n">
        <v>100.96</v>
      </c>
      <c r="K339" s="0" t="n">
        <v>145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127</v>
      </c>
      <c r="X339" s="0" t="n">
        <v>25</v>
      </c>
      <c r="Y339" s="0" t="n">
        <v>23</v>
      </c>
      <c r="Z339" s="0" t="inlineStr">
        <is>
          <t>https://new.land.naver.com/complexes/126163?tab=detail&amp;rf=Y</t>
        </is>
      </c>
      <c r="AA339" s="0" t="inlineStr">
        <is>
          <t>충청북도 청주시 상당구 용암동 동남택지개발지구 C-2BL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상당구</t>
        </is>
      </c>
      <c r="AE339" s="0" t="inlineStr">
        <is>
          <t>용암동</t>
        </is>
      </c>
      <c r="AG339" s="0" t="inlineStr">
        <is>
          <t>충청북도 청주시 상당구</t>
        </is>
      </c>
      <c r="AH339" s="0" t="n">
        <v>0</v>
      </c>
      <c r="AI339" s="0" t="n">
        <v>0</v>
      </c>
      <c r="AJ339" s="0" t="n">
        <v>0</v>
      </c>
      <c r="AK339" s="0" t="n">
        <v>679</v>
      </c>
      <c r="AL339" s="0" t="n">
        <v>1.39</v>
      </c>
    </row>
    <row r="340">
      <c r="A340" s="0" t="inlineStr">
        <is>
          <t>[용암동]</t>
        </is>
      </c>
      <c r="B340" s="0" t="n">
        <v>126163</v>
      </c>
      <c r="C340" s="0" t="n">
        <v>6</v>
      </c>
      <c r="D340" s="0" t="inlineStr">
        <is>
          <t>청주동남지구우미린에듀포레</t>
        </is>
      </c>
      <c r="E340" s="0" t="inlineStr">
        <is>
          <t>2022.01.</t>
        </is>
      </c>
      <c r="F340" s="0" t="n">
        <v>489</v>
      </c>
      <c r="G340" s="0" t="n">
        <v>44.33</v>
      </c>
      <c r="H340" s="0" t="n">
        <v>146.57</v>
      </c>
      <c r="I340" s="0" t="n">
        <v>35.07</v>
      </c>
      <c r="J340" s="0" t="n">
        <v>115.95</v>
      </c>
      <c r="K340" s="0" t="n">
        <v>49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146</v>
      </c>
      <c r="X340" s="0" t="n">
        <v>25</v>
      </c>
      <c r="Y340" s="0" t="n">
        <v>23</v>
      </c>
      <c r="Z340" s="0" t="inlineStr">
        <is>
          <t>https://new.land.naver.com/complexes/126163?tab=detail&amp;rf=Y</t>
        </is>
      </c>
      <c r="AA340" s="0" t="inlineStr">
        <is>
          <t>충청북도 청주시 상당구 용암동 동남택지개발지구 C-2BL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상당구</t>
        </is>
      </c>
      <c r="AE340" s="0" t="inlineStr">
        <is>
          <t>용암동</t>
        </is>
      </c>
      <c r="AG340" s="0" t="inlineStr">
        <is>
          <t>충청북도 청주시 상당구</t>
        </is>
      </c>
      <c r="AH340" s="0" t="n">
        <v>0</v>
      </c>
      <c r="AI340" s="0" t="n">
        <v>0</v>
      </c>
      <c r="AJ340" s="0" t="n">
        <v>0</v>
      </c>
      <c r="AK340" s="0" t="n">
        <v>679</v>
      </c>
      <c r="AL340" s="0" t="n">
        <v>1.39</v>
      </c>
    </row>
    <row r="341">
      <c r="A341" s="0" t="inlineStr">
        <is>
          <t>[용암동]</t>
        </is>
      </c>
      <c r="B341" s="0" t="n">
        <v>13516</v>
      </c>
      <c r="C341" s="0" t="n">
        <v>1</v>
      </c>
      <c r="D341" s="0" t="inlineStr">
        <is>
          <t>중흥마을마이빌</t>
        </is>
      </c>
      <c r="E341" s="0" t="inlineStr">
        <is>
          <t>2003.07.</t>
        </is>
      </c>
      <c r="F341" s="0" t="n">
        <v>856</v>
      </c>
      <c r="G341" s="0" t="n">
        <v>22.69</v>
      </c>
      <c r="H341" s="0" t="n">
        <v>75.01000000000001</v>
      </c>
      <c r="I341" s="0" t="n">
        <v>18.12</v>
      </c>
      <c r="J341" s="0" t="n">
        <v>59.91</v>
      </c>
      <c r="K341" s="0" t="n">
        <v>390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75A</t>
        </is>
      </c>
      <c r="X341" s="0" t="n">
        <v>15</v>
      </c>
      <c r="Y341" s="0" t="n">
        <v>11</v>
      </c>
      <c r="Z341" s="0" t="inlineStr">
        <is>
          <t>https://new.land.naver.com/complexes/13516?tab=detail&amp;rf=Y</t>
        </is>
      </c>
      <c r="AA341" s="0" t="inlineStr">
        <is>
          <t>충청북도 청주시 상당구 용암동 2537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상당구</t>
        </is>
      </c>
      <c r="AE341" s="0" t="inlineStr">
        <is>
          <t>용암동</t>
        </is>
      </c>
      <c r="AG341" s="0" t="inlineStr">
        <is>
          <t>충청북도 청주시 상당구 중흥로 148</t>
        </is>
      </c>
      <c r="AH341" s="0" t="n">
        <v>0</v>
      </c>
      <c r="AI341" s="0" t="n">
        <v>200</v>
      </c>
      <c r="AJ341" s="0" t="n">
        <v>18</v>
      </c>
      <c r="AK341" s="0" t="n">
        <v>731</v>
      </c>
      <c r="AL341" s="0" t="n">
        <v>0.85</v>
      </c>
    </row>
    <row r="342">
      <c r="A342" s="0" t="inlineStr">
        <is>
          <t>[용암동]</t>
        </is>
      </c>
      <c r="B342" s="0" t="n">
        <v>13516</v>
      </c>
      <c r="C342" s="0" t="n">
        <v>2</v>
      </c>
      <c r="D342" s="0" t="inlineStr">
        <is>
          <t>중흥마을마이빌</t>
        </is>
      </c>
      <c r="E342" s="0" t="inlineStr">
        <is>
          <t>2003.07.</t>
        </is>
      </c>
      <c r="F342" s="0" t="n">
        <v>856</v>
      </c>
      <c r="G342" s="0" t="n">
        <v>22.7</v>
      </c>
      <c r="H342" s="0" t="n">
        <v>75.06</v>
      </c>
      <c r="I342" s="0" t="n">
        <v>17.96</v>
      </c>
      <c r="J342" s="0" t="n">
        <v>59.4</v>
      </c>
      <c r="K342" s="0" t="n">
        <v>214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75C</t>
        </is>
      </c>
      <c r="X342" s="0" t="n">
        <v>15</v>
      </c>
      <c r="Y342" s="0" t="n">
        <v>11</v>
      </c>
      <c r="Z342" s="0" t="inlineStr">
        <is>
          <t>https://new.land.naver.com/complexes/13516?tab=detail&amp;rf=Y</t>
        </is>
      </c>
      <c r="AA342" s="0" t="inlineStr">
        <is>
          <t>충청북도 청주시 상당구 용암동 2537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상당구</t>
        </is>
      </c>
      <c r="AE342" s="0" t="inlineStr">
        <is>
          <t>용암동</t>
        </is>
      </c>
      <c r="AG342" s="0" t="inlineStr">
        <is>
          <t>충청북도 청주시 상당구 중흥로 148</t>
        </is>
      </c>
      <c r="AH342" s="0" t="n">
        <v>0</v>
      </c>
      <c r="AI342" s="0" t="n">
        <v>200</v>
      </c>
      <c r="AJ342" s="0" t="n">
        <v>18</v>
      </c>
      <c r="AK342" s="0" t="n">
        <v>731</v>
      </c>
      <c r="AL342" s="0" t="n">
        <v>0.85</v>
      </c>
    </row>
    <row r="343">
      <c r="A343" s="0" t="inlineStr">
        <is>
          <t>[용암동]</t>
        </is>
      </c>
      <c r="B343" s="0" t="n">
        <v>13516</v>
      </c>
      <c r="C343" s="0" t="n">
        <v>3</v>
      </c>
      <c r="D343" s="0" t="inlineStr">
        <is>
          <t>중흥마을마이빌</t>
        </is>
      </c>
      <c r="E343" s="0" t="inlineStr">
        <is>
          <t>2003.07.</t>
        </is>
      </c>
      <c r="F343" s="0" t="n">
        <v>856</v>
      </c>
      <c r="G343" s="0" t="n">
        <v>22.69</v>
      </c>
      <c r="H343" s="0" t="n">
        <v>75.03</v>
      </c>
      <c r="I343" s="0" t="n">
        <v>18.11</v>
      </c>
      <c r="J343" s="0" t="n">
        <v>59.9</v>
      </c>
      <c r="K343" s="0" t="n">
        <v>192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75B</t>
        </is>
      </c>
      <c r="X343" s="0" t="n">
        <v>15</v>
      </c>
      <c r="Y343" s="0" t="n">
        <v>11</v>
      </c>
      <c r="Z343" s="0" t="inlineStr">
        <is>
          <t>https://new.land.naver.com/complexes/13516?tab=detail&amp;rf=Y</t>
        </is>
      </c>
      <c r="AA343" s="0" t="inlineStr">
        <is>
          <t>충청북도 청주시 상당구 용암동 2537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상당구</t>
        </is>
      </c>
      <c r="AE343" s="0" t="inlineStr">
        <is>
          <t>용암동</t>
        </is>
      </c>
      <c r="AG343" s="0" t="inlineStr">
        <is>
          <t>충청북도 청주시 상당구 중흥로 148</t>
        </is>
      </c>
      <c r="AH343" s="0" t="n">
        <v>0</v>
      </c>
      <c r="AI343" s="0" t="n">
        <v>200</v>
      </c>
      <c r="AJ343" s="0" t="n">
        <v>18</v>
      </c>
      <c r="AK343" s="0" t="n">
        <v>731</v>
      </c>
      <c r="AL343" s="0" t="n">
        <v>0.85</v>
      </c>
    </row>
    <row r="344">
      <c r="A344" s="0" t="inlineStr">
        <is>
          <t>[용암동]</t>
        </is>
      </c>
      <c r="B344" s="0" t="n">
        <v>13516</v>
      </c>
      <c r="C344" s="0" t="n">
        <v>4</v>
      </c>
      <c r="D344" s="0" t="inlineStr">
        <is>
          <t>중흥마을마이빌</t>
        </is>
      </c>
      <c r="E344" s="0" t="inlineStr">
        <is>
          <t>2003.07.</t>
        </is>
      </c>
      <c r="F344" s="0" t="n">
        <v>856</v>
      </c>
      <c r="G344" s="0" t="n">
        <v>22.69</v>
      </c>
      <c r="H344" s="0" t="n">
        <v>75.01000000000001</v>
      </c>
      <c r="I344" s="0" t="n">
        <v>17.94</v>
      </c>
      <c r="J344" s="0" t="n">
        <v>59.32</v>
      </c>
      <c r="K344" s="0" t="n">
        <v>60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75D</t>
        </is>
      </c>
      <c r="X344" s="0" t="n">
        <v>15</v>
      </c>
      <c r="Y344" s="0" t="n">
        <v>11</v>
      </c>
      <c r="Z344" s="0" t="inlineStr">
        <is>
          <t>https://new.land.naver.com/complexes/13516?tab=detail&amp;rf=Y</t>
        </is>
      </c>
      <c r="AA344" s="0" t="inlineStr">
        <is>
          <t>충청북도 청주시 상당구 용암동 2537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상당구</t>
        </is>
      </c>
      <c r="AE344" s="0" t="inlineStr">
        <is>
          <t>용암동</t>
        </is>
      </c>
      <c r="AG344" s="0" t="inlineStr">
        <is>
          <t>충청북도 청주시 상당구 중흥로 148</t>
        </is>
      </c>
      <c r="AH344" s="0" t="n">
        <v>0</v>
      </c>
      <c r="AI344" s="0" t="n">
        <v>200</v>
      </c>
      <c r="AJ344" s="0" t="n">
        <v>18</v>
      </c>
      <c r="AK344" s="0" t="n">
        <v>731</v>
      </c>
      <c r="AL344" s="0" t="n">
        <v>0.85</v>
      </c>
    </row>
    <row r="345">
      <c r="A345" s="0" t="inlineStr">
        <is>
          <t>[용암동]</t>
        </is>
      </c>
      <c r="B345" s="0" t="n">
        <v>124868</v>
      </c>
      <c r="C345" s="0" t="n">
        <v>1</v>
      </c>
      <c r="D345" s="0" t="inlineStr">
        <is>
          <t>동남힐데스하임</t>
        </is>
      </c>
      <c r="E345" s="0" t="inlineStr">
        <is>
          <t>2020.09.</t>
        </is>
      </c>
      <c r="F345" s="0" t="n">
        <v>910</v>
      </c>
      <c r="G345" s="0" t="n">
        <v>32.65</v>
      </c>
      <c r="H345" s="0" t="n">
        <v>107.95</v>
      </c>
      <c r="I345" s="0" t="n">
        <v>25.69</v>
      </c>
      <c r="J345" s="0" t="n">
        <v>84.95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107C</t>
        </is>
      </c>
      <c r="X345" s="0" t="n">
        <v>25</v>
      </c>
      <c r="Y345" s="0" t="n">
        <v>21</v>
      </c>
      <c r="Z345" s="0" t="inlineStr">
        <is>
          <t>https://new.land.naver.com/complexes/124868?tab=detail&amp;rf=Y</t>
        </is>
      </c>
      <c r="AA345" s="0" t="inlineStr">
        <is>
          <t>충청북도 청주시 상당구 용암동 동남택지개발지구 B-9블록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상당구</t>
        </is>
      </c>
      <c r="AE345" s="0" t="inlineStr">
        <is>
          <t>용암동</t>
        </is>
      </c>
      <c r="AG345" s="0" t="inlineStr">
        <is>
          <t>충청북도 청주시 상당구 월운로 116</t>
        </is>
      </c>
      <c r="AH345" s="0" t="n">
        <v>910</v>
      </c>
      <c r="AI345" s="0" t="n">
        <v>199</v>
      </c>
      <c r="AJ345" s="0" t="n">
        <v>14</v>
      </c>
      <c r="AK345" s="0" t="n">
        <v>1186</v>
      </c>
      <c r="AL345" s="0" t="n">
        <v>1.3</v>
      </c>
    </row>
    <row r="346">
      <c r="A346" s="0" t="inlineStr">
        <is>
          <t>[용암동]</t>
        </is>
      </c>
      <c r="B346" s="0" t="n">
        <v>124868</v>
      </c>
      <c r="C346" s="0" t="n">
        <v>2</v>
      </c>
      <c r="D346" s="0" t="inlineStr">
        <is>
          <t>동남힐데스하임</t>
        </is>
      </c>
      <c r="E346" s="0" t="inlineStr">
        <is>
          <t>2020.09.</t>
        </is>
      </c>
      <c r="F346" s="0" t="n">
        <v>910</v>
      </c>
      <c r="G346" s="0" t="n">
        <v>32.73</v>
      </c>
      <c r="H346" s="0" t="n">
        <v>108.21</v>
      </c>
      <c r="I346" s="0" t="n">
        <v>25.66</v>
      </c>
      <c r="J346" s="0" t="n">
        <v>84.84</v>
      </c>
      <c r="K346" s="0" t="n">
        <v>619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108A</t>
        </is>
      </c>
      <c r="X346" s="0" t="n">
        <v>25</v>
      </c>
      <c r="Y346" s="0" t="n">
        <v>21</v>
      </c>
      <c r="Z346" s="0" t="inlineStr">
        <is>
          <t>https://new.land.naver.com/complexes/124868?tab=detail&amp;rf=Y</t>
        </is>
      </c>
      <c r="AA346" s="0" t="inlineStr">
        <is>
          <t>충청북도 청주시 상당구 용암동 동남택지개발지구 B-9블록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상당구</t>
        </is>
      </c>
      <c r="AE346" s="0" t="inlineStr">
        <is>
          <t>용암동</t>
        </is>
      </c>
      <c r="AG346" s="0" t="inlineStr">
        <is>
          <t>충청북도 청주시 상당구 월운로 116</t>
        </is>
      </c>
      <c r="AH346" s="0" t="n">
        <v>910</v>
      </c>
      <c r="AI346" s="0" t="n">
        <v>199</v>
      </c>
      <c r="AJ346" s="0" t="n">
        <v>14</v>
      </c>
      <c r="AK346" s="0" t="n">
        <v>1186</v>
      </c>
      <c r="AL346" s="0" t="n">
        <v>1.3</v>
      </c>
    </row>
    <row r="347">
      <c r="A347" s="0" t="inlineStr">
        <is>
          <t>[용암동]</t>
        </is>
      </c>
      <c r="B347" s="0" t="n">
        <v>124868</v>
      </c>
      <c r="C347" s="0" t="n">
        <v>3</v>
      </c>
      <c r="D347" s="0" t="inlineStr">
        <is>
          <t>동남힐데스하임</t>
        </is>
      </c>
      <c r="E347" s="0" t="inlineStr">
        <is>
          <t>2020.09.</t>
        </is>
      </c>
      <c r="F347" s="0" t="n">
        <v>910</v>
      </c>
      <c r="G347" s="0" t="n">
        <v>32.8</v>
      </c>
      <c r="H347" s="0" t="n">
        <v>108.45</v>
      </c>
      <c r="I347" s="0" t="n">
        <v>25.65</v>
      </c>
      <c r="J347" s="0" t="n">
        <v>84.81</v>
      </c>
      <c r="K347" s="0" t="n">
        <v>175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25</v>
      </c>
      <c r="Y347" s="0" t="n">
        <v>21</v>
      </c>
      <c r="Z347" s="0" t="inlineStr">
        <is>
          <t>https://new.land.naver.com/complexes/124868?tab=detail&amp;rf=Y</t>
        </is>
      </c>
      <c r="AA347" s="0" t="inlineStr">
        <is>
          <t>충청북도 청주시 상당구 용암동 동남택지개발지구 B-9블록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상당구</t>
        </is>
      </c>
      <c r="AE347" s="0" t="inlineStr">
        <is>
          <t>용암동</t>
        </is>
      </c>
      <c r="AG347" s="0" t="inlineStr">
        <is>
          <t>충청북도 청주시 상당구 월운로 116</t>
        </is>
      </c>
      <c r="AH347" s="0" t="n">
        <v>910</v>
      </c>
      <c r="AI347" s="0" t="n">
        <v>199</v>
      </c>
      <c r="AJ347" s="0" t="n">
        <v>14</v>
      </c>
      <c r="AK347" s="0" t="n">
        <v>1186</v>
      </c>
      <c r="AL347" s="0" t="n">
        <v>1.3</v>
      </c>
    </row>
    <row r="348">
      <c r="A348" s="0" t="inlineStr">
        <is>
          <t>[용암동]</t>
        </is>
      </c>
      <c r="B348" s="0" t="n">
        <v>119336</v>
      </c>
      <c r="C348" s="0" t="n">
        <v>1</v>
      </c>
      <c r="D348" s="0" t="inlineStr">
        <is>
          <t>청주동남시티프라디움B1블록</t>
        </is>
      </c>
      <c r="E348" s="0" t="inlineStr">
        <is>
          <t>2020.03.</t>
        </is>
      </c>
      <c r="F348" s="0" t="n">
        <v>797</v>
      </c>
      <c r="G348" s="0" t="n">
        <v>32.11</v>
      </c>
      <c r="H348" s="0" t="n">
        <v>106.15</v>
      </c>
      <c r="I348" s="0" t="n">
        <v>25.7</v>
      </c>
      <c r="J348" s="0" t="n">
        <v>84.98999999999999</v>
      </c>
      <c r="K348" s="0" t="n">
        <v>272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106A</t>
        </is>
      </c>
      <c r="X348" s="0" t="n">
        <v>25</v>
      </c>
      <c r="Y348" s="0" t="n">
        <v>22</v>
      </c>
      <c r="Z348" s="0" t="inlineStr">
        <is>
          <t>https://new.land.naver.com/complexes/119336?tab=detail&amp;rf=Y</t>
        </is>
      </c>
      <c r="AA348" s="0" t="inlineStr">
        <is>
          <t>충청북도 청주시 상당구 용암동 동남택지개발지구B1블록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상당구</t>
        </is>
      </c>
      <c r="AE348" s="0" t="inlineStr">
        <is>
          <t>용암동</t>
        </is>
      </c>
      <c r="AG348" s="0" t="inlineStr">
        <is>
          <t>충청북도 청주시 상당구 중고개로142번길 31</t>
        </is>
      </c>
      <c r="AH348" s="0" t="n">
        <v>0</v>
      </c>
      <c r="AI348" s="0" t="n">
        <v>198</v>
      </c>
      <c r="AJ348" s="0" t="n">
        <v>15</v>
      </c>
      <c r="AK348" s="0" t="n">
        <v>1037</v>
      </c>
      <c r="AL348" s="0" t="n">
        <v>1.3</v>
      </c>
    </row>
    <row r="349">
      <c r="A349" s="0" t="inlineStr">
        <is>
          <t>[용암동]</t>
        </is>
      </c>
      <c r="B349" s="0" t="n">
        <v>119336</v>
      </c>
      <c r="C349" s="0" t="n">
        <v>2</v>
      </c>
      <c r="D349" s="0" t="inlineStr">
        <is>
          <t>청주동남시티프라디움B1블록</t>
        </is>
      </c>
      <c r="E349" s="0" t="inlineStr">
        <is>
          <t>2020.03.</t>
        </is>
      </c>
      <c r="F349" s="0" t="n">
        <v>797</v>
      </c>
      <c r="G349" s="0" t="n">
        <v>32.13</v>
      </c>
      <c r="H349" s="0" t="n">
        <v>106.22</v>
      </c>
      <c r="I349" s="0" t="n">
        <v>25.69</v>
      </c>
      <c r="J349" s="0" t="n">
        <v>84.95</v>
      </c>
      <c r="K349" s="0" t="n">
        <v>200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106C</t>
        </is>
      </c>
      <c r="X349" s="0" t="n">
        <v>25</v>
      </c>
      <c r="Y349" s="0" t="n">
        <v>22</v>
      </c>
      <c r="Z349" s="0" t="inlineStr">
        <is>
          <t>https://new.land.naver.com/complexes/119336?tab=detail&amp;rf=Y</t>
        </is>
      </c>
      <c r="AA349" s="0" t="inlineStr">
        <is>
          <t>충청북도 청주시 상당구 용암동 동남택지개발지구B1블록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상당구</t>
        </is>
      </c>
      <c r="AE349" s="0" t="inlineStr">
        <is>
          <t>용암동</t>
        </is>
      </c>
      <c r="AG349" s="0" t="inlineStr">
        <is>
          <t>충청북도 청주시 상당구 중고개로142번길 31</t>
        </is>
      </c>
      <c r="AH349" s="0" t="n">
        <v>0</v>
      </c>
      <c r="AI349" s="0" t="n">
        <v>198</v>
      </c>
      <c r="AJ349" s="0" t="n">
        <v>15</v>
      </c>
      <c r="AK349" s="0" t="n">
        <v>1037</v>
      </c>
      <c r="AL349" s="0" t="n">
        <v>1.3</v>
      </c>
    </row>
    <row r="350">
      <c r="A350" s="0" t="inlineStr">
        <is>
          <t>[용암동]</t>
        </is>
      </c>
      <c r="B350" s="0" t="n">
        <v>119336</v>
      </c>
      <c r="C350" s="0" t="n">
        <v>3</v>
      </c>
      <c r="D350" s="0" t="inlineStr">
        <is>
          <t>청주동남시티프라디움B1블록</t>
        </is>
      </c>
      <c r="E350" s="0" t="inlineStr">
        <is>
          <t>2020.03.</t>
        </is>
      </c>
      <c r="F350" s="0" t="n">
        <v>797</v>
      </c>
      <c r="G350" s="0" t="n">
        <v>32.27</v>
      </c>
      <c r="H350" s="0" t="n">
        <v>106.71</v>
      </c>
      <c r="I350" s="0" t="n">
        <v>25.7</v>
      </c>
      <c r="J350" s="0" t="n">
        <v>84.98</v>
      </c>
      <c r="K350" s="0" t="n">
        <v>125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106D</t>
        </is>
      </c>
      <c r="X350" s="0" t="n">
        <v>25</v>
      </c>
      <c r="Y350" s="0" t="n">
        <v>22</v>
      </c>
      <c r="Z350" s="0" t="inlineStr">
        <is>
          <t>https://new.land.naver.com/complexes/119336?tab=detail&amp;rf=Y</t>
        </is>
      </c>
      <c r="AA350" s="0" t="inlineStr">
        <is>
          <t>충청북도 청주시 상당구 용암동 동남택지개발지구B1블록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상당구</t>
        </is>
      </c>
      <c r="AE350" s="0" t="inlineStr">
        <is>
          <t>용암동</t>
        </is>
      </c>
      <c r="AG350" s="0" t="inlineStr">
        <is>
          <t>충청북도 청주시 상당구 중고개로142번길 31</t>
        </is>
      </c>
      <c r="AH350" s="0" t="n">
        <v>0</v>
      </c>
      <c r="AI350" s="0" t="n">
        <v>198</v>
      </c>
      <c r="AJ350" s="0" t="n">
        <v>15</v>
      </c>
      <c r="AK350" s="0" t="n">
        <v>1037</v>
      </c>
      <c r="AL350" s="0" t="n">
        <v>1.3</v>
      </c>
    </row>
    <row r="351">
      <c r="A351" s="0" t="inlineStr">
        <is>
          <t>[용암동]</t>
        </is>
      </c>
      <c r="B351" s="0" t="n">
        <v>119336</v>
      </c>
      <c r="C351" s="0" t="n">
        <v>4</v>
      </c>
      <c r="D351" s="0" t="inlineStr">
        <is>
          <t>청주동남시티프라디움B1블록</t>
        </is>
      </c>
      <c r="E351" s="0" t="inlineStr">
        <is>
          <t>2020.03.</t>
        </is>
      </c>
      <c r="F351" s="0" t="n">
        <v>797</v>
      </c>
      <c r="G351" s="0" t="n">
        <v>32.37</v>
      </c>
      <c r="H351" s="0" t="n">
        <v>107.01</v>
      </c>
      <c r="I351" s="0" t="n">
        <v>25.7</v>
      </c>
      <c r="J351" s="0" t="n">
        <v>84.98</v>
      </c>
      <c r="K351" s="0" t="n">
        <v>200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107B</t>
        </is>
      </c>
      <c r="X351" s="0" t="n">
        <v>25</v>
      </c>
      <c r="Y351" s="0" t="n">
        <v>22</v>
      </c>
      <c r="Z351" s="0" t="inlineStr">
        <is>
          <t>https://new.land.naver.com/complexes/119336?tab=detail&amp;rf=Y</t>
        </is>
      </c>
      <c r="AA351" s="0" t="inlineStr">
        <is>
          <t>충청북도 청주시 상당구 용암동 동남택지개발지구B1블록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상당구</t>
        </is>
      </c>
      <c r="AE351" s="0" t="inlineStr">
        <is>
          <t>용암동</t>
        </is>
      </c>
      <c r="AG351" s="0" t="inlineStr">
        <is>
          <t>충청북도 청주시 상당구 중고개로142번길 31</t>
        </is>
      </c>
      <c r="AH351" s="0" t="n">
        <v>0</v>
      </c>
      <c r="AI351" s="0" t="n">
        <v>198</v>
      </c>
      <c r="AJ351" s="0" t="n">
        <v>15</v>
      </c>
      <c r="AK351" s="0" t="n">
        <v>1037</v>
      </c>
      <c r="AL351" s="0" t="n">
        <v>1.3</v>
      </c>
    </row>
    <row r="352">
      <c r="A352" s="0" t="inlineStr">
        <is>
          <t>[용암동]</t>
        </is>
      </c>
      <c r="B352" s="0" t="n">
        <v>15402</v>
      </c>
      <c r="C352" s="0" t="n">
        <v>1</v>
      </c>
      <c r="D352" s="0" t="inlineStr">
        <is>
          <t>삼진동산빌리지</t>
        </is>
      </c>
      <c r="E352" s="0" t="inlineStr">
        <is>
          <t>1998.08.</t>
        </is>
      </c>
      <c r="F352" s="0" t="n">
        <v>144</v>
      </c>
      <c r="G352" s="0" t="n">
        <v>42.03</v>
      </c>
      <c r="H352" s="0" t="n">
        <v>138.97</v>
      </c>
      <c r="I352" s="0" t="n">
        <v>36.78</v>
      </c>
      <c r="J352" s="0" t="n">
        <v>121.59</v>
      </c>
      <c r="K352" s="0" t="n">
        <v>104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138</v>
      </c>
      <c r="X352" s="0" t="n">
        <v>4</v>
      </c>
      <c r="Y352" s="0" t="n">
        <v>4</v>
      </c>
      <c r="Z352" s="0" t="inlineStr">
        <is>
          <t>https://new.land.naver.com/complexes/15402?tab=detail&amp;rf=Y</t>
        </is>
      </c>
      <c r="AA352" s="0" t="inlineStr">
        <is>
          <t>충청북도 청주시 상당구 용암동 429-2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상당구</t>
        </is>
      </c>
      <c r="AE352" s="0" t="inlineStr">
        <is>
          <t>용암동</t>
        </is>
      </c>
      <c r="AG352" s="0" t="inlineStr">
        <is>
          <t>충청북도 청주시 상당구 월평로253번길 110</t>
        </is>
      </c>
      <c r="AH352" s="0" t="n">
        <v>0</v>
      </c>
      <c r="AI352" s="0" t="n">
        <v>62</v>
      </c>
      <c r="AJ352" s="0" t="n">
        <v>19</v>
      </c>
      <c r="AK352" s="0" t="n">
        <v>288</v>
      </c>
      <c r="AL352" s="0" t="n">
        <v>2</v>
      </c>
    </row>
    <row r="353">
      <c r="A353" s="0" t="inlineStr">
        <is>
          <t>[용암동]</t>
        </is>
      </c>
      <c r="B353" s="0" t="n">
        <v>15402</v>
      </c>
      <c r="C353" s="0" t="n">
        <v>2</v>
      </c>
      <c r="D353" s="0" t="inlineStr">
        <is>
          <t>삼진동산빌리지</t>
        </is>
      </c>
      <c r="E353" s="0" t="inlineStr">
        <is>
          <t>1998.08.</t>
        </is>
      </c>
      <c r="F353" s="0" t="n">
        <v>144</v>
      </c>
      <c r="G353" s="0" t="n">
        <v>70.41</v>
      </c>
      <c r="H353" s="0" t="n">
        <v>232.79</v>
      </c>
      <c r="I353" s="0" t="n">
        <v>61.61</v>
      </c>
      <c r="J353" s="0" t="n">
        <v>203.67</v>
      </c>
      <c r="K353" s="0" t="n">
        <v>40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232</v>
      </c>
      <c r="X353" s="0" t="n">
        <v>4</v>
      </c>
      <c r="Y353" s="0" t="n">
        <v>4</v>
      </c>
      <c r="Z353" s="0" t="inlineStr">
        <is>
          <t>https://new.land.naver.com/complexes/15402?tab=detail&amp;rf=Y</t>
        </is>
      </c>
      <c r="AA353" s="0" t="inlineStr">
        <is>
          <t>충청북도 청주시 상당구 용암동 429-2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상당구</t>
        </is>
      </c>
      <c r="AE353" s="0" t="inlineStr">
        <is>
          <t>용암동</t>
        </is>
      </c>
      <c r="AG353" s="0" t="inlineStr">
        <is>
          <t>충청북도 청주시 상당구 월평로253번길 110</t>
        </is>
      </c>
      <c r="AH353" s="0" t="n">
        <v>0</v>
      </c>
      <c r="AI353" s="0" t="n">
        <v>62</v>
      </c>
      <c r="AJ353" s="0" t="n">
        <v>19</v>
      </c>
      <c r="AK353" s="0" t="n">
        <v>288</v>
      </c>
      <c r="AL353" s="0" t="n">
        <v>2</v>
      </c>
    </row>
    <row r="354">
      <c r="A354" s="0" t="inlineStr">
        <is>
          <t>[용암동]</t>
        </is>
      </c>
      <c r="B354" s="0" t="n">
        <v>17232</v>
      </c>
      <c r="C354" s="0" t="n">
        <v>1</v>
      </c>
      <c r="D354" s="0" t="inlineStr">
        <is>
          <t>부영</t>
        </is>
      </c>
      <c r="E354" s="0" t="inlineStr">
        <is>
          <t>1996.11.</t>
        </is>
      </c>
      <c r="F354" s="0" t="n">
        <v>979</v>
      </c>
      <c r="G354" s="0" t="n">
        <v>20.59</v>
      </c>
      <c r="H354" s="0" t="n">
        <v>68.08</v>
      </c>
      <c r="I354" s="0" t="n">
        <v>15.27</v>
      </c>
      <c r="J354" s="0" t="n">
        <v>50.49</v>
      </c>
      <c r="K354" s="0" t="n">
        <v>539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68</v>
      </c>
      <c r="X354" s="0" t="n">
        <v>15</v>
      </c>
      <c r="Y354" s="0" t="n">
        <v>9</v>
      </c>
      <c r="Z354" s="0" t="inlineStr">
        <is>
          <t>https://new.land.naver.com/complexes/17232?tab=detail&amp;rf=Y</t>
        </is>
      </c>
      <c r="AA354" s="0" t="inlineStr">
        <is>
          <t>충청북도 청주시 상당구 용암동 2060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상당구</t>
        </is>
      </c>
      <c r="AE354" s="0" t="inlineStr">
        <is>
          <t>용암동</t>
        </is>
      </c>
      <c r="AG354" s="0" t="inlineStr">
        <is>
          <t>충청북도 청주시 상당구 월평로 243</t>
        </is>
      </c>
      <c r="AH354" s="0" t="n">
        <v>0</v>
      </c>
      <c r="AI354" s="0" t="n">
        <v>0</v>
      </c>
      <c r="AJ354" s="0" t="n">
        <v>0</v>
      </c>
      <c r="AK354" s="0" t="n">
        <v>870</v>
      </c>
      <c r="AL354" s="0" t="n">
        <v>0.89</v>
      </c>
    </row>
    <row r="355">
      <c r="A355" s="0" t="inlineStr">
        <is>
          <t>[용암동]</t>
        </is>
      </c>
      <c r="B355" s="0" t="n">
        <v>17232</v>
      </c>
      <c r="C355" s="0" t="n">
        <v>2</v>
      </c>
      <c r="D355" s="0" t="inlineStr">
        <is>
          <t>부영</t>
        </is>
      </c>
      <c r="E355" s="0" t="inlineStr">
        <is>
          <t>1996.11.</t>
        </is>
      </c>
      <c r="F355" s="0" t="n">
        <v>979</v>
      </c>
      <c r="G355" s="0" t="n">
        <v>24.47</v>
      </c>
      <c r="H355" s="0" t="n">
        <v>80.90000000000001</v>
      </c>
      <c r="I355" s="0" t="n">
        <v>18.15</v>
      </c>
      <c r="J355" s="0" t="n">
        <v>60</v>
      </c>
      <c r="K355" s="0" t="n">
        <v>440</v>
      </c>
      <c r="T355" s="0" t="n">
        <v>3</v>
      </c>
      <c r="U355" s="0" t="n">
        <v>1</v>
      </c>
      <c r="V355" s="0" t="inlineStr">
        <is>
          <t>복도식</t>
        </is>
      </c>
      <c r="W355" s="0" t="n">
        <v>80</v>
      </c>
      <c r="X355" s="0" t="n">
        <v>15</v>
      </c>
      <c r="Y355" s="0" t="n">
        <v>9</v>
      </c>
      <c r="Z355" s="0" t="inlineStr">
        <is>
          <t>https://new.land.naver.com/complexes/17232?tab=detail&amp;rf=Y</t>
        </is>
      </c>
      <c r="AA355" s="0" t="inlineStr">
        <is>
          <t>충청북도 청주시 상당구 용암동 2060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상당구</t>
        </is>
      </c>
      <c r="AE355" s="0" t="inlineStr">
        <is>
          <t>용암동</t>
        </is>
      </c>
      <c r="AG355" s="0" t="inlineStr">
        <is>
          <t>충청북도 청주시 상당구 월평로 243</t>
        </is>
      </c>
      <c r="AH355" s="0" t="n">
        <v>0</v>
      </c>
      <c r="AI355" s="0" t="n">
        <v>0</v>
      </c>
      <c r="AJ355" s="0" t="n">
        <v>0</v>
      </c>
      <c r="AK355" s="0" t="n">
        <v>870</v>
      </c>
      <c r="AL355" s="0" t="n">
        <v>0.89</v>
      </c>
    </row>
    <row r="356">
      <c r="A356" s="0" t="inlineStr">
        <is>
          <t>[용암동]</t>
        </is>
      </c>
      <c r="B356" s="0" t="n">
        <v>7042</v>
      </c>
      <c r="C356" s="0" t="n">
        <v>1</v>
      </c>
      <c r="D356" s="0" t="inlineStr">
        <is>
          <t>임광</t>
        </is>
      </c>
      <c r="E356" s="0" t="inlineStr">
        <is>
          <t>1996.05.</t>
        </is>
      </c>
      <c r="F356" s="0" t="n">
        <v>280</v>
      </c>
      <c r="G356" s="0" t="n">
        <v>36.69</v>
      </c>
      <c r="H356" s="0" t="n">
        <v>121.3</v>
      </c>
      <c r="I356" s="0" t="n">
        <v>30.84</v>
      </c>
      <c r="J356" s="0" t="n">
        <v>101.98</v>
      </c>
      <c r="K356" s="0" t="n">
        <v>160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121</v>
      </c>
      <c r="X356" s="0" t="n">
        <v>15</v>
      </c>
      <c r="Y356" s="0" t="n">
        <v>10</v>
      </c>
      <c r="Z356" s="0" t="inlineStr">
        <is>
          <t>https://new.land.naver.com/complexes/7042?tab=detail&amp;rf=Y</t>
        </is>
      </c>
      <c r="AA356" s="0" t="inlineStr">
        <is>
          <t>충청북도 청주시 상당구 용암동 2094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상당구</t>
        </is>
      </c>
      <c r="AE356" s="0" t="inlineStr">
        <is>
          <t>용암동</t>
        </is>
      </c>
      <c r="AG356" s="0" t="inlineStr">
        <is>
          <t>충청북도 청주시 상당구 용암로 35</t>
        </is>
      </c>
      <c r="AH356" s="0" t="n">
        <v>0</v>
      </c>
      <c r="AI356" s="0" t="n">
        <v>220</v>
      </c>
      <c r="AJ356" s="0" t="n">
        <v>22</v>
      </c>
      <c r="AK356" s="0" t="n">
        <v>335</v>
      </c>
      <c r="AL356" s="0" t="n">
        <v>1.2</v>
      </c>
    </row>
    <row r="357">
      <c r="A357" s="0" t="inlineStr">
        <is>
          <t>[용암동]</t>
        </is>
      </c>
      <c r="B357" s="0" t="n">
        <v>7042</v>
      </c>
      <c r="C357" s="0" t="n">
        <v>2</v>
      </c>
      <c r="D357" s="0" t="inlineStr">
        <is>
          <t>임광</t>
        </is>
      </c>
      <c r="E357" s="0" t="inlineStr">
        <is>
          <t>1996.05.</t>
        </is>
      </c>
      <c r="F357" s="0" t="n">
        <v>280</v>
      </c>
      <c r="G357" s="0" t="n">
        <v>48.33</v>
      </c>
      <c r="H357" s="0" t="n">
        <v>159.79</v>
      </c>
      <c r="I357" s="0" t="n">
        <v>40.63</v>
      </c>
      <c r="J357" s="0" t="n">
        <v>134.34</v>
      </c>
      <c r="K357" s="0" t="n">
        <v>120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159</v>
      </c>
      <c r="X357" s="0" t="n">
        <v>15</v>
      </c>
      <c r="Y357" s="0" t="n">
        <v>10</v>
      </c>
      <c r="Z357" s="0" t="inlineStr">
        <is>
          <t>https://new.land.naver.com/complexes/7042?tab=detail&amp;rf=Y</t>
        </is>
      </c>
      <c r="AA357" s="0" t="inlineStr">
        <is>
          <t>충청북도 청주시 상당구 용암동 2094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상당구</t>
        </is>
      </c>
      <c r="AE357" s="0" t="inlineStr">
        <is>
          <t>용암동</t>
        </is>
      </c>
      <c r="AG357" s="0" t="inlineStr">
        <is>
          <t>충청북도 청주시 상당구 용암로 35</t>
        </is>
      </c>
      <c r="AH357" s="0" t="n">
        <v>0</v>
      </c>
      <c r="AI357" s="0" t="n">
        <v>220</v>
      </c>
      <c r="AJ357" s="0" t="n">
        <v>22</v>
      </c>
      <c r="AK357" s="0" t="n">
        <v>335</v>
      </c>
      <c r="AL357" s="0" t="n">
        <v>1.2</v>
      </c>
    </row>
    <row r="358">
      <c r="A358" s="0" t="inlineStr">
        <is>
          <t>[용암동]</t>
        </is>
      </c>
      <c r="B358" s="0" t="n">
        <v>119337</v>
      </c>
      <c r="C358" s="0" t="n">
        <v>1</v>
      </c>
      <c r="D358" s="0" t="inlineStr">
        <is>
          <t>청주동남시티프라디움B2블록</t>
        </is>
      </c>
      <c r="E358" s="0" t="inlineStr">
        <is>
          <t>2020.03.</t>
        </is>
      </c>
      <c r="F358" s="0" t="n">
        <v>610</v>
      </c>
      <c r="G358" s="0" t="n">
        <v>32.32</v>
      </c>
      <c r="H358" s="0" t="n">
        <v>106.87</v>
      </c>
      <c r="I358" s="0" t="n">
        <v>25.7</v>
      </c>
      <c r="J358" s="0" t="n">
        <v>84.98999999999999</v>
      </c>
      <c r="K358" s="0" t="n">
        <v>222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106A</t>
        </is>
      </c>
      <c r="X358" s="0" t="n">
        <v>25</v>
      </c>
      <c r="Y358" s="0" t="n">
        <v>17</v>
      </c>
      <c r="Z358" s="0" t="inlineStr">
        <is>
          <t>https://new.land.naver.com/complexes/119337?tab=detail&amp;rf=Y</t>
        </is>
      </c>
      <c r="AA358" s="0" t="inlineStr">
        <is>
          <t>충청북도 청주시 상당구 용암동 동남택지개발지구B2블록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상당구</t>
        </is>
      </c>
      <c r="AE358" s="0" t="inlineStr">
        <is>
          <t>용암동</t>
        </is>
      </c>
      <c r="AG358" s="0" t="inlineStr">
        <is>
          <t>충청북도 청주시 상당구 중고개로142번길 17</t>
        </is>
      </c>
      <c r="AH358" s="0" t="n">
        <v>0</v>
      </c>
      <c r="AI358" s="0" t="n">
        <v>198</v>
      </c>
      <c r="AJ358" s="0" t="n">
        <v>14</v>
      </c>
      <c r="AK358" s="0" t="n">
        <v>793</v>
      </c>
      <c r="AL358" s="0" t="n">
        <v>1.3</v>
      </c>
    </row>
    <row r="359">
      <c r="A359" s="0" t="inlineStr">
        <is>
          <t>[용암동]</t>
        </is>
      </c>
      <c r="B359" s="0" t="n">
        <v>119337</v>
      </c>
      <c r="C359" s="0" t="n">
        <v>2</v>
      </c>
      <c r="D359" s="0" t="inlineStr">
        <is>
          <t>청주동남시티프라디움B2블록</t>
        </is>
      </c>
      <c r="E359" s="0" t="inlineStr">
        <is>
          <t>2020.03.</t>
        </is>
      </c>
      <c r="F359" s="0" t="n">
        <v>610</v>
      </c>
      <c r="G359" s="0" t="n">
        <v>32.34</v>
      </c>
      <c r="H359" s="0" t="n">
        <v>106.93</v>
      </c>
      <c r="I359" s="0" t="n">
        <v>25.69</v>
      </c>
      <c r="J359" s="0" t="n">
        <v>84.95</v>
      </c>
      <c r="K359" s="0" t="n">
        <v>68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106C</t>
        </is>
      </c>
      <c r="X359" s="0" t="n">
        <v>25</v>
      </c>
      <c r="Y359" s="0" t="n">
        <v>17</v>
      </c>
      <c r="Z359" s="0" t="inlineStr">
        <is>
          <t>https://new.land.naver.com/complexes/119337?tab=detail&amp;rf=Y</t>
        </is>
      </c>
      <c r="AA359" s="0" t="inlineStr">
        <is>
          <t>충청북도 청주시 상당구 용암동 동남택지개발지구B2블록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상당구</t>
        </is>
      </c>
      <c r="AE359" s="0" t="inlineStr">
        <is>
          <t>용암동</t>
        </is>
      </c>
      <c r="AG359" s="0" t="inlineStr">
        <is>
          <t>충청북도 청주시 상당구 중고개로142번길 17</t>
        </is>
      </c>
      <c r="AH359" s="0" t="n">
        <v>0</v>
      </c>
      <c r="AI359" s="0" t="n">
        <v>198</v>
      </c>
      <c r="AJ359" s="0" t="n">
        <v>14</v>
      </c>
      <c r="AK359" s="0" t="n">
        <v>793</v>
      </c>
      <c r="AL359" s="0" t="n">
        <v>1.3</v>
      </c>
    </row>
    <row r="360">
      <c r="A360" s="0" t="inlineStr">
        <is>
          <t>[용암동]</t>
        </is>
      </c>
      <c r="B360" s="0" t="n">
        <v>119337</v>
      </c>
      <c r="C360" s="0" t="n">
        <v>3</v>
      </c>
      <c r="D360" s="0" t="inlineStr">
        <is>
          <t>청주동남시티프라디움B2블록</t>
        </is>
      </c>
      <c r="E360" s="0" t="inlineStr">
        <is>
          <t>2020.03.</t>
        </is>
      </c>
      <c r="F360" s="0" t="n">
        <v>610</v>
      </c>
      <c r="G360" s="0" t="n">
        <v>32.49</v>
      </c>
      <c r="H360" s="0" t="n">
        <v>107.42</v>
      </c>
      <c r="I360" s="0" t="n">
        <v>25.7</v>
      </c>
      <c r="J360" s="0" t="n">
        <v>84.98</v>
      </c>
      <c r="K360" s="0" t="n">
        <v>147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107D</t>
        </is>
      </c>
      <c r="X360" s="0" t="n">
        <v>25</v>
      </c>
      <c r="Y360" s="0" t="n">
        <v>17</v>
      </c>
      <c r="Z360" s="0" t="inlineStr">
        <is>
          <t>https://new.land.naver.com/complexes/119337?tab=detail&amp;rf=Y</t>
        </is>
      </c>
      <c r="AA360" s="0" t="inlineStr">
        <is>
          <t>충청북도 청주시 상당구 용암동 동남택지개발지구B2블록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상당구</t>
        </is>
      </c>
      <c r="AE360" s="0" t="inlineStr">
        <is>
          <t>용암동</t>
        </is>
      </c>
      <c r="AG360" s="0" t="inlineStr">
        <is>
          <t>충청북도 청주시 상당구 중고개로142번길 17</t>
        </is>
      </c>
      <c r="AH360" s="0" t="n">
        <v>0</v>
      </c>
      <c r="AI360" s="0" t="n">
        <v>198</v>
      </c>
      <c r="AJ360" s="0" t="n">
        <v>14</v>
      </c>
      <c r="AK360" s="0" t="n">
        <v>793</v>
      </c>
      <c r="AL360" s="0" t="n">
        <v>1.3</v>
      </c>
    </row>
    <row r="361">
      <c r="A361" s="0" t="inlineStr">
        <is>
          <t>[용암동]</t>
        </is>
      </c>
      <c r="B361" s="0" t="n">
        <v>119337</v>
      </c>
      <c r="C361" s="0" t="n">
        <v>4</v>
      </c>
      <c r="D361" s="0" t="inlineStr">
        <is>
          <t>청주동남시티프라디움B2블록</t>
        </is>
      </c>
      <c r="E361" s="0" t="inlineStr">
        <is>
          <t>2020.03.</t>
        </is>
      </c>
      <c r="F361" s="0" t="n">
        <v>610</v>
      </c>
      <c r="G361" s="0" t="n">
        <v>32.6</v>
      </c>
      <c r="H361" s="0" t="n">
        <v>107.79</v>
      </c>
      <c r="I361" s="0" t="n">
        <v>25.7</v>
      </c>
      <c r="J361" s="0" t="n">
        <v>84.98999999999999</v>
      </c>
      <c r="K361" s="0" t="n">
        <v>50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107F</t>
        </is>
      </c>
      <c r="X361" s="0" t="n">
        <v>25</v>
      </c>
      <c r="Y361" s="0" t="n">
        <v>17</v>
      </c>
      <c r="Z361" s="0" t="inlineStr">
        <is>
          <t>https://new.land.naver.com/complexes/119337?tab=detail&amp;rf=Y</t>
        </is>
      </c>
      <c r="AA361" s="0" t="inlineStr">
        <is>
          <t>충청북도 청주시 상당구 용암동 동남택지개발지구B2블록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상당구</t>
        </is>
      </c>
      <c r="AE361" s="0" t="inlineStr">
        <is>
          <t>용암동</t>
        </is>
      </c>
      <c r="AG361" s="0" t="inlineStr">
        <is>
          <t>충청북도 청주시 상당구 중고개로142번길 17</t>
        </is>
      </c>
      <c r="AH361" s="0" t="n">
        <v>0</v>
      </c>
      <c r="AI361" s="0" t="n">
        <v>198</v>
      </c>
      <c r="AJ361" s="0" t="n">
        <v>14</v>
      </c>
      <c r="AK361" s="0" t="n">
        <v>793</v>
      </c>
      <c r="AL361" s="0" t="n">
        <v>1.3</v>
      </c>
    </row>
    <row r="362">
      <c r="A362" s="0" t="inlineStr">
        <is>
          <t>[용암동]</t>
        </is>
      </c>
      <c r="B362" s="0" t="n">
        <v>119337</v>
      </c>
      <c r="C362" s="0" t="n">
        <v>5</v>
      </c>
      <c r="D362" s="0" t="inlineStr">
        <is>
          <t>청주동남시티프라디움B2블록</t>
        </is>
      </c>
      <c r="E362" s="0" t="inlineStr">
        <is>
          <t>2020.03.</t>
        </is>
      </c>
      <c r="F362" s="0" t="n">
        <v>610</v>
      </c>
      <c r="G362" s="0" t="n">
        <v>32.58</v>
      </c>
      <c r="H362" s="0" t="n">
        <v>107.73</v>
      </c>
      <c r="I362" s="0" t="n">
        <v>25.7</v>
      </c>
      <c r="J362" s="0" t="n">
        <v>84.98</v>
      </c>
      <c r="K362" s="0" t="n">
        <v>48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107B</t>
        </is>
      </c>
      <c r="X362" s="0" t="n">
        <v>25</v>
      </c>
      <c r="Y362" s="0" t="n">
        <v>17</v>
      </c>
      <c r="Z362" s="0" t="inlineStr">
        <is>
          <t>https://new.land.naver.com/complexes/119337?tab=detail&amp;rf=Y</t>
        </is>
      </c>
      <c r="AA362" s="0" t="inlineStr">
        <is>
          <t>충청북도 청주시 상당구 용암동 동남택지개발지구B2블록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상당구</t>
        </is>
      </c>
      <c r="AE362" s="0" t="inlineStr">
        <is>
          <t>용암동</t>
        </is>
      </c>
      <c r="AG362" s="0" t="inlineStr">
        <is>
          <t>충청북도 청주시 상당구 중고개로142번길 17</t>
        </is>
      </c>
      <c r="AH362" s="0" t="n">
        <v>0</v>
      </c>
      <c r="AI362" s="0" t="n">
        <v>198</v>
      </c>
      <c r="AJ362" s="0" t="n">
        <v>14</v>
      </c>
      <c r="AK362" s="0" t="n">
        <v>793</v>
      </c>
      <c r="AL362" s="0" t="n">
        <v>1.3</v>
      </c>
    </row>
    <row r="363">
      <c r="A363" s="0" t="inlineStr">
        <is>
          <t>[용암동]</t>
        </is>
      </c>
      <c r="B363" s="0" t="n">
        <v>119337</v>
      </c>
      <c r="C363" s="0" t="n">
        <v>6</v>
      </c>
      <c r="D363" s="0" t="inlineStr">
        <is>
          <t>청주동남시티프라디움B2블록</t>
        </is>
      </c>
      <c r="E363" s="0" t="inlineStr">
        <is>
          <t>2020.03.</t>
        </is>
      </c>
      <c r="F363" s="0" t="n">
        <v>610</v>
      </c>
      <c r="G363" s="0" t="n">
        <v>32.7</v>
      </c>
      <c r="H363" s="0" t="n">
        <v>108.11</v>
      </c>
      <c r="I363" s="0" t="n">
        <v>25.7</v>
      </c>
      <c r="J363" s="0" t="n">
        <v>84.98</v>
      </c>
      <c r="K363" s="0" t="n">
        <v>75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108E</t>
        </is>
      </c>
      <c r="X363" s="0" t="n">
        <v>25</v>
      </c>
      <c r="Y363" s="0" t="n">
        <v>17</v>
      </c>
      <c r="Z363" s="0" t="inlineStr">
        <is>
          <t>https://new.land.naver.com/complexes/119337?tab=detail&amp;rf=Y</t>
        </is>
      </c>
      <c r="AA363" s="0" t="inlineStr">
        <is>
          <t>충청북도 청주시 상당구 용암동 동남택지개발지구B2블록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상당구</t>
        </is>
      </c>
      <c r="AE363" s="0" t="inlineStr">
        <is>
          <t>용암동</t>
        </is>
      </c>
      <c r="AG363" s="0" t="inlineStr">
        <is>
          <t>충청북도 청주시 상당구 중고개로142번길 17</t>
        </is>
      </c>
      <c r="AH363" s="0" t="n">
        <v>0</v>
      </c>
      <c r="AI363" s="0" t="n">
        <v>198</v>
      </c>
      <c r="AJ363" s="0" t="n">
        <v>14</v>
      </c>
      <c r="AK363" s="0" t="n">
        <v>793</v>
      </c>
      <c r="AL363" s="0" t="n">
        <v>1.3</v>
      </c>
    </row>
    <row r="364">
      <c r="A364" s="0" t="inlineStr">
        <is>
          <t>[용암동]</t>
        </is>
      </c>
      <c r="B364" s="0" t="n">
        <v>7045</v>
      </c>
      <c r="C364" s="0" t="n">
        <v>1</v>
      </c>
      <c r="D364" s="0" t="inlineStr">
        <is>
          <t>태산그린</t>
        </is>
      </c>
      <c r="E364" s="0" t="inlineStr">
        <is>
          <t>1995.04.</t>
        </is>
      </c>
      <c r="F364" s="0" t="n">
        <v>590</v>
      </c>
      <c r="G364" s="0" t="n">
        <v>23.01</v>
      </c>
      <c r="H364" s="0" t="n">
        <v>76.06999999999999</v>
      </c>
      <c r="I364" s="0" t="n">
        <v>18.07</v>
      </c>
      <c r="J364" s="0" t="n">
        <v>59.76</v>
      </c>
      <c r="K364" s="0" t="n">
        <v>590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76</v>
      </c>
      <c r="X364" s="0" t="n">
        <v>15</v>
      </c>
      <c r="Y364" s="0" t="n">
        <v>6</v>
      </c>
      <c r="Z364" s="0" t="inlineStr">
        <is>
          <t>https://new.land.naver.com/complexes/7045?tab=detail&amp;rf=Y</t>
        </is>
      </c>
      <c r="AA364" s="0" t="inlineStr">
        <is>
          <t>충청북도 청주시 상당구 용암동 2076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상당구</t>
        </is>
      </c>
      <c r="AE364" s="0" t="inlineStr">
        <is>
          <t>용암동</t>
        </is>
      </c>
      <c r="AG364" s="0" t="inlineStr">
        <is>
          <t>충청북도 청주시 상당구 원봉로 20</t>
        </is>
      </c>
      <c r="AH364" s="0" t="n">
        <v>0</v>
      </c>
      <c r="AI364" s="0" t="n">
        <v>228</v>
      </c>
      <c r="AJ364" s="0" t="n">
        <v>18</v>
      </c>
      <c r="AK364" s="0" t="n">
        <v>483</v>
      </c>
      <c r="AL364" s="0" t="n">
        <v>0.82</v>
      </c>
    </row>
    <row r="365">
      <c r="A365" s="0" t="inlineStr">
        <is>
          <t>[용암동]</t>
        </is>
      </c>
      <c r="B365" s="0" t="n">
        <v>19184</v>
      </c>
      <c r="C365" s="0" t="n">
        <v>1</v>
      </c>
      <c r="D365" s="0" t="inlineStr">
        <is>
          <t>중흥마을1단지부영</t>
        </is>
      </c>
      <c r="E365" s="0" t="inlineStr">
        <is>
          <t>2003.09.</t>
        </is>
      </c>
      <c r="F365" s="0" t="n">
        <v>752</v>
      </c>
      <c r="G365" s="0" t="n">
        <v>23.36</v>
      </c>
      <c r="H365" s="0" t="n">
        <v>77.23</v>
      </c>
      <c r="I365" s="0" t="n">
        <v>18.14</v>
      </c>
      <c r="J365" s="0" t="n">
        <v>59.98</v>
      </c>
      <c r="K365" s="0" t="n">
        <v>752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77</v>
      </c>
      <c r="X365" s="0" t="n">
        <v>15</v>
      </c>
      <c r="Y365" s="0" t="n">
        <v>12</v>
      </c>
      <c r="Z365" s="0" t="inlineStr">
        <is>
          <t>https://new.land.naver.com/complexes/19184?tab=detail&amp;rf=Y</t>
        </is>
      </c>
      <c r="AA365" s="0" t="inlineStr">
        <is>
          <t>충청북도 청주시 상당구 용암동 2542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상당구</t>
        </is>
      </c>
      <c r="AE365" s="0" t="inlineStr">
        <is>
          <t>용암동</t>
        </is>
      </c>
      <c r="AG365" s="0" t="inlineStr">
        <is>
          <t>충청북도 청주시 상당구 중흥로 173</t>
        </is>
      </c>
      <c r="AH365" s="0" t="n">
        <v>0</v>
      </c>
      <c r="AI365" s="0" t="n">
        <v>217</v>
      </c>
      <c r="AJ365" s="0" t="n">
        <v>19</v>
      </c>
      <c r="AK365" s="0" t="n">
        <v>637</v>
      </c>
      <c r="AL365" s="0" t="n">
        <v>0.85</v>
      </c>
    </row>
    <row r="366">
      <c r="A366" s="0" t="inlineStr">
        <is>
          <t>[용암동]</t>
        </is>
      </c>
      <c r="B366" s="0" t="n">
        <v>13209</v>
      </c>
      <c r="C366" s="0" t="n">
        <v>1</v>
      </c>
      <c r="D366" s="0" t="inlineStr">
        <is>
          <t>진흥한우리</t>
        </is>
      </c>
      <c r="E366" s="0" t="inlineStr">
        <is>
          <t>1995.06.</t>
        </is>
      </c>
      <c r="F366" s="0" t="n">
        <v>330</v>
      </c>
      <c r="G366" s="0" t="n">
        <v>25.76</v>
      </c>
      <c r="H366" s="0" t="n">
        <v>85.17</v>
      </c>
      <c r="I366" s="0" t="n">
        <v>20.88</v>
      </c>
      <c r="J366" s="0" t="n">
        <v>69.03</v>
      </c>
      <c r="K366" s="0" t="n">
        <v>120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85</v>
      </c>
      <c r="X366" s="0" t="n">
        <v>15</v>
      </c>
      <c r="Y366" s="0" t="n">
        <v>15</v>
      </c>
      <c r="Z366" s="0" t="inlineStr">
        <is>
          <t>https://new.land.naver.com/complexes/13209?tab=detail&amp;rf=Y</t>
        </is>
      </c>
      <c r="AA366" s="0" t="inlineStr">
        <is>
          <t>충청북도 청주시 상당구 용암동 2105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상당구</t>
        </is>
      </c>
      <c r="AE366" s="0" t="inlineStr">
        <is>
          <t>용암동</t>
        </is>
      </c>
      <c r="AG366" s="0" t="inlineStr">
        <is>
          <t>충청북도 청주시 상당구 용암로 36</t>
        </is>
      </c>
      <c r="AH366" s="0" t="n">
        <v>0</v>
      </c>
      <c r="AI366" s="0" t="n">
        <v>221</v>
      </c>
      <c r="AJ366" s="0" t="n">
        <v>21</v>
      </c>
      <c r="AK366" s="0" t="n">
        <v>304</v>
      </c>
      <c r="AL366" s="0" t="n">
        <v>0.92</v>
      </c>
    </row>
    <row r="367">
      <c r="A367" s="0" t="inlineStr">
        <is>
          <t>[용암동]</t>
        </is>
      </c>
      <c r="B367" s="0" t="n">
        <v>13209</v>
      </c>
      <c r="C367" s="0" t="n">
        <v>2</v>
      </c>
      <c r="D367" s="0" t="inlineStr">
        <is>
          <t>진흥한우리</t>
        </is>
      </c>
      <c r="E367" s="0" t="inlineStr">
        <is>
          <t>1995.06.</t>
        </is>
      </c>
      <c r="F367" s="0" t="n">
        <v>330</v>
      </c>
      <c r="G367" s="0" t="n">
        <v>32.44</v>
      </c>
      <c r="H367" s="0" t="n">
        <v>107.25</v>
      </c>
      <c r="I367" s="0" t="n">
        <v>25.53</v>
      </c>
      <c r="J367" s="0" t="n">
        <v>84.41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15</v>
      </c>
      <c r="Z367" s="0" t="inlineStr">
        <is>
          <t>https://new.land.naver.com/complexes/13209?tab=detail&amp;rf=Y</t>
        </is>
      </c>
      <c r="AA367" s="0" t="inlineStr">
        <is>
          <t>충청북도 청주시 상당구 용암동 2105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상당구</t>
        </is>
      </c>
      <c r="AE367" s="0" t="inlineStr">
        <is>
          <t>용암동</t>
        </is>
      </c>
      <c r="AG367" s="0" t="inlineStr">
        <is>
          <t>충청북도 청주시 상당구 용암로 36</t>
        </is>
      </c>
      <c r="AH367" s="0" t="n">
        <v>0</v>
      </c>
      <c r="AI367" s="0" t="n">
        <v>221</v>
      </c>
      <c r="AJ367" s="0" t="n">
        <v>21</v>
      </c>
      <c r="AK367" s="0" t="n">
        <v>304</v>
      </c>
      <c r="AL367" s="0" t="n">
        <v>0.92</v>
      </c>
    </row>
    <row r="368">
      <c r="A368" s="0" t="inlineStr">
        <is>
          <t>[용암동]</t>
        </is>
      </c>
      <c r="B368" s="0" t="n">
        <v>121969</v>
      </c>
      <c r="C368" s="0" t="n">
        <v>1</v>
      </c>
      <c r="D368" s="0" t="inlineStr">
        <is>
          <t>용암서희스타힐스</t>
        </is>
      </c>
      <c r="E368" s="0" t="inlineStr">
        <is>
          <t>2018.11.</t>
        </is>
      </c>
      <c r="F368" s="0" t="n">
        <v>318</v>
      </c>
      <c r="G368" s="0" t="n">
        <v>25.23</v>
      </c>
      <c r="H368" s="0" t="n">
        <v>83.42</v>
      </c>
      <c r="I368" s="0" t="n">
        <v>18.14</v>
      </c>
      <c r="J368" s="0" t="n">
        <v>59.99</v>
      </c>
      <c r="K368" s="0" t="n">
        <v>278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83A</t>
        </is>
      </c>
      <c r="X368" s="0" t="n">
        <v>29</v>
      </c>
      <c r="Y368" s="0" t="n">
        <v>29</v>
      </c>
      <c r="Z368" s="0" t="inlineStr">
        <is>
          <t>https://new.land.naver.com/complexes/121969?tab=detail&amp;rf=Y</t>
        </is>
      </c>
      <c r="AA368" s="0" t="inlineStr">
        <is>
          <t>충청북도 청주시 상당구 용암동 2953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상당구</t>
        </is>
      </c>
      <c r="AE368" s="0" t="inlineStr">
        <is>
          <t>용암동</t>
        </is>
      </c>
      <c r="AG368" s="0" t="inlineStr">
        <is>
          <t>충청북도 청주시 상당구 단재로196번길 9</t>
        </is>
      </c>
      <c r="AH368" s="0" t="n">
        <v>0</v>
      </c>
      <c r="AI368" s="0" t="n">
        <v>229</v>
      </c>
      <c r="AJ368" s="0" t="n">
        <v>16</v>
      </c>
      <c r="AK368" s="0" t="n">
        <v>385</v>
      </c>
      <c r="AL368" s="0" t="n">
        <v>1.21</v>
      </c>
    </row>
    <row r="369">
      <c r="A369" s="0" t="inlineStr">
        <is>
          <t>[용암동]</t>
        </is>
      </c>
      <c r="B369" s="0" t="n">
        <v>121969</v>
      </c>
      <c r="C369" s="0" t="n">
        <v>2</v>
      </c>
      <c r="D369" s="0" t="inlineStr">
        <is>
          <t>용암서희스타힐스</t>
        </is>
      </c>
      <c r="E369" s="0" t="inlineStr">
        <is>
          <t>2018.11.</t>
        </is>
      </c>
      <c r="F369" s="0" t="n">
        <v>318</v>
      </c>
      <c r="G369" s="0" t="n">
        <v>25.38</v>
      </c>
      <c r="H369" s="0" t="n">
        <v>83.93000000000001</v>
      </c>
      <c r="I369" s="0" t="n">
        <v>18.14</v>
      </c>
      <c r="J369" s="0" t="n">
        <v>59.99</v>
      </c>
      <c r="K369" s="0" t="n">
        <v>40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83B</t>
        </is>
      </c>
      <c r="X369" s="0" t="n">
        <v>29</v>
      </c>
      <c r="Y369" s="0" t="n">
        <v>29</v>
      </c>
      <c r="Z369" s="0" t="inlineStr">
        <is>
          <t>https://new.land.naver.com/complexes/121969?tab=detail&amp;rf=Y</t>
        </is>
      </c>
      <c r="AA369" s="0" t="inlineStr">
        <is>
          <t>충청북도 청주시 상당구 용암동 2953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상당구</t>
        </is>
      </c>
      <c r="AE369" s="0" t="inlineStr">
        <is>
          <t>용암동</t>
        </is>
      </c>
      <c r="AG369" s="0" t="inlineStr">
        <is>
          <t>충청북도 청주시 상당구 단재로196번길 9</t>
        </is>
      </c>
      <c r="AH369" s="0" t="n">
        <v>0</v>
      </c>
      <c r="AI369" s="0" t="n">
        <v>229</v>
      </c>
      <c r="AJ369" s="0" t="n">
        <v>16</v>
      </c>
      <c r="AK369" s="0" t="n">
        <v>385</v>
      </c>
      <c r="AL369" s="0" t="n">
        <v>1.21</v>
      </c>
    </row>
    <row r="370">
      <c r="A370" s="0" t="inlineStr">
        <is>
          <t>[용암동]</t>
        </is>
      </c>
      <c r="B370" s="0" t="n">
        <v>100592</v>
      </c>
      <c r="C370" s="0" t="n">
        <v>1</v>
      </c>
      <c r="D370" s="0" t="inlineStr">
        <is>
          <t>중흥마을3단지부영그린타운</t>
        </is>
      </c>
      <c r="E370" s="0" t="inlineStr">
        <is>
          <t>2005.11.</t>
        </is>
      </c>
      <c r="F370" s="0" t="n">
        <v>326</v>
      </c>
      <c r="G370" s="0" t="n">
        <v>35.42</v>
      </c>
      <c r="H370" s="0" t="n">
        <v>117.11</v>
      </c>
      <c r="I370" s="0" t="n">
        <v>25.67</v>
      </c>
      <c r="J370" s="0" t="n">
        <v>84.86</v>
      </c>
      <c r="K370" s="0" t="n">
        <v>326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117</v>
      </c>
      <c r="X370" s="0" t="n">
        <v>15</v>
      </c>
      <c r="Y370" s="0" t="n">
        <v>12</v>
      </c>
      <c r="Z370" s="0" t="inlineStr">
        <is>
          <t>https://new.land.naver.com/complexes/100592?tab=detail&amp;rf=Y</t>
        </is>
      </c>
      <c r="AA370" s="0" t="inlineStr">
        <is>
          <t>충청북도 청주시 상당구 용암동 2540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상당구</t>
        </is>
      </c>
      <c r="AE370" s="0" t="inlineStr">
        <is>
          <t>용암동</t>
        </is>
      </c>
      <c r="AG370" s="0" t="inlineStr">
        <is>
          <t>충청북도 청주시 상당구 중흥로 178</t>
        </is>
      </c>
      <c r="AH370" s="0" t="n">
        <v>0</v>
      </c>
      <c r="AI370" s="0" t="n">
        <v>185</v>
      </c>
      <c r="AJ370" s="0" t="n">
        <v>18</v>
      </c>
      <c r="AK370" s="0" t="n">
        <v>338</v>
      </c>
      <c r="AL370" s="0" t="n">
        <v>1.04</v>
      </c>
    </row>
    <row r="371">
      <c r="A371" s="0" t="inlineStr">
        <is>
          <t>[용암동]</t>
        </is>
      </c>
      <c r="B371" s="0" t="n">
        <v>19682</v>
      </c>
      <c r="C371" s="0" t="n">
        <v>1</v>
      </c>
      <c r="D371" s="0" t="inlineStr">
        <is>
          <t>청주신영강변뜨란채</t>
        </is>
      </c>
      <c r="E371" s="0" t="inlineStr">
        <is>
          <t>2005.08.</t>
        </is>
      </c>
      <c r="F371" s="0" t="n">
        <v>517</v>
      </c>
      <c r="G371" s="0" t="n">
        <v>20.68</v>
      </c>
      <c r="H371" s="0" t="n">
        <v>68.37</v>
      </c>
      <c r="I371" s="0" t="n">
        <v>15.72</v>
      </c>
      <c r="J371" s="0" t="n">
        <v>51.99</v>
      </c>
      <c r="K371" s="0" t="n">
        <v>60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68</v>
      </c>
      <c r="X371" s="0" t="n">
        <v>15</v>
      </c>
      <c r="Y371" s="0" t="n">
        <v>13</v>
      </c>
      <c r="Z371" s="0" t="inlineStr">
        <is>
          <t>https://new.land.naver.com/complexes/19682?tab=detail&amp;rf=Y</t>
        </is>
      </c>
      <c r="AA371" s="0" t="inlineStr">
        <is>
          <t>충청북도 청주시 상당구 용암동 2915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상당구</t>
        </is>
      </c>
      <c r="AE371" s="0" t="inlineStr">
        <is>
          <t>용암동</t>
        </is>
      </c>
      <c r="AG371" s="0" t="inlineStr">
        <is>
          <t>충청북도 청주시 상당구 무심동로 86</t>
        </is>
      </c>
      <c r="AH371" s="0" t="n">
        <v>0</v>
      </c>
      <c r="AI371" s="0" t="n">
        <v>169</v>
      </c>
      <c r="AJ371" s="0" t="n">
        <v>15</v>
      </c>
      <c r="AK371" s="0" t="n">
        <v>520</v>
      </c>
      <c r="AL371" s="0" t="n">
        <v>1.01</v>
      </c>
    </row>
    <row r="372">
      <c r="A372" s="0" t="inlineStr">
        <is>
          <t>[용암동]</t>
        </is>
      </c>
      <c r="B372" s="0" t="n">
        <v>19682</v>
      </c>
      <c r="C372" s="0" t="n">
        <v>2</v>
      </c>
      <c r="D372" s="0" t="inlineStr">
        <is>
          <t>청주신영강변뜨란채</t>
        </is>
      </c>
      <c r="E372" s="0" t="inlineStr">
        <is>
          <t>2005.08.</t>
        </is>
      </c>
      <c r="F372" s="0" t="n">
        <v>517</v>
      </c>
      <c r="G372" s="0" t="n">
        <v>23.34</v>
      </c>
      <c r="H372" s="0" t="n">
        <v>77.19</v>
      </c>
      <c r="I372" s="0" t="n">
        <v>18.78</v>
      </c>
      <c r="J372" s="0" t="n">
        <v>62.1</v>
      </c>
      <c r="K372" s="0" t="n">
        <v>3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77B</t>
        </is>
      </c>
      <c r="X372" s="0" t="n">
        <v>15</v>
      </c>
      <c r="Y372" s="0" t="n">
        <v>13</v>
      </c>
      <c r="Z372" s="0" t="inlineStr">
        <is>
          <t>https://new.land.naver.com/complexes/19682?tab=detail&amp;rf=Y</t>
        </is>
      </c>
      <c r="AA372" s="0" t="inlineStr">
        <is>
          <t>충청북도 청주시 상당구 용암동 2915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상당구</t>
        </is>
      </c>
      <c r="AE372" s="0" t="inlineStr">
        <is>
          <t>용암동</t>
        </is>
      </c>
      <c r="AG372" s="0" t="inlineStr">
        <is>
          <t>충청북도 청주시 상당구 무심동로 86</t>
        </is>
      </c>
      <c r="AH372" s="0" t="n">
        <v>0</v>
      </c>
      <c r="AI372" s="0" t="n">
        <v>169</v>
      </c>
      <c r="AJ372" s="0" t="n">
        <v>15</v>
      </c>
      <c r="AK372" s="0" t="n">
        <v>520</v>
      </c>
      <c r="AL372" s="0" t="n">
        <v>1.01</v>
      </c>
    </row>
    <row r="373">
      <c r="A373" s="0" t="inlineStr">
        <is>
          <t>[용암동]</t>
        </is>
      </c>
      <c r="B373" s="0" t="n">
        <v>19682</v>
      </c>
      <c r="C373" s="0" t="n">
        <v>3</v>
      </c>
      <c r="D373" s="0" t="inlineStr">
        <is>
          <t>청주신영강변뜨란채</t>
        </is>
      </c>
      <c r="E373" s="0" t="inlineStr">
        <is>
          <t>2005.08.</t>
        </is>
      </c>
      <c r="F373" s="0" t="n">
        <v>517</v>
      </c>
      <c r="G373" s="0" t="n">
        <v>23.64</v>
      </c>
      <c r="H373" s="0" t="n">
        <v>78.15000000000001</v>
      </c>
      <c r="I373" s="0" t="n">
        <v>18.11</v>
      </c>
      <c r="J373" s="0" t="n">
        <v>59.88</v>
      </c>
      <c r="K373" s="0" t="n">
        <v>129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78</v>
      </c>
      <c r="X373" s="0" t="n">
        <v>15</v>
      </c>
      <c r="Y373" s="0" t="n">
        <v>13</v>
      </c>
      <c r="Z373" s="0" t="inlineStr">
        <is>
          <t>https://new.land.naver.com/complexes/19682?tab=detail&amp;rf=Y</t>
        </is>
      </c>
      <c r="AA373" s="0" t="inlineStr">
        <is>
          <t>충청북도 청주시 상당구 용암동 2915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상당구</t>
        </is>
      </c>
      <c r="AE373" s="0" t="inlineStr">
        <is>
          <t>용암동</t>
        </is>
      </c>
      <c r="AG373" s="0" t="inlineStr">
        <is>
          <t>충청북도 청주시 상당구 무심동로 86</t>
        </is>
      </c>
      <c r="AH373" s="0" t="n">
        <v>0</v>
      </c>
      <c r="AI373" s="0" t="n">
        <v>169</v>
      </c>
      <c r="AJ373" s="0" t="n">
        <v>15</v>
      </c>
      <c r="AK373" s="0" t="n">
        <v>520</v>
      </c>
      <c r="AL373" s="0" t="n">
        <v>1.01</v>
      </c>
    </row>
    <row r="374">
      <c r="A374" s="0" t="inlineStr">
        <is>
          <t>[용암동]</t>
        </is>
      </c>
      <c r="B374" s="0" t="n">
        <v>19682</v>
      </c>
      <c r="C374" s="0" t="n">
        <v>4</v>
      </c>
      <c r="D374" s="0" t="inlineStr">
        <is>
          <t>청주신영강변뜨란채</t>
        </is>
      </c>
      <c r="E374" s="0" t="inlineStr">
        <is>
          <t>2005.08.</t>
        </is>
      </c>
      <c r="F374" s="0" t="n">
        <v>517</v>
      </c>
      <c r="G374" s="0" t="n">
        <v>23.66</v>
      </c>
      <c r="H374" s="0" t="n">
        <v>78.23</v>
      </c>
      <c r="I374" s="0" t="n">
        <v>18.13</v>
      </c>
      <c r="J374" s="0" t="n">
        <v>59.94</v>
      </c>
      <c r="K374" s="0" t="n">
        <v>39</v>
      </c>
      <c r="T374" s="0" t="n">
        <v>3</v>
      </c>
      <c r="U374" s="0" t="n">
        <v>1</v>
      </c>
      <c r="V374" s="0" t="inlineStr">
        <is>
          <t>계단식</t>
        </is>
      </c>
      <c r="W374" s="0" t="inlineStr">
        <is>
          <t>78A</t>
        </is>
      </c>
      <c r="X374" s="0" t="n">
        <v>15</v>
      </c>
      <c r="Y374" s="0" t="n">
        <v>13</v>
      </c>
      <c r="Z374" s="0" t="inlineStr">
        <is>
          <t>https://new.land.naver.com/complexes/19682?tab=detail&amp;rf=Y</t>
        </is>
      </c>
      <c r="AA374" s="0" t="inlineStr">
        <is>
          <t>충청북도 청주시 상당구 용암동 2915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상당구</t>
        </is>
      </c>
      <c r="AE374" s="0" t="inlineStr">
        <is>
          <t>용암동</t>
        </is>
      </c>
      <c r="AG374" s="0" t="inlineStr">
        <is>
          <t>충청북도 청주시 상당구 무심동로 86</t>
        </is>
      </c>
      <c r="AH374" s="0" t="n">
        <v>0</v>
      </c>
      <c r="AI374" s="0" t="n">
        <v>169</v>
      </c>
      <c r="AJ374" s="0" t="n">
        <v>15</v>
      </c>
      <c r="AK374" s="0" t="n">
        <v>520</v>
      </c>
      <c r="AL374" s="0" t="n">
        <v>1.01</v>
      </c>
    </row>
    <row r="375">
      <c r="A375" s="0" t="inlineStr">
        <is>
          <t>[용암동]</t>
        </is>
      </c>
      <c r="B375" s="0" t="n">
        <v>19682</v>
      </c>
      <c r="C375" s="0" t="n">
        <v>5</v>
      </c>
      <c r="D375" s="0" t="inlineStr">
        <is>
          <t>청주신영강변뜨란채</t>
        </is>
      </c>
      <c r="E375" s="0" t="inlineStr">
        <is>
          <t>2005.08.</t>
        </is>
      </c>
      <c r="F375" s="0" t="n">
        <v>517</v>
      </c>
      <c r="G375" s="0" t="n">
        <v>31.85</v>
      </c>
      <c r="H375" s="0" t="n">
        <v>105.3</v>
      </c>
      <c r="I375" s="0" t="n">
        <v>25.64</v>
      </c>
      <c r="J375" s="0" t="n">
        <v>84.78</v>
      </c>
      <c r="K375" s="0" t="n">
        <v>235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105</v>
      </c>
      <c r="X375" s="0" t="n">
        <v>15</v>
      </c>
      <c r="Y375" s="0" t="n">
        <v>13</v>
      </c>
      <c r="Z375" s="0" t="inlineStr">
        <is>
          <t>https://new.land.naver.com/complexes/19682?tab=detail&amp;rf=Y</t>
        </is>
      </c>
      <c r="AA375" s="0" t="inlineStr">
        <is>
          <t>충청북도 청주시 상당구 용암동 2915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상당구</t>
        </is>
      </c>
      <c r="AE375" s="0" t="inlineStr">
        <is>
          <t>용암동</t>
        </is>
      </c>
      <c r="AG375" s="0" t="inlineStr">
        <is>
          <t>충청북도 청주시 상당구 무심동로 86</t>
        </is>
      </c>
      <c r="AH375" s="0" t="n">
        <v>0</v>
      </c>
      <c r="AI375" s="0" t="n">
        <v>169</v>
      </c>
      <c r="AJ375" s="0" t="n">
        <v>15</v>
      </c>
      <c r="AK375" s="0" t="n">
        <v>520</v>
      </c>
      <c r="AL375" s="0" t="n">
        <v>1.01</v>
      </c>
    </row>
    <row r="376">
      <c r="A376" s="0" t="inlineStr">
        <is>
          <t>[용암동]</t>
        </is>
      </c>
      <c r="B376" s="0" t="n">
        <v>19682</v>
      </c>
      <c r="C376" s="0" t="n">
        <v>6</v>
      </c>
      <c r="D376" s="0" t="inlineStr">
        <is>
          <t>청주신영강변뜨란채</t>
        </is>
      </c>
      <c r="E376" s="0" t="inlineStr">
        <is>
          <t>2005.08.</t>
        </is>
      </c>
      <c r="F376" s="0" t="n">
        <v>517</v>
      </c>
      <c r="G376" s="0" t="n">
        <v>40.15</v>
      </c>
      <c r="H376" s="0" t="n">
        <v>132.73</v>
      </c>
      <c r="I376" s="0" t="n">
        <v>32.9</v>
      </c>
      <c r="J376" s="0" t="n">
        <v>108.77</v>
      </c>
      <c r="K376" s="0" t="n">
        <v>51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132</v>
      </c>
      <c r="X376" s="0" t="n">
        <v>15</v>
      </c>
      <c r="Y376" s="0" t="n">
        <v>13</v>
      </c>
      <c r="Z376" s="0" t="inlineStr">
        <is>
          <t>https://new.land.naver.com/complexes/19682?tab=detail&amp;rf=Y</t>
        </is>
      </c>
      <c r="AA376" s="0" t="inlineStr">
        <is>
          <t>충청북도 청주시 상당구 용암동 2915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상당구</t>
        </is>
      </c>
      <c r="AE376" s="0" t="inlineStr">
        <is>
          <t>용암동</t>
        </is>
      </c>
      <c r="AG376" s="0" t="inlineStr">
        <is>
          <t>충청북도 청주시 상당구 무심동로 86</t>
        </is>
      </c>
      <c r="AH376" s="0" t="n">
        <v>0</v>
      </c>
      <c r="AI376" s="0" t="n">
        <v>169</v>
      </c>
      <c r="AJ376" s="0" t="n">
        <v>15</v>
      </c>
      <c r="AK376" s="0" t="n">
        <v>520</v>
      </c>
      <c r="AL376" s="0" t="n">
        <v>1.01</v>
      </c>
    </row>
    <row r="377">
      <c r="A377" s="0" t="inlineStr">
        <is>
          <t>[용암동]</t>
        </is>
      </c>
      <c r="B377" s="0" t="n">
        <v>17234</v>
      </c>
      <c r="C377" s="0" t="n">
        <v>1</v>
      </c>
      <c r="D377" s="0" t="inlineStr">
        <is>
          <t>중흥마을6단지부영</t>
        </is>
      </c>
      <c r="E377" s="0" t="inlineStr">
        <is>
          <t>2001.11.</t>
        </is>
      </c>
      <c r="F377" s="0" t="n">
        <v>557</v>
      </c>
      <c r="G377" s="0" t="n">
        <v>34.47</v>
      </c>
      <c r="H377" s="0" t="n">
        <v>113.96</v>
      </c>
      <c r="I377" s="0" t="n">
        <v>25.69</v>
      </c>
      <c r="J377" s="0" t="n">
        <v>84.95</v>
      </c>
      <c r="K377" s="0" t="n">
        <v>557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113</v>
      </c>
      <c r="X377" s="0" t="n">
        <v>15</v>
      </c>
      <c r="Y377" s="0" t="n">
        <v>9</v>
      </c>
      <c r="Z377" s="0" t="inlineStr">
        <is>
          <t>https://new.land.naver.com/complexes/17234?tab=detail&amp;rf=Y</t>
        </is>
      </c>
      <c r="AA377" s="0" t="inlineStr">
        <is>
          <t>충청북도 청주시 상당구 용암동 2433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상당구</t>
        </is>
      </c>
      <c r="AE377" s="0" t="inlineStr">
        <is>
          <t>용암동</t>
        </is>
      </c>
      <c r="AG377" s="0" t="inlineStr">
        <is>
          <t>충청북도 청주시 상당구 중흥로 146</t>
        </is>
      </c>
      <c r="AH377" s="0" t="n">
        <v>0</v>
      </c>
      <c r="AI377" s="0" t="n">
        <v>210</v>
      </c>
      <c r="AJ377" s="0" t="n">
        <v>21</v>
      </c>
      <c r="AK377" s="0" t="n">
        <v>637</v>
      </c>
      <c r="AL377" s="0" t="n">
        <v>1.14</v>
      </c>
    </row>
    <row r="378">
      <c r="A378" s="0" t="inlineStr">
        <is>
          <t>[용암동]</t>
        </is>
      </c>
      <c r="B378" s="0" t="n">
        <v>7040</v>
      </c>
      <c r="C378" s="0" t="n">
        <v>1</v>
      </c>
      <c r="D378" s="0" t="inlineStr">
        <is>
          <t>소라</t>
        </is>
      </c>
      <c r="E378" s="0" t="inlineStr">
        <is>
          <t>1994.11.</t>
        </is>
      </c>
      <c r="F378" s="0" t="n">
        <v>675</v>
      </c>
      <c r="G378" s="0" t="n">
        <v>22.61</v>
      </c>
      <c r="H378" s="0" t="n">
        <v>74.77</v>
      </c>
      <c r="I378" s="0" t="n">
        <v>18.05</v>
      </c>
      <c r="J378" s="0" t="n">
        <v>59.7</v>
      </c>
      <c r="K378" s="0" t="n">
        <v>480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74B</t>
        </is>
      </c>
      <c r="X378" s="0" t="n">
        <v>15</v>
      </c>
      <c r="Y378" s="0" t="n">
        <v>15</v>
      </c>
      <c r="Z378" s="0" t="inlineStr">
        <is>
          <t>https://new.land.naver.com/complexes/7040?tab=detail&amp;rf=Y</t>
        </is>
      </c>
      <c r="AA378" s="0" t="inlineStr">
        <is>
          <t>충청북도 청주시 상당구 용암동 2082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상당구</t>
        </is>
      </c>
      <c r="AE378" s="0" t="inlineStr">
        <is>
          <t>용암동</t>
        </is>
      </c>
      <c r="AG378" s="0" t="inlineStr">
        <is>
          <t>충청북도 청주시 상당구 원봉로 21</t>
        </is>
      </c>
      <c r="AH378" s="0" t="n">
        <v>0</v>
      </c>
      <c r="AI378" s="0" t="n">
        <v>227</v>
      </c>
      <c r="AJ378" s="0" t="n">
        <v>47</v>
      </c>
      <c r="AK378" s="0" t="n">
        <v>586</v>
      </c>
      <c r="AL378" s="0" t="n">
        <v>0.87</v>
      </c>
    </row>
    <row r="379">
      <c r="A379" s="0" t="inlineStr">
        <is>
          <t>[용암동]</t>
        </is>
      </c>
      <c r="B379" s="0" t="n">
        <v>7040</v>
      </c>
      <c r="C379" s="0" t="n">
        <v>2</v>
      </c>
      <c r="D379" s="0" t="inlineStr">
        <is>
          <t>소라</t>
        </is>
      </c>
      <c r="E379" s="0" t="inlineStr">
        <is>
          <t>1994.11.</t>
        </is>
      </c>
      <c r="F379" s="0" t="n">
        <v>675</v>
      </c>
      <c r="G379" s="0" t="n">
        <v>22.51</v>
      </c>
      <c r="H379" s="0" t="n">
        <v>74.43000000000001</v>
      </c>
      <c r="I379" s="0" t="n">
        <v>17.97</v>
      </c>
      <c r="J379" s="0" t="n">
        <v>59.43</v>
      </c>
      <c r="K379" s="0" t="n">
        <v>195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74A</t>
        </is>
      </c>
      <c r="X379" s="0" t="n">
        <v>15</v>
      </c>
      <c r="Y379" s="0" t="n">
        <v>15</v>
      </c>
      <c r="Z379" s="0" t="inlineStr">
        <is>
          <t>https://new.land.naver.com/complexes/7040?tab=detail&amp;rf=Y</t>
        </is>
      </c>
      <c r="AA379" s="0" t="inlineStr">
        <is>
          <t>충청북도 청주시 상당구 용암동 2082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상당구</t>
        </is>
      </c>
      <c r="AE379" s="0" t="inlineStr">
        <is>
          <t>용암동</t>
        </is>
      </c>
      <c r="AG379" s="0" t="inlineStr">
        <is>
          <t>충청북도 청주시 상당구 원봉로 21</t>
        </is>
      </c>
      <c r="AH379" s="0" t="n">
        <v>0</v>
      </c>
      <c r="AI379" s="0" t="n">
        <v>227</v>
      </c>
      <c r="AJ379" s="0" t="n">
        <v>47</v>
      </c>
      <c r="AK379" s="0" t="n">
        <v>586</v>
      </c>
      <c r="AL379" s="0" t="n">
        <v>0.87</v>
      </c>
    </row>
    <row r="380">
      <c r="A380" s="0" t="inlineStr">
        <is>
          <t>[용암동]</t>
        </is>
      </c>
      <c r="B380" s="0" t="n">
        <v>7038</v>
      </c>
      <c r="C380" s="0" t="n">
        <v>1</v>
      </c>
      <c r="D380" s="0" t="inlineStr">
        <is>
          <t>용암세원한아름</t>
        </is>
      </c>
      <c r="E380" s="0" t="inlineStr">
        <is>
          <t>1994.11.</t>
        </is>
      </c>
      <c r="F380" s="0" t="n">
        <v>1530</v>
      </c>
      <c r="G380" s="0" t="n">
        <v>17.05</v>
      </c>
      <c r="H380" s="0" t="n">
        <v>56.37</v>
      </c>
      <c r="I380" s="0" t="n">
        <v>12.65</v>
      </c>
      <c r="J380" s="0" t="n">
        <v>41.85</v>
      </c>
      <c r="K380" s="0" t="n">
        <v>480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56</v>
      </c>
      <c r="X380" s="0" t="n">
        <v>15</v>
      </c>
      <c r="Y380" s="0" t="n">
        <v>15</v>
      </c>
      <c r="Z380" s="0" t="inlineStr">
        <is>
          <t>https://new.land.naver.com/complexes/7038?tab=detail&amp;rf=Y</t>
        </is>
      </c>
      <c r="AA380" s="0" t="inlineStr">
        <is>
          <t>충청북도 청주시 상당구 용암동 2064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상당구</t>
        </is>
      </c>
      <c r="AE380" s="0" t="inlineStr">
        <is>
          <t>용암동</t>
        </is>
      </c>
      <c r="AG380" s="0" t="inlineStr">
        <is>
          <t>충청북도 청주시 상당구 무농정로 90</t>
        </is>
      </c>
      <c r="AH380" s="0" t="n">
        <v>0</v>
      </c>
      <c r="AI380" s="0" t="n">
        <v>207</v>
      </c>
      <c r="AJ380" s="0" t="n">
        <v>20</v>
      </c>
      <c r="AK380" s="0" t="n">
        <v>1255</v>
      </c>
      <c r="AL380" s="0" t="n">
        <v>0.82</v>
      </c>
    </row>
    <row r="381">
      <c r="A381" s="0" t="inlineStr">
        <is>
          <t>[용암동]</t>
        </is>
      </c>
      <c r="B381" s="0" t="n">
        <v>7038</v>
      </c>
      <c r="C381" s="0" t="n">
        <v>2</v>
      </c>
      <c r="D381" s="0" t="inlineStr">
        <is>
          <t>용암세원한아름</t>
        </is>
      </c>
      <c r="E381" s="0" t="inlineStr">
        <is>
          <t>1994.11.</t>
        </is>
      </c>
      <c r="F381" s="0" t="n">
        <v>1530</v>
      </c>
      <c r="G381" s="0" t="n">
        <v>22.67</v>
      </c>
      <c r="H381" s="0" t="n">
        <v>74.95999999999999</v>
      </c>
      <c r="I381" s="0" t="n">
        <v>18.07</v>
      </c>
      <c r="J381" s="0" t="n">
        <v>59.76</v>
      </c>
      <c r="K381" s="0" t="n">
        <v>1050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74</v>
      </c>
      <c r="X381" s="0" t="n">
        <v>15</v>
      </c>
      <c r="Y381" s="0" t="n">
        <v>15</v>
      </c>
      <c r="Z381" s="0" t="inlineStr">
        <is>
          <t>https://new.land.naver.com/complexes/7038?tab=detail&amp;rf=Y</t>
        </is>
      </c>
      <c r="AA381" s="0" t="inlineStr">
        <is>
          <t>충청북도 청주시 상당구 용암동 2064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상당구</t>
        </is>
      </c>
      <c r="AE381" s="0" t="inlineStr">
        <is>
          <t>용암동</t>
        </is>
      </c>
      <c r="AG381" s="0" t="inlineStr">
        <is>
          <t>충청북도 청주시 상당구 무농정로 90</t>
        </is>
      </c>
      <c r="AH381" s="0" t="n">
        <v>0</v>
      </c>
      <c r="AI381" s="0" t="n">
        <v>207</v>
      </c>
      <c r="AJ381" s="0" t="n">
        <v>20</v>
      </c>
      <c r="AK381" s="0" t="n">
        <v>1255</v>
      </c>
      <c r="AL381" s="0" t="n">
        <v>0.82</v>
      </c>
    </row>
    <row r="382">
      <c r="A382" s="0" t="inlineStr">
        <is>
          <t>[용암동]</t>
        </is>
      </c>
      <c r="B382" s="0" t="n">
        <v>15401</v>
      </c>
      <c r="C382" s="0" t="n">
        <v>1</v>
      </c>
      <c r="D382" s="0" t="inlineStr">
        <is>
          <t>용암삼일무지개</t>
        </is>
      </c>
      <c r="E382" s="0" t="inlineStr">
        <is>
          <t>1994.10.</t>
        </is>
      </c>
      <c r="F382" s="0" t="n">
        <v>640</v>
      </c>
      <c r="G382" s="0" t="n">
        <v>22.58</v>
      </c>
      <c r="H382" s="0" t="n">
        <v>74.65000000000001</v>
      </c>
      <c r="I382" s="0" t="n">
        <v>18.13</v>
      </c>
      <c r="J382" s="0" t="n">
        <v>59.94</v>
      </c>
      <c r="K382" s="0" t="n">
        <v>640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74</v>
      </c>
      <c r="X382" s="0" t="n">
        <v>15</v>
      </c>
      <c r="Y382" s="0" t="n">
        <v>10</v>
      </c>
      <c r="Z382" s="0" t="inlineStr">
        <is>
          <t>https://new.land.naver.com/complexes/15401?tab=detail&amp;rf=Y</t>
        </is>
      </c>
      <c r="AA382" s="0" t="inlineStr">
        <is>
          <t>충청북도 청주시 상당구 용암동 2083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상당구</t>
        </is>
      </c>
      <c r="AE382" s="0" t="inlineStr">
        <is>
          <t>용암동</t>
        </is>
      </c>
      <c r="AG382" s="0" t="inlineStr">
        <is>
          <t>충청북도 청주시 상당구 무농정로 103</t>
        </is>
      </c>
      <c r="AH382" s="0" t="n">
        <v>0</v>
      </c>
      <c r="AI382" s="0" t="n">
        <v>231</v>
      </c>
      <c r="AJ382" s="0" t="n">
        <v>25</v>
      </c>
      <c r="AK382" s="0" t="n">
        <v>525</v>
      </c>
      <c r="AL382" s="0" t="n">
        <v>0.82</v>
      </c>
    </row>
    <row r="383">
      <c r="A383" s="0" t="inlineStr">
        <is>
          <t>[용암동]</t>
        </is>
      </c>
      <c r="B383" s="0" t="n">
        <v>117349</v>
      </c>
      <c r="C383" s="0" t="n">
        <v>1</v>
      </c>
      <c r="D383" s="0" t="inlineStr">
        <is>
          <t>대원칸타빌더테라스2단지</t>
        </is>
      </c>
      <c r="E383" s="0" t="inlineStr">
        <is>
          <t>2019.12.</t>
        </is>
      </c>
      <c r="F383" s="0" t="n">
        <v>706</v>
      </c>
      <c r="G383" s="0" t="n">
        <v>30.38</v>
      </c>
      <c r="H383" s="0" t="n">
        <v>100.44</v>
      </c>
      <c r="I383" s="0" t="n">
        <v>23.86</v>
      </c>
      <c r="J383" s="0" t="n">
        <v>78.89</v>
      </c>
      <c r="K383" s="0" t="n">
        <v>233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100</v>
      </c>
      <c r="X383" s="0" t="n">
        <v>25</v>
      </c>
      <c r="Y383" s="0" t="n">
        <v>22</v>
      </c>
      <c r="Z383" s="0" t="inlineStr">
        <is>
          <t>https://new.land.naver.com/complexes/117349?tab=detail&amp;rf=Y</t>
        </is>
      </c>
      <c r="AA383" s="0" t="inlineStr">
        <is>
          <t>충청북도 청주시 상당구 용암동 동남택지개발지구 B3블럭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상당구</t>
        </is>
      </c>
      <c r="AE383" s="0" t="inlineStr">
        <is>
          <t>용암동</t>
        </is>
      </c>
      <c r="AG383" s="0" t="inlineStr">
        <is>
          <t>충청북도 청주시 상당구 중고개로 104</t>
        </is>
      </c>
      <c r="AH383" s="0" t="n">
        <v>0</v>
      </c>
      <c r="AI383" s="0" t="n">
        <v>0</v>
      </c>
      <c r="AJ383" s="0" t="n">
        <v>0</v>
      </c>
      <c r="AK383" s="0" t="n">
        <v>979</v>
      </c>
      <c r="AL383" s="0" t="n">
        <v>1.39</v>
      </c>
    </row>
    <row r="384">
      <c r="A384" s="0" t="inlineStr">
        <is>
          <t>[용암동]</t>
        </is>
      </c>
      <c r="B384" s="0" t="n">
        <v>117349</v>
      </c>
      <c r="C384" s="0" t="n">
        <v>2</v>
      </c>
      <c r="D384" s="0" t="inlineStr">
        <is>
          <t>대원칸타빌더테라스2단지</t>
        </is>
      </c>
      <c r="E384" s="0" t="inlineStr">
        <is>
          <t>2019.12.</t>
        </is>
      </c>
      <c r="F384" s="0" t="n">
        <v>706</v>
      </c>
      <c r="G384" s="0" t="n">
        <v>32.67</v>
      </c>
      <c r="H384" s="0" t="n">
        <v>108.02</v>
      </c>
      <c r="I384" s="0" t="n">
        <v>25.58</v>
      </c>
      <c r="J384" s="0" t="n">
        <v>84.56999999999999</v>
      </c>
      <c r="K384" s="0" t="n">
        <v>299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108A</t>
        </is>
      </c>
      <c r="X384" s="0" t="n">
        <v>25</v>
      </c>
      <c r="Y384" s="0" t="n">
        <v>22</v>
      </c>
      <c r="Z384" s="0" t="inlineStr">
        <is>
          <t>https://new.land.naver.com/complexes/117349?tab=detail&amp;rf=Y</t>
        </is>
      </c>
      <c r="AA384" s="0" t="inlineStr">
        <is>
          <t>충청북도 청주시 상당구 용암동 동남택지개발지구 B3블럭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상당구</t>
        </is>
      </c>
      <c r="AE384" s="0" t="inlineStr">
        <is>
          <t>용암동</t>
        </is>
      </c>
      <c r="AG384" s="0" t="inlineStr">
        <is>
          <t>충청북도 청주시 상당구 중고개로 104</t>
        </is>
      </c>
      <c r="AH384" s="0" t="n">
        <v>0</v>
      </c>
      <c r="AI384" s="0" t="n">
        <v>0</v>
      </c>
      <c r="AJ384" s="0" t="n">
        <v>0</v>
      </c>
      <c r="AK384" s="0" t="n">
        <v>979</v>
      </c>
      <c r="AL384" s="0" t="n">
        <v>1.39</v>
      </c>
    </row>
    <row r="385">
      <c r="A385" s="0" t="inlineStr">
        <is>
          <t>[용암동]</t>
        </is>
      </c>
      <c r="B385" s="0" t="n">
        <v>117349</v>
      </c>
      <c r="C385" s="0" t="n">
        <v>3</v>
      </c>
      <c r="D385" s="0" t="inlineStr">
        <is>
          <t>대원칸타빌더테라스2단지</t>
        </is>
      </c>
      <c r="E385" s="0" t="inlineStr">
        <is>
          <t>2019.12.</t>
        </is>
      </c>
      <c r="F385" s="0" t="n">
        <v>706</v>
      </c>
      <c r="G385" s="0" t="n">
        <v>33.36</v>
      </c>
      <c r="H385" s="0" t="n">
        <v>110.3</v>
      </c>
      <c r="I385" s="0" t="n">
        <v>25.68</v>
      </c>
      <c r="J385" s="0" t="n">
        <v>84.92</v>
      </c>
      <c r="K385" s="0" t="n">
        <v>174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110B</t>
        </is>
      </c>
      <c r="X385" s="0" t="n">
        <v>25</v>
      </c>
      <c r="Y385" s="0" t="n">
        <v>22</v>
      </c>
      <c r="Z385" s="0" t="inlineStr">
        <is>
          <t>https://new.land.naver.com/complexes/117349?tab=detail&amp;rf=Y</t>
        </is>
      </c>
      <c r="AA385" s="0" t="inlineStr">
        <is>
          <t>충청북도 청주시 상당구 용암동 동남택지개발지구 B3블럭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상당구</t>
        </is>
      </c>
      <c r="AE385" s="0" t="inlineStr">
        <is>
          <t>용암동</t>
        </is>
      </c>
      <c r="AG385" s="0" t="inlineStr">
        <is>
          <t>충청북도 청주시 상당구 중고개로 104</t>
        </is>
      </c>
      <c r="AH385" s="0" t="n">
        <v>0</v>
      </c>
      <c r="AI385" s="0" t="n">
        <v>0</v>
      </c>
      <c r="AJ385" s="0" t="n">
        <v>0</v>
      </c>
      <c r="AK385" s="0" t="n">
        <v>979</v>
      </c>
      <c r="AL385" s="0" t="n">
        <v>1.39</v>
      </c>
    </row>
    <row r="386">
      <c r="A386" s="0" t="inlineStr">
        <is>
          <t>[용암동]</t>
        </is>
      </c>
      <c r="B386" s="0" t="n">
        <v>7160</v>
      </c>
      <c r="C386" s="0" t="n">
        <v>1</v>
      </c>
      <c r="D386" s="0" t="inlineStr">
        <is>
          <t>용암현대</t>
        </is>
      </c>
      <c r="E386" s="0" t="inlineStr">
        <is>
          <t>1995.10.</t>
        </is>
      </c>
      <c r="F386" s="0" t="n">
        <v>476</v>
      </c>
      <c r="G386" s="0" t="n">
        <v>31.2</v>
      </c>
      <c r="H386" s="0" t="n">
        <v>103.16</v>
      </c>
      <c r="I386" s="0" t="n">
        <v>25.67</v>
      </c>
      <c r="J386" s="0" t="n">
        <v>84.87</v>
      </c>
      <c r="K386" s="0" t="n">
        <v>476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15</v>
      </c>
      <c r="Y386" s="0" t="n">
        <v>14</v>
      </c>
      <c r="Z386" s="0" t="inlineStr">
        <is>
          <t>https://new.land.naver.com/complexes/7160?tab=detail&amp;rf=Y</t>
        </is>
      </c>
      <c r="AA386" s="0" t="inlineStr">
        <is>
          <t>충청북도 청주시 상당구 용암동 2089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상당구</t>
        </is>
      </c>
      <c r="AE386" s="0" t="inlineStr">
        <is>
          <t>용암동</t>
        </is>
      </c>
      <c r="AG386" s="0" t="inlineStr">
        <is>
          <t>충청북도 청주시 상당구 용암로 23</t>
        </is>
      </c>
      <c r="AH386" s="0" t="n">
        <v>0</v>
      </c>
      <c r="AI386" s="0" t="n">
        <v>224</v>
      </c>
      <c r="AJ386" s="0" t="n">
        <v>21</v>
      </c>
      <c r="AK386" s="0" t="n">
        <v>460</v>
      </c>
      <c r="AL386" s="0" t="n">
        <v>0.97</v>
      </c>
    </row>
    <row r="387">
      <c r="A387" s="0" t="inlineStr">
        <is>
          <t>[용암동]</t>
        </is>
      </c>
      <c r="B387" s="0" t="n">
        <v>7037</v>
      </c>
      <c r="C387" s="0" t="n">
        <v>1</v>
      </c>
      <c r="D387" s="0" t="inlineStr">
        <is>
          <t>덕성그린타운</t>
        </is>
      </c>
      <c r="E387" s="0" t="inlineStr">
        <is>
          <t>1995.07.</t>
        </is>
      </c>
      <c r="F387" s="0" t="n">
        <v>495</v>
      </c>
      <c r="G387" s="0" t="n">
        <v>10.43</v>
      </c>
      <c r="H387" s="0" t="n">
        <v>34.48</v>
      </c>
      <c r="I387" s="0" t="n">
        <v>8.279999999999999</v>
      </c>
      <c r="J387" s="0" t="n">
        <v>27.4</v>
      </c>
      <c r="K387" s="0" t="n">
        <v>15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34</v>
      </c>
      <c r="X387" s="0" t="n">
        <v>15</v>
      </c>
      <c r="Y387" s="0" t="n">
        <v>15</v>
      </c>
      <c r="Z387" s="0" t="inlineStr">
        <is>
          <t>https://new.land.naver.com/complexes/7037?tab=detail&amp;rf=Y</t>
        </is>
      </c>
      <c r="AA387" s="0" t="inlineStr">
        <is>
          <t>충청북도 청주시 상당구 용암동 2085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상당구</t>
        </is>
      </c>
      <c r="AE387" s="0" t="inlineStr">
        <is>
          <t>용암동</t>
        </is>
      </c>
      <c r="AG387" s="0" t="inlineStr">
        <is>
          <t>충청북도 청주시 상당구 용암로 3</t>
        </is>
      </c>
      <c r="AH387" s="0" t="n">
        <v>0</v>
      </c>
      <c r="AI387" s="0" t="n">
        <v>210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[용암동]</t>
        </is>
      </c>
      <c r="B388" s="0" t="n">
        <v>7037</v>
      </c>
      <c r="C388" s="0" t="n">
        <v>2</v>
      </c>
      <c r="D388" s="0" t="inlineStr">
        <is>
          <t>덕성그린타운</t>
        </is>
      </c>
      <c r="E388" s="0" t="inlineStr">
        <is>
          <t>1995.07.</t>
        </is>
      </c>
      <c r="F388" s="0" t="n">
        <v>495</v>
      </c>
      <c r="G388" s="0" t="n">
        <v>15.01</v>
      </c>
      <c r="H388" s="0" t="n">
        <v>49.64</v>
      </c>
      <c r="I388" s="0" t="n">
        <v>11.93</v>
      </c>
      <c r="J388" s="0" t="n">
        <v>39.46</v>
      </c>
      <c r="K388" s="0" t="n">
        <v>15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49</v>
      </c>
      <c r="X388" s="0" t="n">
        <v>15</v>
      </c>
      <c r="Y388" s="0" t="n">
        <v>15</v>
      </c>
      <c r="Z388" s="0" t="inlineStr">
        <is>
          <t>https://new.land.naver.com/complexes/7037?tab=detail&amp;rf=Y</t>
        </is>
      </c>
      <c r="AA388" s="0" t="inlineStr">
        <is>
          <t>충청북도 청주시 상당구 용암동 2085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상당구</t>
        </is>
      </c>
      <c r="AE388" s="0" t="inlineStr">
        <is>
          <t>용암동</t>
        </is>
      </c>
      <c r="AG388" s="0" t="inlineStr">
        <is>
          <t>충청북도 청주시 상당구 용암로 3</t>
        </is>
      </c>
      <c r="AH388" s="0" t="n">
        <v>0</v>
      </c>
      <c r="AI388" s="0" t="n">
        <v>210</v>
      </c>
      <c r="AJ388" s="0" t="n">
        <v>20</v>
      </c>
      <c r="AK388" s="0" t="n">
        <v>0</v>
      </c>
      <c r="AL388" s="0" t="n">
        <v>0</v>
      </c>
    </row>
    <row r="389">
      <c r="A389" s="0" t="inlineStr">
        <is>
          <t>[용암동]</t>
        </is>
      </c>
      <c r="B389" s="0" t="n">
        <v>7037</v>
      </c>
      <c r="C389" s="0" t="n">
        <v>3</v>
      </c>
      <c r="D389" s="0" t="inlineStr">
        <is>
          <t>덕성그린타운</t>
        </is>
      </c>
      <c r="E389" s="0" t="inlineStr">
        <is>
          <t>1995.07.</t>
        </is>
      </c>
      <c r="F389" s="0" t="n">
        <v>495</v>
      </c>
      <c r="G389" s="0" t="n">
        <v>19.35</v>
      </c>
      <c r="H389" s="0" t="n">
        <v>63.99</v>
      </c>
      <c r="I389" s="0" t="n">
        <v>15.11</v>
      </c>
      <c r="J389" s="0" t="n">
        <v>49.97</v>
      </c>
      <c r="K389" s="0" t="n">
        <v>150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63</v>
      </c>
      <c r="X389" s="0" t="n">
        <v>15</v>
      </c>
      <c r="Y389" s="0" t="n">
        <v>15</v>
      </c>
      <c r="Z389" s="0" t="inlineStr">
        <is>
          <t>https://new.land.naver.com/complexes/7037?tab=detail&amp;rf=Y</t>
        </is>
      </c>
      <c r="AA389" s="0" t="inlineStr">
        <is>
          <t>충청북도 청주시 상당구 용암동 2085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상당구</t>
        </is>
      </c>
      <c r="AE389" s="0" t="inlineStr">
        <is>
          <t>용암동</t>
        </is>
      </c>
      <c r="AG389" s="0" t="inlineStr">
        <is>
          <t>충청북도 청주시 상당구 용암로 3</t>
        </is>
      </c>
      <c r="AH389" s="0" t="n">
        <v>0</v>
      </c>
      <c r="AI389" s="0" t="n">
        <v>210</v>
      </c>
      <c r="AJ389" s="0" t="n">
        <v>20</v>
      </c>
      <c r="AK389" s="0" t="n">
        <v>0</v>
      </c>
      <c r="AL389" s="0" t="n">
        <v>0</v>
      </c>
    </row>
    <row r="390">
      <c r="A390" s="0" t="inlineStr">
        <is>
          <t>[용암동]</t>
        </is>
      </c>
      <c r="B390" s="0" t="n">
        <v>7037</v>
      </c>
      <c r="C390" s="0" t="n">
        <v>4</v>
      </c>
      <c r="D390" s="0" t="inlineStr">
        <is>
          <t>덕성그린타운</t>
        </is>
      </c>
      <c r="E390" s="0" t="inlineStr">
        <is>
          <t>1995.07.</t>
        </is>
      </c>
      <c r="F390" s="0" t="n">
        <v>495</v>
      </c>
      <c r="G390" s="0" t="n">
        <v>22.36</v>
      </c>
      <c r="H390" s="0" t="n">
        <v>73.93000000000001</v>
      </c>
      <c r="I390" s="0" t="n">
        <v>18.07</v>
      </c>
      <c r="J390" s="0" t="n">
        <v>59.76</v>
      </c>
      <c r="K390" s="0" t="n">
        <v>120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73</v>
      </c>
      <c r="X390" s="0" t="n">
        <v>15</v>
      </c>
      <c r="Y390" s="0" t="n">
        <v>15</v>
      </c>
      <c r="Z390" s="0" t="inlineStr">
        <is>
          <t>https://new.land.naver.com/complexes/7037?tab=detail&amp;rf=Y</t>
        </is>
      </c>
      <c r="AA390" s="0" t="inlineStr">
        <is>
          <t>충청북도 청주시 상당구 용암동 2085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상당구</t>
        </is>
      </c>
      <c r="AE390" s="0" t="inlineStr">
        <is>
          <t>용암동</t>
        </is>
      </c>
      <c r="AG390" s="0" t="inlineStr">
        <is>
          <t>충청북도 청주시 상당구 용암로 3</t>
        </is>
      </c>
      <c r="AH390" s="0" t="n">
        <v>0</v>
      </c>
      <c r="AI390" s="0" t="n">
        <v>210</v>
      </c>
      <c r="AJ390" s="0" t="n">
        <v>20</v>
      </c>
      <c r="AK390" s="0" t="n">
        <v>0</v>
      </c>
      <c r="AL390" s="0" t="n">
        <v>0</v>
      </c>
    </row>
    <row r="391">
      <c r="A391" s="0" t="inlineStr">
        <is>
          <t>[용암동]</t>
        </is>
      </c>
      <c r="B391" s="0" t="n">
        <v>7037</v>
      </c>
      <c r="C391" s="0" t="n">
        <v>5</v>
      </c>
      <c r="D391" s="0" t="inlineStr">
        <is>
          <t>덕성그린타운</t>
        </is>
      </c>
      <c r="E391" s="0" t="inlineStr">
        <is>
          <t>1995.07.</t>
        </is>
      </c>
      <c r="F391" s="0" t="n">
        <v>495</v>
      </c>
      <c r="G391" s="0" t="n">
        <v>22.67</v>
      </c>
      <c r="H391" s="0" t="n">
        <v>74.95999999999999</v>
      </c>
      <c r="I391" s="0" t="n">
        <v>18.02</v>
      </c>
      <c r="J391" s="0" t="n">
        <v>59.58</v>
      </c>
      <c r="K391" s="0" t="n">
        <v>195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74</v>
      </c>
      <c r="X391" s="0" t="n">
        <v>15</v>
      </c>
      <c r="Y391" s="0" t="n">
        <v>15</v>
      </c>
      <c r="Z391" s="0" t="inlineStr">
        <is>
          <t>https://new.land.naver.com/complexes/7037?tab=detail&amp;rf=Y</t>
        </is>
      </c>
      <c r="AA391" s="0" t="inlineStr">
        <is>
          <t>충청북도 청주시 상당구 용암동 2085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상당구</t>
        </is>
      </c>
      <c r="AE391" s="0" t="inlineStr">
        <is>
          <t>용암동</t>
        </is>
      </c>
      <c r="AG391" s="0" t="inlineStr">
        <is>
          <t>충청북도 청주시 상당구 용암로 3</t>
        </is>
      </c>
      <c r="AH391" s="0" t="n">
        <v>0</v>
      </c>
      <c r="AI391" s="0" t="n">
        <v>210</v>
      </c>
      <c r="AJ391" s="0" t="n">
        <v>20</v>
      </c>
      <c r="AK391" s="0" t="n">
        <v>0</v>
      </c>
      <c r="AL391" s="0" t="n">
        <v>0</v>
      </c>
    </row>
    <row r="392">
      <c r="A392" s="0" t="inlineStr">
        <is>
          <t>[용암동]</t>
        </is>
      </c>
      <c r="B392" s="0" t="n">
        <v>7162</v>
      </c>
      <c r="C392" s="0" t="n">
        <v>1</v>
      </c>
      <c r="D392" s="0" t="inlineStr">
        <is>
          <t>효성</t>
        </is>
      </c>
      <c r="E392" s="0" t="inlineStr">
        <is>
          <t>1994.10.</t>
        </is>
      </c>
      <c r="F392" s="0" t="n">
        <v>486</v>
      </c>
      <c r="G392" s="0" t="n">
        <v>22.42</v>
      </c>
      <c r="H392" s="0" t="n">
        <v>74.13</v>
      </c>
      <c r="I392" s="0" t="n">
        <v>17.91</v>
      </c>
      <c r="J392" s="0" t="n">
        <v>59.22</v>
      </c>
      <c r="K392" s="0" t="n">
        <v>366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74A</t>
        </is>
      </c>
      <c r="X392" s="0" t="n">
        <v>15</v>
      </c>
      <c r="Y392" s="0" t="n">
        <v>10</v>
      </c>
      <c r="Z392" s="0" t="inlineStr">
        <is>
          <t>https://new.land.naver.com/complexes/7162?tab=detail&amp;rf=Y</t>
        </is>
      </c>
      <c r="AA392" s="0" t="inlineStr">
        <is>
          <t>충청북도 청주시 상당구 용암동 2086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상당구</t>
        </is>
      </c>
      <c r="AE392" s="0" t="inlineStr">
        <is>
          <t>용암동</t>
        </is>
      </c>
      <c r="AG392" s="0" t="inlineStr">
        <is>
          <t>충청북도 청주시 상당구 월평로 221</t>
        </is>
      </c>
      <c r="AH392" s="0" t="n">
        <v>0</v>
      </c>
      <c r="AI392" s="0" t="n">
        <v>161</v>
      </c>
      <c r="AJ392" s="0" t="n">
        <v>24</v>
      </c>
      <c r="AK392" s="0" t="n">
        <v>420</v>
      </c>
      <c r="AL392" s="0" t="n">
        <v>0.86</v>
      </c>
    </row>
    <row r="393">
      <c r="A393" s="0" t="inlineStr">
        <is>
          <t>[용암동]</t>
        </is>
      </c>
      <c r="B393" s="0" t="n">
        <v>7162</v>
      </c>
      <c r="C393" s="0" t="n">
        <v>2</v>
      </c>
      <c r="D393" s="0" t="inlineStr">
        <is>
          <t>효성</t>
        </is>
      </c>
      <c r="E393" s="0" t="inlineStr">
        <is>
          <t>1994.10.</t>
        </is>
      </c>
      <c r="F393" s="0" t="n">
        <v>486</v>
      </c>
      <c r="G393" s="0" t="n">
        <v>22.53</v>
      </c>
      <c r="H393" s="0" t="n">
        <v>74.51000000000001</v>
      </c>
      <c r="I393" s="0" t="n">
        <v>17.97</v>
      </c>
      <c r="J393" s="0" t="n">
        <v>59.43</v>
      </c>
      <c r="K393" s="0" t="n">
        <v>120</v>
      </c>
      <c r="T393" s="0" t="n">
        <v>2</v>
      </c>
      <c r="U393" s="0" t="n">
        <v>1</v>
      </c>
      <c r="V393" s="0" t="inlineStr">
        <is>
          <t>계단식</t>
        </is>
      </c>
      <c r="W393" s="0" t="inlineStr">
        <is>
          <t>74B</t>
        </is>
      </c>
      <c r="X393" s="0" t="n">
        <v>15</v>
      </c>
      <c r="Y393" s="0" t="n">
        <v>10</v>
      </c>
      <c r="Z393" s="0" t="inlineStr">
        <is>
          <t>https://new.land.naver.com/complexes/7162?tab=detail&amp;rf=Y</t>
        </is>
      </c>
      <c r="AA393" s="0" t="inlineStr">
        <is>
          <t>충청북도 청주시 상당구 용암동 2086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상당구</t>
        </is>
      </c>
      <c r="AE393" s="0" t="inlineStr">
        <is>
          <t>용암동</t>
        </is>
      </c>
      <c r="AG393" s="0" t="inlineStr">
        <is>
          <t>충청북도 청주시 상당구 월평로 221</t>
        </is>
      </c>
      <c r="AH393" s="0" t="n">
        <v>0</v>
      </c>
      <c r="AI393" s="0" t="n">
        <v>161</v>
      </c>
      <c r="AJ393" s="0" t="n">
        <v>24</v>
      </c>
      <c r="AK393" s="0" t="n">
        <v>420</v>
      </c>
      <c r="AL393" s="0" t="n">
        <v>0.86</v>
      </c>
    </row>
    <row r="394">
      <c r="A394" s="0" t="inlineStr">
        <is>
          <t>[용암동]</t>
        </is>
      </c>
      <c r="B394" s="0" t="n">
        <v>11647</v>
      </c>
      <c r="C394" s="0" t="n">
        <v>1</v>
      </c>
      <c r="D394" s="0" t="inlineStr">
        <is>
          <t>용암대원칸타빌</t>
        </is>
      </c>
      <c r="E394" s="0" t="inlineStr">
        <is>
          <t>2002.10.</t>
        </is>
      </c>
      <c r="F394" s="0" t="n">
        <v>233</v>
      </c>
      <c r="G394" s="0" t="n">
        <v>33.32</v>
      </c>
      <c r="H394" s="0" t="n">
        <v>110.17</v>
      </c>
      <c r="I394" s="0" t="n">
        <v>25.7</v>
      </c>
      <c r="J394" s="0" t="n">
        <v>84.98</v>
      </c>
      <c r="K394" s="0" t="n">
        <v>233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12</v>
      </c>
      <c r="Z394" s="0" t="inlineStr">
        <is>
          <t>https://new.land.naver.com/complexes/11647?tab=detail&amp;rf=Y</t>
        </is>
      </c>
      <c r="AA394" s="0" t="inlineStr">
        <is>
          <t>충청북도 청주시 상당구 용암동 2063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상당구</t>
        </is>
      </c>
      <c r="AE394" s="0" t="inlineStr">
        <is>
          <t>용암동</t>
        </is>
      </c>
      <c r="AG394" s="0" t="inlineStr">
        <is>
          <t>충청북도 청주시 상당구 무농정로 72</t>
        </is>
      </c>
      <c r="AH394" s="0" t="n">
        <v>0</v>
      </c>
      <c r="AI394" s="0" t="n">
        <v>213</v>
      </c>
      <c r="AJ394" s="0" t="n">
        <v>18</v>
      </c>
      <c r="AK394" s="0" t="n">
        <v>237</v>
      </c>
      <c r="AL394" s="0" t="n">
        <v>1.02</v>
      </c>
    </row>
    <row r="395">
      <c r="A395" s="0" t="inlineStr">
        <is>
          <t>[용암동]</t>
        </is>
      </c>
      <c r="B395" s="0" t="n">
        <v>7052</v>
      </c>
      <c r="C395" s="0" t="n">
        <v>1</v>
      </c>
      <c r="D395" s="0" t="inlineStr">
        <is>
          <t>용암현대3차</t>
        </is>
      </c>
      <c r="E395" s="0" t="inlineStr">
        <is>
          <t>1995.12.</t>
        </is>
      </c>
      <c r="F395" s="0" t="n">
        <v>520</v>
      </c>
      <c r="G395" s="0" t="n">
        <v>31.32</v>
      </c>
      <c r="H395" s="0" t="n">
        <v>103.54</v>
      </c>
      <c r="I395" s="0" t="n">
        <v>25.35</v>
      </c>
      <c r="J395" s="0" t="n">
        <v>83.81999999999999</v>
      </c>
      <c r="K395" s="0" t="n">
        <v>280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103</v>
      </c>
      <c r="X395" s="0" t="n">
        <v>15</v>
      </c>
      <c r="Y395" s="0" t="n">
        <v>10</v>
      </c>
      <c r="Z395" s="0" t="inlineStr">
        <is>
          <t>https://new.land.naver.com/complexes/7052?tab=detail&amp;rf=Y</t>
        </is>
      </c>
      <c r="AA395" s="0" t="inlineStr">
        <is>
          <t>충청북도 청주시 상당구 용암동 2096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상당구</t>
        </is>
      </c>
      <c r="AE395" s="0" t="inlineStr">
        <is>
          <t>용암동</t>
        </is>
      </c>
      <c r="AG395" s="0" t="inlineStr">
        <is>
          <t>충청북도 청주시 상당구 중흥로 70</t>
        </is>
      </c>
      <c r="AH395" s="0" t="n">
        <v>0</v>
      </c>
      <c r="AI395" s="0" t="n">
        <v>202</v>
      </c>
      <c r="AJ395" s="0" t="n">
        <v>19</v>
      </c>
      <c r="AK395" s="0" t="n">
        <v>520</v>
      </c>
      <c r="AL395" s="0" t="n">
        <v>1</v>
      </c>
    </row>
    <row r="396">
      <c r="A396" s="0" t="inlineStr">
        <is>
          <t>[용암동]</t>
        </is>
      </c>
      <c r="B396" s="0" t="n">
        <v>7052</v>
      </c>
      <c r="C396" s="0" t="n">
        <v>2</v>
      </c>
      <c r="D396" s="0" t="inlineStr">
        <is>
          <t>용암현대3차</t>
        </is>
      </c>
      <c r="E396" s="0" t="inlineStr">
        <is>
          <t>1995.12.</t>
        </is>
      </c>
      <c r="F396" s="0" t="n">
        <v>520</v>
      </c>
      <c r="G396" s="0" t="n">
        <v>36.3</v>
      </c>
      <c r="H396" s="0" t="n">
        <v>120.03</v>
      </c>
      <c r="I396" s="0" t="n">
        <v>30.23</v>
      </c>
      <c r="J396" s="0" t="n">
        <v>99.95</v>
      </c>
      <c r="K396" s="0" t="n">
        <v>180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120</v>
      </c>
      <c r="X396" s="0" t="n">
        <v>15</v>
      </c>
      <c r="Y396" s="0" t="n">
        <v>10</v>
      </c>
      <c r="Z396" s="0" t="inlineStr">
        <is>
          <t>https://new.land.naver.com/complexes/7052?tab=detail&amp;rf=Y</t>
        </is>
      </c>
      <c r="AA396" s="0" t="inlineStr">
        <is>
          <t>충청북도 청주시 상당구 용암동 2096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상당구</t>
        </is>
      </c>
      <c r="AE396" s="0" t="inlineStr">
        <is>
          <t>용암동</t>
        </is>
      </c>
      <c r="AG396" s="0" t="inlineStr">
        <is>
          <t>충청북도 청주시 상당구 중흥로 70</t>
        </is>
      </c>
      <c r="AH396" s="0" t="n">
        <v>0</v>
      </c>
      <c r="AI396" s="0" t="n">
        <v>202</v>
      </c>
      <c r="AJ396" s="0" t="n">
        <v>19</v>
      </c>
      <c r="AK396" s="0" t="n">
        <v>520</v>
      </c>
      <c r="AL396" s="0" t="n">
        <v>1</v>
      </c>
    </row>
    <row r="397">
      <c r="A397" s="0" t="inlineStr">
        <is>
          <t>[용암동]</t>
        </is>
      </c>
      <c r="B397" s="0" t="n">
        <v>7052</v>
      </c>
      <c r="C397" s="0" t="n">
        <v>3</v>
      </c>
      <c r="D397" s="0" t="inlineStr">
        <is>
          <t>용암현대3차</t>
        </is>
      </c>
      <c r="E397" s="0" t="inlineStr">
        <is>
          <t>1995.12.</t>
        </is>
      </c>
      <c r="F397" s="0" t="n">
        <v>520</v>
      </c>
      <c r="G397" s="0" t="n">
        <v>47.46</v>
      </c>
      <c r="H397" s="0" t="n">
        <v>156.91</v>
      </c>
      <c r="I397" s="0" t="n">
        <v>40.5</v>
      </c>
      <c r="J397" s="0" t="n">
        <v>133.89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n">
        <v>156</v>
      </c>
      <c r="X397" s="0" t="n">
        <v>15</v>
      </c>
      <c r="Y397" s="0" t="n">
        <v>10</v>
      </c>
      <c r="Z397" s="0" t="inlineStr">
        <is>
          <t>https://new.land.naver.com/complexes/7052?tab=detail&amp;rf=Y</t>
        </is>
      </c>
      <c r="AA397" s="0" t="inlineStr">
        <is>
          <t>충청북도 청주시 상당구 용암동 2096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상당구</t>
        </is>
      </c>
      <c r="AE397" s="0" t="inlineStr">
        <is>
          <t>용암동</t>
        </is>
      </c>
      <c r="AG397" s="0" t="inlineStr">
        <is>
          <t>충청북도 청주시 상당구 중흥로 70</t>
        </is>
      </c>
      <c r="AH397" s="0" t="n">
        <v>0</v>
      </c>
      <c r="AI397" s="0" t="n">
        <v>202</v>
      </c>
      <c r="AJ397" s="0" t="n">
        <v>19</v>
      </c>
      <c r="AK397" s="0" t="n">
        <v>520</v>
      </c>
      <c r="AL397" s="0" t="n">
        <v>1</v>
      </c>
    </row>
    <row r="398">
      <c r="A398" s="0" t="inlineStr">
        <is>
          <t>[용정동]</t>
        </is>
      </c>
      <c r="B398" s="0" t="n">
        <v>110482</v>
      </c>
      <c r="C398" s="0" t="n">
        <v>1</v>
      </c>
      <c r="D398" s="0" t="inlineStr">
        <is>
          <t>우미린에듀파크1단지</t>
        </is>
      </c>
      <c r="E398" s="0" t="inlineStr">
        <is>
          <t>2017.11.</t>
        </is>
      </c>
      <c r="F398" s="0" t="n">
        <v>390</v>
      </c>
      <c r="G398" s="0" t="n">
        <v>32.63</v>
      </c>
      <c r="H398" s="0" t="n">
        <v>107.9</v>
      </c>
      <c r="I398" s="0" t="n">
        <v>25.69</v>
      </c>
      <c r="J398" s="0" t="n">
        <v>84.95</v>
      </c>
      <c r="K398" s="0" t="n">
        <v>65</v>
      </c>
      <c r="T398" s="0" t="n">
        <v>3</v>
      </c>
      <c r="U398" s="0" t="n">
        <v>2</v>
      </c>
      <c r="V398" s="0" t="inlineStr">
        <is>
          <t>계단식</t>
        </is>
      </c>
      <c r="W398" s="79" t="n">
        <v>1070</v>
      </c>
      <c r="X398" s="0" t="n">
        <v>25</v>
      </c>
      <c r="Y398" s="0" t="n">
        <v>20</v>
      </c>
      <c r="Z398" s="0" t="inlineStr">
        <is>
          <t>https://new.land.naver.com/complexes/110482?tab=detail&amp;rf=Y</t>
        </is>
      </c>
      <c r="AA398" s="0" t="inlineStr">
        <is>
          <t>충청북도 청주시 상당구 용정동 1286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상당구</t>
        </is>
      </c>
      <c r="AE398" s="0" t="inlineStr">
        <is>
          <t>용정동</t>
        </is>
      </c>
      <c r="AG398" s="0" t="inlineStr">
        <is>
          <t>충청북도 청주시 상당구 수영로 360</t>
        </is>
      </c>
      <c r="AH398" s="0" t="n">
        <v>0</v>
      </c>
      <c r="AI398" s="0" t="n">
        <v>199</v>
      </c>
      <c r="AJ398" s="0" t="n">
        <v>15</v>
      </c>
      <c r="AK398" s="0" t="n">
        <v>555</v>
      </c>
      <c r="AL398" s="0" t="n">
        <v>1.42</v>
      </c>
    </row>
    <row r="399">
      <c r="A399" s="0" t="inlineStr">
        <is>
          <t>[용정동]</t>
        </is>
      </c>
      <c r="B399" s="0" t="n">
        <v>110482</v>
      </c>
      <c r="C399" s="0" t="n">
        <v>2</v>
      </c>
      <c r="D399" s="0" t="inlineStr">
        <is>
          <t>우미린에듀파크1단지</t>
        </is>
      </c>
      <c r="E399" s="0" t="inlineStr">
        <is>
          <t>2017.11.</t>
        </is>
      </c>
      <c r="F399" s="0" t="n">
        <v>390</v>
      </c>
      <c r="G399" s="0" t="n">
        <v>32.57</v>
      </c>
      <c r="H399" s="0" t="n">
        <v>107.69</v>
      </c>
      <c r="I399" s="0" t="n">
        <v>25.7</v>
      </c>
      <c r="J399" s="0" t="n">
        <v>84.98</v>
      </c>
      <c r="K399" s="0" t="n">
        <v>64</v>
      </c>
      <c r="T399" s="0" t="n">
        <v>3</v>
      </c>
      <c r="U399" s="0" t="n">
        <v>2</v>
      </c>
      <c r="V399" s="0" t="inlineStr">
        <is>
          <t>계단식</t>
        </is>
      </c>
      <c r="W399" s="79" t="n">
        <v>10700</v>
      </c>
      <c r="X399" s="0" t="n">
        <v>25</v>
      </c>
      <c r="Y399" s="0" t="n">
        <v>20</v>
      </c>
      <c r="Z399" s="0" t="inlineStr">
        <is>
          <t>https://new.land.naver.com/complexes/110482?tab=detail&amp;rf=Y</t>
        </is>
      </c>
      <c r="AA399" s="0" t="inlineStr">
        <is>
          <t>충청북도 청주시 상당구 용정동 1286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상당구</t>
        </is>
      </c>
      <c r="AE399" s="0" t="inlineStr">
        <is>
          <t>용정동</t>
        </is>
      </c>
      <c r="AG399" s="0" t="inlineStr">
        <is>
          <t>충청북도 청주시 상당구 수영로 360</t>
        </is>
      </c>
      <c r="AH399" s="0" t="n">
        <v>0</v>
      </c>
      <c r="AI399" s="0" t="n">
        <v>199</v>
      </c>
      <c r="AJ399" s="0" t="n">
        <v>15</v>
      </c>
      <c r="AK399" s="0" t="n">
        <v>555</v>
      </c>
      <c r="AL399" s="0" t="n">
        <v>1.42</v>
      </c>
    </row>
    <row r="400">
      <c r="A400" s="0" t="inlineStr">
        <is>
          <t>[용정동]</t>
        </is>
      </c>
      <c r="B400" s="0" t="n">
        <v>110482</v>
      </c>
      <c r="C400" s="0" t="n">
        <v>3</v>
      </c>
      <c r="D400" s="0" t="inlineStr">
        <is>
          <t>우미린에듀파크1단지</t>
        </is>
      </c>
      <c r="E400" s="0" t="inlineStr">
        <is>
          <t>2017.11.</t>
        </is>
      </c>
      <c r="F400" s="0" t="n">
        <v>390</v>
      </c>
      <c r="G400" s="0" t="n">
        <v>32.49</v>
      </c>
      <c r="H400" s="0" t="n">
        <v>107.43</v>
      </c>
      <c r="I400" s="0" t="n">
        <v>25.7</v>
      </c>
      <c r="J400" s="0" t="n">
        <v>84.98</v>
      </c>
      <c r="K400" s="0" t="n">
        <v>50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25</v>
      </c>
      <c r="Y400" s="0" t="n">
        <v>20</v>
      </c>
      <c r="Z400" s="0" t="inlineStr">
        <is>
          <t>https://new.land.naver.com/complexes/110482?tab=detail&amp;rf=Y</t>
        </is>
      </c>
      <c r="AA400" s="0" t="inlineStr">
        <is>
          <t>충청북도 청주시 상당구 용정동 1286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상당구</t>
        </is>
      </c>
      <c r="AE400" s="0" t="inlineStr">
        <is>
          <t>용정동</t>
        </is>
      </c>
      <c r="AG400" s="0" t="inlineStr">
        <is>
          <t>충청북도 청주시 상당구 수영로 360</t>
        </is>
      </c>
      <c r="AH400" s="0" t="n">
        <v>0</v>
      </c>
      <c r="AI400" s="0" t="n">
        <v>199</v>
      </c>
      <c r="AJ400" s="0" t="n">
        <v>15</v>
      </c>
      <c r="AK400" s="0" t="n">
        <v>555</v>
      </c>
      <c r="AL400" s="0" t="n">
        <v>1.42</v>
      </c>
    </row>
    <row r="401">
      <c r="A401" s="0" t="inlineStr">
        <is>
          <t>[용정동]</t>
        </is>
      </c>
      <c r="B401" s="0" t="n">
        <v>110482</v>
      </c>
      <c r="C401" s="0" t="n">
        <v>4</v>
      </c>
      <c r="D401" s="0" t="inlineStr">
        <is>
          <t>우미린에듀파크1단지</t>
        </is>
      </c>
      <c r="E401" s="0" t="inlineStr">
        <is>
          <t>2017.11.</t>
        </is>
      </c>
      <c r="F401" s="0" t="n">
        <v>390</v>
      </c>
      <c r="G401" s="0" t="n">
        <v>42.98</v>
      </c>
      <c r="H401" s="0" t="n">
        <v>142.09</v>
      </c>
      <c r="I401" s="0" t="n">
        <v>34.46</v>
      </c>
      <c r="J401" s="0" t="n">
        <v>113.94</v>
      </c>
      <c r="K401" s="0" t="n">
        <v>171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142</v>
      </c>
      <c r="X401" s="0" t="n">
        <v>25</v>
      </c>
      <c r="Y401" s="0" t="n">
        <v>20</v>
      </c>
      <c r="Z401" s="0" t="inlineStr">
        <is>
          <t>https://new.land.naver.com/complexes/110482?tab=detail&amp;rf=Y</t>
        </is>
      </c>
      <c r="AA401" s="0" t="inlineStr">
        <is>
          <t>충청북도 청주시 상당구 용정동 1286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상당구</t>
        </is>
      </c>
      <c r="AE401" s="0" t="inlineStr">
        <is>
          <t>용정동</t>
        </is>
      </c>
      <c r="AG401" s="0" t="inlineStr">
        <is>
          <t>충청북도 청주시 상당구 수영로 360</t>
        </is>
      </c>
      <c r="AH401" s="0" t="n">
        <v>0</v>
      </c>
      <c r="AI401" s="0" t="n">
        <v>199</v>
      </c>
      <c r="AJ401" s="0" t="n">
        <v>15</v>
      </c>
      <c r="AK401" s="0" t="n">
        <v>555</v>
      </c>
      <c r="AL401" s="0" t="n">
        <v>1.42</v>
      </c>
    </row>
    <row r="402">
      <c r="A402" s="0" t="inlineStr">
        <is>
          <t>[용정동]</t>
        </is>
      </c>
      <c r="B402" s="0" t="n">
        <v>110482</v>
      </c>
      <c r="C402" s="0" t="n">
        <v>5</v>
      </c>
      <c r="D402" s="0" t="inlineStr">
        <is>
          <t>우미린에듀파크1단지</t>
        </is>
      </c>
      <c r="E402" s="0" t="inlineStr">
        <is>
          <t>2017.11.</t>
        </is>
      </c>
      <c r="F402" s="0" t="n">
        <v>390</v>
      </c>
      <c r="G402" s="0" t="n">
        <v>49.59</v>
      </c>
      <c r="H402" s="0" t="n">
        <v>163.96</v>
      </c>
      <c r="I402" s="0" t="n">
        <v>41.28</v>
      </c>
      <c r="J402" s="0" t="n">
        <v>136.47</v>
      </c>
      <c r="K402" s="0" t="n">
        <v>40</v>
      </c>
      <c r="T402" s="0" t="n">
        <v>5</v>
      </c>
      <c r="U402" s="0" t="n">
        <v>2</v>
      </c>
      <c r="V402" s="0" t="inlineStr">
        <is>
          <t>계단식</t>
        </is>
      </c>
      <c r="W402" s="0" t="n">
        <v>163</v>
      </c>
      <c r="X402" s="0" t="n">
        <v>25</v>
      </c>
      <c r="Y402" s="0" t="n">
        <v>20</v>
      </c>
      <c r="Z402" s="0" t="inlineStr">
        <is>
          <t>https://new.land.naver.com/complexes/110482?tab=detail&amp;rf=Y</t>
        </is>
      </c>
      <c r="AA402" s="0" t="inlineStr">
        <is>
          <t>충청북도 청주시 상당구 용정동 1286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상당구</t>
        </is>
      </c>
      <c r="AE402" s="0" t="inlineStr">
        <is>
          <t>용정동</t>
        </is>
      </c>
      <c r="AG402" s="0" t="inlineStr">
        <is>
          <t>충청북도 청주시 상당구 수영로 360</t>
        </is>
      </c>
      <c r="AH402" s="0" t="n">
        <v>0</v>
      </c>
      <c r="AI402" s="0" t="n">
        <v>199</v>
      </c>
      <c r="AJ402" s="0" t="n">
        <v>15</v>
      </c>
      <c r="AK402" s="0" t="n">
        <v>555</v>
      </c>
      <c r="AL402" s="0" t="n">
        <v>1.42</v>
      </c>
    </row>
    <row r="403">
      <c r="A403" s="0" t="inlineStr">
        <is>
          <t>[용정동]</t>
        </is>
      </c>
      <c r="B403" s="0" t="n">
        <v>102703</v>
      </c>
      <c r="C403" s="0" t="n">
        <v>1</v>
      </c>
      <c r="D403" s="0" t="inlineStr">
        <is>
          <t>청주용정한라비발디1단지</t>
        </is>
      </c>
      <c r="E403" s="0" t="inlineStr">
        <is>
          <t>2013.06.</t>
        </is>
      </c>
      <c r="F403" s="0" t="n">
        <v>612</v>
      </c>
      <c r="G403" s="0" t="n">
        <v>33.6</v>
      </c>
      <c r="H403" s="0" t="n">
        <v>111.09</v>
      </c>
      <c r="I403" s="0" t="n">
        <v>25.7</v>
      </c>
      <c r="J403" s="0" t="n">
        <v>84.95999999999999</v>
      </c>
      <c r="K403" s="0" t="n">
        <v>173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111C</t>
        </is>
      </c>
      <c r="X403" s="0" t="n">
        <v>25</v>
      </c>
      <c r="Y403" s="0" t="n">
        <v>21</v>
      </c>
      <c r="Z403" s="0" t="inlineStr">
        <is>
          <t>https://new.land.naver.com/complexes/102703?tab=detail&amp;rf=Y</t>
        </is>
      </c>
      <c r="AA403" s="0" t="inlineStr">
        <is>
          <t>충청북도 청주시 상당구 용정동 1116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상당구</t>
        </is>
      </c>
      <c r="AE403" s="0" t="inlineStr">
        <is>
          <t>용정동</t>
        </is>
      </c>
      <c r="AG403" s="0" t="inlineStr">
        <is>
          <t>충청북도 청주시 상당구 용정로 25</t>
        </is>
      </c>
      <c r="AH403" s="0" t="n">
        <v>0</v>
      </c>
      <c r="AI403" s="0" t="n">
        <v>226</v>
      </c>
      <c r="AJ403" s="0" t="n">
        <v>15</v>
      </c>
      <c r="AK403" s="0" t="n">
        <v>937</v>
      </c>
      <c r="AL403" s="0" t="n">
        <v>1.53</v>
      </c>
    </row>
    <row r="404">
      <c r="A404" s="0" t="inlineStr">
        <is>
          <t>[용정동]</t>
        </is>
      </c>
      <c r="B404" s="0" t="n">
        <v>102703</v>
      </c>
      <c r="C404" s="0" t="n">
        <v>2</v>
      </c>
      <c r="D404" s="0" t="inlineStr">
        <is>
          <t>청주용정한라비발디1단지</t>
        </is>
      </c>
      <c r="E404" s="0" t="inlineStr">
        <is>
          <t>2013.06.</t>
        </is>
      </c>
      <c r="F404" s="0" t="n">
        <v>612</v>
      </c>
      <c r="G404" s="0" t="n">
        <v>33.83</v>
      </c>
      <c r="H404" s="0" t="n">
        <v>111.86</v>
      </c>
      <c r="I404" s="0" t="n">
        <v>25.54</v>
      </c>
      <c r="J404" s="0" t="n">
        <v>84.45999999999999</v>
      </c>
      <c r="K404" s="0" t="n">
        <v>96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111B</t>
        </is>
      </c>
      <c r="X404" s="0" t="n">
        <v>25</v>
      </c>
      <c r="Y404" s="0" t="n">
        <v>21</v>
      </c>
      <c r="Z404" s="0" t="inlineStr">
        <is>
          <t>https://new.land.naver.com/complexes/102703?tab=detail&amp;rf=Y</t>
        </is>
      </c>
      <c r="AA404" s="0" t="inlineStr">
        <is>
          <t>충청북도 청주시 상당구 용정동 1116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상당구</t>
        </is>
      </c>
      <c r="AE404" s="0" t="inlineStr">
        <is>
          <t>용정동</t>
        </is>
      </c>
      <c r="AG404" s="0" t="inlineStr">
        <is>
          <t>충청북도 청주시 상당구 용정로 25</t>
        </is>
      </c>
      <c r="AH404" s="0" t="n">
        <v>0</v>
      </c>
      <c r="AI404" s="0" t="n">
        <v>226</v>
      </c>
      <c r="AJ404" s="0" t="n">
        <v>15</v>
      </c>
      <c r="AK404" s="0" t="n">
        <v>937</v>
      </c>
      <c r="AL404" s="0" t="n">
        <v>1.53</v>
      </c>
    </row>
    <row r="405">
      <c r="A405" s="0" t="inlineStr">
        <is>
          <t>[용정동]</t>
        </is>
      </c>
      <c r="B405" s="0" t="n">
        <v>102703</v>
      </c>
      <c r="C405" s="0" t="n">
        <v>3</v>
      </c>
      <c r="D405" s="0" t="inlineStr">
        <is>
          <t>청주용정한라비발디1단지</t>
        </is>
      </c>
      <c r="E405" s="0" t="inlineStr">
        <is>
          <t>2013.06.</t>
        </is>
      </c>
      <c r="F405" s="0" t="n">
        <v>612</v>
      </c>
      <c r="G405" s="0" t="n">
        <v>33.8</v>
      </c>
      <c r="H405" s="0" t="n">
        <v>111.75</v>
      </c>
      <c r="I405" s="0" t="n">
        <v>25.68</v>
      </c>
      <c r="J405" s="0" t="n">
        <v>84.92</v>
      </c>
      <c r="K405" s="0" t="n">
        <v>73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111A</t>
        </is>
      </c>
      <c r="X405" s="0" t="n">
        <v>25</v>
      </c>
      <c r="Y405" s="0" t="n">
        <v>21</v>
      </c>
      <c r="Z405" s="0" t="inlineStr">
        <is>
          <t>https://new.land.naver.com/complexes/102703?tab=detail&amp;rf=Y</t>
        </is>
      </c>
      <c r="AA405" s="0" t="inlineStr">
        <is>
          <t>충청북도 청주시 상당구 용정동 1116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상당구</t>
        </is>
      </c>
      <c r="AE405" s="0" t="inlineStr">
        <is>
          <t>용정동</t>
        </is>
      </c>
      <c r="AG405" s="0" t="inlineStr">
        <is>
          <t>충청북도 청주시 상당구 용정로 25</t>
        </is>
      </c>
      <c r="AH405" s="0" t="n">
        <v>0</v>
      </c>
      <c r="AI405" s="0" t="n">
        <v>226</v>
      </c>
      <c r="AJ405" s="0" t="n">
        <v>15</v>
      </c>
      <c r="AK405" s="0" t="n">
        <v>937</v>
      </c>
      <c r="AL405" s="0" t="n">
        <v>1.53</v>
      </c>
    </row>
    <row r="406">
      <c r="A406" s="0" t="inlineStr">
        <is>
          <t>[용정동]</t>
        </is>
      </c>
      <c r="B406" s="0" t="n">
        <v>102703</v>
      </c>
      <c r="C406" s="0" t="n">
        <v>4</v>
      </c>
      <c r="D406" s="0" t="inlineStr">
        <is>
          <t>청주용정한라비발디1단지</t>
        </is>
      </c>
      <c r="E406" s="0" t="inlineStr">
        <is>
          <t>2013.06.</t>
        </is>
      </c>
      <c r="F406" s="0" t="n">
        <v>612</v>
      </c>
      <c r="G406" s="0" t="n">
        <v>39.52</v>
      </c>
      <c r="H406" s="0" t="n">
        <v>130.65</v>
      </c>
      <c r="I406" s="0" t="n">
        <v>30.84</v>
      </c>
      <c r="J406" s="0" t="n">
        <v>101.96</v>
      </c>
      <c r="K406" s="0" t="n">
        <v>113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130C</t>
        </is>
      </c>
      <c r="X406" s="0" t="n">
        <v>25</v>
      </c>
      <c r="Y406" s="0" t="n">
        <v>21</v>
      </c>
      <c r="Z406" s="0" t="inlineStr">
        <is>
          <t>https://new.land.naver.com/complexes/102703?tab=detail&amp;rf=Y</t>
        </is>
      </c>
      <c r="AA406" s="0" t="inlineStr">
        <is>
          <t>충청북도 청주시 상당구 용정동 1116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상당구</t>
        </is>
      </c>
      <c r="AE406" s="0" t="inlineStr">
        <is>
          <t>용정동</t>
        </is>
      </c>
      <c r="AG406" s="0" t="inlineStr">
        <is>
          <t>충청북도 청주시 상당구 용정로 25</t>
        </is>
      </c>
      <c r="AH406" s="0" t="n">
        <v>0</v>
      </c>
      <c r="AI406" s="0" t="n">
        <v>226</v>
      </c>
      <c r="AJ406" s="0" t="n">
        <v>15</v>
      </c>
      <c r="AK406" s="0" t="n">
        <v>937</v>
      </c>
      <c r="AL406" s="0" t="n">
        <v>1.53</v>
      </c>
    </row>
    <row r="407">
      <c r="A407" s="0" t="inlineStr">
        <is>
          <t>[용정동]</t>
        </is>
      </c>
      <c r="B407" s="0" t="n">
        <v>102703</v>
      </c>
      <c r="C407" s="0" t="n">
        <v>5</v>
      </c>
      <c r="D407" s="0" t="inlineStr">
        <is>
          <t>청주용정한라비발디1단지</t>
        </is>
      </c>
      <c r="E407" s="0" t="inlineStr">
        <is>
          <t>2013.06.</t>
        </is>
      </c>
      <c r="F407" s="0" t="n">
        <v>612</v>
      </c>
      <c r="G407" s="0" t="n">
        <v>39.37</v>
      </c>
      <c r="H407" s="0" t="n">
        <v>130.17</v>
      </c>
      <c r="I407" s="0" t="n">
        <v>30.84</v>
      </c>
      <c r="J407" s="0" t="n">
        <v>101.97</v>
      </c>
      <c r="K407" s="0" t="n">
        <v>91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130A</t>
        </is>
      </c>
      <c r="X407" s="0" t="n">
        <v>25</v>
      </c>
      <c r="Y407" s="0" t="n">
        <v>21</v>
      </c>
      <c r="Z407" s="0" t="inlineStr">
        <is>
          <t>https://new.land.naver.com/complexes/102703?tab=detail&amp;rf=Y</t>
        </is>
      </c>
      <c r="AA407" s="0" t="inlineStr">
        <is>
          <t>충청북도 청주시 상당구 용정동 1116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상당구</t>
        </is>
      </c>
      <c r="AE407" s="0" t="inlineStr">
        <is>
          <t>용정동</t>
        </is>
      </c>
      <c r="AG407" s="0" t="inlineStr">
        <is>
          <t>충청북도 청주시 상당구 용정로 25</t>
        </is>
      </c>
      <c r="AH407" s="0" t="n">
        <v>0</v>
      </c>
      <c r="AI407" s="0" t="n">
        <v>226</v>
      </c>
      <c r="AJ407" s="0" t="n">
        <v>15</v>
      </c>
      <c r="AK407" s="0" t="n">
        <v>937</v>
      </c>
      <c r="AL407" s="0" t="n">
        <v>1.53</v>
      </c>
    </row>
    <row r="408">
      <c r="A408" s="0" t="inlineStr">
        <is>
          <t>[용정동]</t>
        </is>
      </c>
      <c r="B408" s="0" t="n">
        <v>102703</v>
      </c>
      <c r="C408" s="0" t="n">
        <v>6</v>
      </c>
      <c r="D408" s="0" t="inlineStr">
        <is>
          <t>청주용정한라비발디1단지</t>
        </is>
      </c>
      <c r="E408" s="0" t="inlineStr">
        <is>
          <t>2013.06.</t>
        </is>
      </c>
      <c r="F408" s="0" t="n">
        <v>612</v>
      </c>
      <c r="G408" s="0" t="n">
        <v>39.55</v>
      </c>
      <c r="H408" s="0" t="n">
        <v>130.76</v>
      </c>
      <c r="I408" s="0" t="n">
        <v>30.83</v>
      </c>
      <c r="J408" s="0" t="n">
        <v>101.94</v>
      </c>
      <c r="K408" s="0" t="n">
        <v>21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130B</t>
        </is>
      </c>
      <c r="X408" s="0" t="n">
        <v>25</v>
      </c>
      <c r="Y408" s="0" t="n">
        <v>21</v>
      </c>
      <c r="Z408" s="0" t="inlineStr">
        <is>
          <t>https://new.land.naver.com/complexes/102703?tab=detail&amp;rf=Y</t>
        </is>
      </c>
      <c r="AA408" s="0" t="inlineStr">
        <is>
          <t>충청북도 청주시 상당구 용정동 1116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상당구</t>
        </is>
      </c>
      <c r="AE408" s="0" t="inlineStr">
        <is>
          <t>용정동</t>
        </is>
      </c>
      <c r="AG408" s="0" t="inlineStr">
        <is>
          <t>충청북도 청주시 상당구 용정로 25</t>
        </is>
      </c>
      <c r="AH408" s="0" t="n">
        <v>0</v>
      </c>
      <c r="AI408" s="0" t="n">
        <v>226</v>
      </c>
      <c r="AJ408" s="0" t="n">
        <v>15</v>
      </c>
      <c r="AK408" s="0" t="n">
        <v>937</v>
      </c>
      <c r="AL408" s="0" t="n">
        <v>1.53</v>
      </c>
    </row>
    <row r="409">
      <c r="A409" s="0" t="inlineStr">
        <is>
          <t>[용정동]</t>
        </is>
      </c>
      <c r="B409" s="0" t="n">
        <v>102703</v>
      </c>
      <c r="C409" s="0" t="n">
        <v>7</v>
      </c>
      <c r="D409" s="0" t="inlineStr">
        <is>
          <t>청주용정한라비발디1단지</t>
        </is>
      </c>
      <c r="E409" s="0" t="inlineStr">
        <is>
          <t>2013.06.</t>
        </is>
      </c>
      <c r="F409" s="0" t="n">
        <v>612</v>
      </c>
      <c r="G409" s="0" t="n">
        <v>51.98</v>
      </c>
      <c r="H409" s="0" t="n">
        <v>171.86</v>
      </c>
      <c r="I409" s="0" t="n">
        <v>40.62</v>
      </c>
      <c r="J409" s="0" t="n">
        <v>134.31</v>
      </c>
      <c r="K409" s="0" t="n">
        <v>45</v>
      </c>
      <c r="T409" s="0" t="n">
        <v>4</v>
      </c>
      <c r="U409" s="0" t="n">
        <v>2</v>
      </c>
      <c r="V409" s="0" t="inlineStr">
        <is>
          <t>계단식</t>
        </is>
      </c>
      <c r="W409" s="0" t="n">
        <v>171</v>
      </c>
      <c r="X409" s="0" t="n">
        <v>25</v>
      </c>
      <c r="Y409" s="0" t="n">
        <v>21</v>
      </c>
      <c r="Z409" s="0" t="inlineStr">
        <is>
          <t>https://new.land.naver.com/complexes/102703?tab=detail&amp;rf=Y</t>
        </is>
      </c>
      <c r="AA409" s="0" t="inlineStr">
        <is>
          <t>충청북도 청주시 상당구 용정동 1116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상당구</t>
        </is>
      </c>
      <c r="AE409" s="0" t="inlineStr">
        <is>
          <t>용정동</t>
        </is>
      </c>
      <c r="AG409" s="0" t="inlineStr">
        <is>
          <t>충청북도 청주시 상당구 용정로 25</t>
        </is>
      </c>
      <c r="AH409" s="0" t="n">
        <v>0</v>
      </c>
      <c r="AI409" s="0" t="n">
        <v>226</v>
      </c>
      <c r="AJ409" s="0" t="n">
        <v>15</v>
      </c>
      <c r="AK409" s="0" t="n">
        <v>937</v>
      </c>
      <c r="AL409" s="0" t="n">
        <v>1.53</v>
      </c>
    </row>
    <row r="410">
      <c r="A410" s="0" t="inlineStr">
        <is>
          <t>[용정동]</t>
        </is>
      </c>
      <c r="B410" s="0" t="n">
        <v>13334</v>
      </c>
      <c r="C410" s="0" t="n">
        <v>1</v>
      </c>
      <c r="D410" s="0" t="inlineStr">
        <is>
          <t>하은베스트빌</t>
        </is>
      </c>
      <c r="E410" s="0" t="inlineStr">
        <is>
          <t>2003.12.</t>
        </is>
      </c>
      <c r="F410" s="0" t="n">
        <v>67</v>
      </c>
      <c r="G410" s="0" t="n">
        <v>31.8</v>
      </c>
      <c r="H410" s="0" t="n">
        <v>105.15</v>
      </c>
      <c r="I410" s="0" t="n">
        <v>25.69</v>
      </c>
      <c r="J410" s="0" t="n">
        <v>84.94</v>
      </c>
      <c r="K410" s="0" t="n">
        <v>67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105</v>
      </c>
      <c r="X410" s="0" t="n">
        <v>12</v>
      </c>
      <c r="Y410" s="0" t="n">
        <v>10</v>
      </c>
      <c r="Z410" s="0" t="inlineStr">
        <is>
          <t>https://new.land.naver.com/complexes/13334?tab=detail&amp;rf=Y</t>
        </is>
      </c>
      <c r="AA410" s="0" t="inlineStr">
        <is>
          <t>충청북도 청주시 상당구 용정동 343-19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상당구</t>
        </is>
      </c>
      <c r="AE410" s="0" t="inlineStr">
        <is>
          <t>용정동</t>
        </is>
      </c>
      <c r="AG410" s="0" t="inlineStr">
        <is>
          <t>충청북도 청주시 상당구 영운천로127번길 29</t>
        </is>
      </c>
      <c r="AH410" s="0" t="n">
        <v>0</v>
      </c>
      <c r="AI410" s="0" t="n">
        <v>181</v>
      </c>
      <c r="AJ410" s="0" t="n">
        <v>20</v>
      </c>
      <c r="AK410" s="0" t="n">
        <v>67</v>
      </c>
      <c r="AL410" s="0" t="n">
        <v>1</v>
      </c>
    </row>
    <row r="411">
      <c r="A411" s="0" t="inlineStr">
        <is>
          <t>[용정동]</t>
        </is>
      </c>
      <c r="B411" s="0" t="n">
        <v>102705</v>
      </c>
      <c r="C411" s="0" t="n">
        <v>1</v>
      </c>
      <c r="D411" s="0" t="inlineStr">
        <is>
          <t>청주용정한라비발디2단지</t>
        </is>
      </c>
      <c r="E411" s="0" t="inlineStr">
        <is>
          <t>2013.06.</t>
        </is>
      </c>
      <c r="F411" s="0" t="n">
        <v>788</v>
      </c>
      <c r="G411" s="0" t="n">
        <v>33.7</v>
      </c>
      <c r="H411" s="0" t="n">
        <v>111.43</v>
      </c>
      <c r="I411" s="0" t="n">
        <v>25.7</v>
      </c>
      <c r="J411" s="0" t="n">
        <v>84.95999999999999</v>
      </c>
      <c r="K411" s="0" t="n">
        <v>161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111C</t>
        </is>
      </c>
      <c r="X411" s="0" t="n">
        <v>25</v>
      </c>
      <c r="Y411" s="0" t="n">
        <v>21</v>
      </c>
      <c r="Z411" s="0" t="inlineStr">
        <is>
          <t>https://new.land.naver.com/complexes/102705?tab=detail&amp;rf=Y</t>
        </is>
      </c>
      <c r="AA411" s="0" t="inlineStr">
        <is>
          <t>충청북도 청주시 상당구 용정동 1116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상당구</t>
        </is>
      </c>
      <c r="AE411" s="0" t="inlineStr">
        <is>
          <t>용정동</t>
        </is>
      </c>
      <c r="AG411" s="0" t="inlineStr">
        <is>
          <t>충청북도 청주시 상당구 용정로 35</t>
        </is>
      </c>
      <c r="AH411" s="0" t="n">
        <v>0</v>
      </c>
      <c r="AI411" s="0" t="n">
        <v>0</v>
      </c>
      <c r="AJ411" s="0" t="n">
        <v>0</v>
      </c>
      <c r="AK411" s="0" t="n">
        <v>1194</v>
      </c>
      <c r="AL411" s="0" t="n">
        <v>1.52</v>
      </c>
    </row>
    <row r="412">
      <c r="A412" s="0" t="inlineStr">
        <is>
          <t>[용정동]</t>
        </is>
      </c>
      <c r="B412" s="0" t="n">
        <v>102705</v>
      </c>
      <c r="C412" s="0" t="n">
        <v>2</v>
      </c>
      <c r="D412" s="0" t="inlineStr">
        <is>
          <t>청주용정한라비발디2단지</t>
        </is>
      </c>
      <c r="E412" s="0" t="inlineStr">
        <is>
          <t>2013.06.</t>
        </is>
      </c>
      <c r="F412" s="0" t="n">
        <v>788</v>
      </c>
      <c r="G412" s="0" t="n">
        <v>33.91</v>
      </c>
      <c r="H412" s="0" t="n">
        <v>112.1</v>
      </c>
      <c r="I412" s="0" t="n">
        <v>25.68</v>
      </c>
      <c r="J412" s="0" t="n">
        <v>84.92</v>
      </c>
      <c r="K412" s="0" t="n">
        <v>186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112A</t>
        </is>
      </c>
      <c r="X412" s="0" t="n">
        <v>25</v>
      </c>
      <c r="Y412" s="0" t="n">
        <v>21</v>
      </c>
      <c r="Z412" s="0" t="inlineStr">
        <is>
          <t>https://new.land.naver.com/complexes/102705?tab=detail&amp;rf=Y</t>
        </is>
      </c>
      <c r="AA412" s="0" t="inlineStr">
        <is>
          <t>충청북도 청주시 상당구 용정동 1116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상당구</t>
        </is>
      </c>
      <c r="AE412" s="0" t="inlineStr">
        <is>
          <t>용정동</t>
        </is>
      </c>
      <c r="AG412" s="0" t="inlineStr">
        <is>
          <t>충청북도 청주시 상당구 용정로 35</t>
        </is>
      </c>
      <c r="AH412" s="0" t="n">
        <v>0</v>
      </c>
      <c r="AI412" s="0" t="n">
        <v>0</v>
      </c>
      <c r="AJ412" s="0" t="n">
        <v>0</v>
      </c>
      <c r="AK412" s="0" t="n">
        <v>1194</v>
      </c>
      <c r="AL412" s="0" t="n">
        <v>1.52</v>
      </c>
    </row>
    <row r="413">
      <c r="A413" s="0" t="inlineStr">
        <is>
          <t>[용정동]</t>
        </is>
      </c>
      <c r="B413" s="0" t="n">
        <v>102705</v>
      </c>
      <c r="C413" s="0" t="n">
        <v>3</v>
      </c>
      <c r="D413" s="0" t="inlineStr">
        <is>
          <t>청주용정한라비발디2단지</t>
        </is>
      </c>
      <c r="E413" s="0" t="inlineStr">
        <is>
          <t>2013.06.</t>
        </is>
      </c>
      <c r="F413" s="0" t="n">
        <v>788</v>
      </c>
      <c r="G413" s="0" t="n">
        <v>33.94</v>
      </c>
      <c r="H413" s="0" t="n">
        <v>112.2</v>
      </c>
      <c r="I413" s="0" t="n">
        <v>25.54</v>
      </c>
      <c r="J413" s="0" t="n">
        <v>84.45999999999999</v>
      </c>
      <c r="K413" s="0" t="n">
        <v>146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112B</t>
        </is>
      </c>
      <c r="X413" s="0" t="n">
        <v>25</v>
      </c>
      <c r="Y413" s="0" t="n">
        <v>21</v>
      </c>
      <c r="Z413" s="0" t="inlineStr">
        <is>
          <t>https://new.land.naver.com/complexes/102705?tab=detail&amp;rf=Y</t>
        </is>
      </c>
      <c r="AA413" s="0" t="inlineStr">
        <is>
          <t>충청북도 청주시 상당구 용정동 1116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상당구</t>
        </is>
      </c>
      <c r="AE413" s="0" t="inlineStr">
        <is>
          <t>용정동</t>
        </is>
      </c>
      <c r="AG413" s="0" t="inlineStr">
        <is>
          <t>충청북도 청주시 상당구 용정로 35</t>
        </is>
      </c>
      <c r="AH413" s="0" t="n">
        <v>0</v>
      </c>
      <c r="AI413" s="0" t="n">
        <v>0</v>
      </c>
      <c r="AJ413" s="0" t="n">
        <v>0</v>
      </c>
      <c r="AK413" s="0" t="n">
        <v>1194</v>
      </c>
      <c r="AL413" s="0" t="n">
        <v>1.52</v>
      </c>
    </row>
    <row r="414">
      <c r="A414" s="0" t="inlineStr">
        <is>
          <t>[용정동]</t>
        </is>
      </c>
      <c r="B414" s="0" t="n">
        <v>102705</v>
      </c>
      <c r="C414" s="0" t="n">
        <v>4</v>
      </c>
      <c r="D414" s="0" t="inlineStr">
        <is>
          <t>청주용정한라비발디2단지</t>
        </is>
      </c>
      <c r="E414" s="0" t="inlineStr">
        <is>
          <t>2013.06.</t>
        </is>
      </c>
      <c r="F414" s="0" t="n">
        <v>788</v>
      </c>
      <c r="G414" s="0" t="n">
        <v>39.52</v>
      </c>
      <c r="H414" s="0" t="n">
        <v>130.66</v>
      </c>
      <c r="I414" s="0" t="n">
        <v>30.84</v>
      </c>
      <c r="J414" s="0" t="n">
        <v>101.96</v>
      </c>
      <c r="K414" s="0" t="n">
        <v>135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130C</t>
        </is>
      </c>
      <c r="X414" s="0" t="n">
        <v>25</v>
      </c>
      <c r="Y414" s="0" t="n">
        <v>21</v>
      </c>
      <c r="Z414" s="0" t="inlineStr">
        <is>
          <t>https://new.land.naver.com/complexes/102705?tab=detail&amp;rf=Y</t>
        </is>
      </c>
      <c r="AA414" s="0" t="inlineStr">
        <is>
          <t>충청북도 청주시 상당구 용정동 1116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상당구</t>
        </is>
      </c>
      <c r="AE414" s="0" t="inlineStr">
        <is>
          <t>용정동</t>
        </is>
      </c>
      <c r="AG414" s="0" t="inlineStr">
        <is>
          <t>충청북도 청주시 상당구 용정로 35</t>
        </is>
      </c>
      <c r="AH414" s="0" t="n">
        <v>0</v>
      </c>
      <c r="AI414" s="0" t="n">
        <v>0</v>
      </c>
      <c r="AJ414" s="0" t="n">
        <v>0</v>
      </c>
      <c r="AK414" s="0" t="n">
        <v>1194</v>
      </c>
      <c r="AL414" s="0" t="n">
        <v>1.52</v>
      </c>
    </row>
    <row r="415">
      <c r="A415" s="0" t="inlineStr">
        <is>
          <t>[용정동]</t>
        </is>
      </c>
      <c r="B415" s="0" t="n">
        <v>102705</v>
      </c>
      <c r="C415" s="0" t="n">
        <v>5</v>
      </c>
      <c r="D415" s="0" t="inlineStr">
        <is>
          <t>청주용정한라비발디2단지</t>
        </is>
      </c>
      <c r="E415" s="0" t="inlineStr">
        <is>
          <t>2013.06.</t>
        </is>
      </c>
      <c r="F415" s="0" t="n">
        <v>788</v>
      </c>
      <c r="G415" s="0" t="n">
        <v>39.38</v>
      </c>
      <c r="H415" s="0" t="n">
        <v>130.19</v>
      </c>
      <c r="I415" s="0" t="n">
        <v>30.84</v>
      </c>
      <c r="J415" s="0" t="n">
        <v>101.97</v>
      </c>
      <c r="K415" s="0" t="n">
        <v>93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130A</t>
        </is>
      </c>
      <c r="X415" s="0" t="n">
        <v>25</v>
      </c>
      <c r="Y415" s="0" t="n">
        <v>21</v>
      </c>
      <c r="Z415" s="0" t="inlineStr">
        <is>
          <t>https://new.land.naver.com/complexes/102705?tab=detail&amp;rf=Y</t>
        </is>
      </c>
      <c r="AA415" s="0" t="inlineStr">
        <is>
          <t>충청북도 청주시 상당구 용정동 1116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상당구</t>
        </is>
      </c>
      <c r="AE415" s="0" t="inlineStr">
        <is>
          <t>용정동</t>
        </is>
      </c>
      <c r="AG415" s="0" t="inlineStr">
        <is>
          <t>충청북도 청주시 상당구 용정로 35</t>
        </is>
      </c>
      <c r="AH415" s="0" t="n">
        <v>0</v>
      </c>
      <c r="AI415" s="0" t="n">
        <v>0</v>
      </c>
      <c r="AJ415" s="0" t="n">
        <v>0</v>
      </c>
      <c r="AK415" s="0" t="n">
        <v>1194</v>
      </c>
      <c r="AL415" s="0" t="n">
        <v>1.52</v>
      </c>
    </row>
    <row r="416">
      <c r="A416" s="0" t="inlineStr">
        <is>
          <t>[용정동]</t>
        </is>
      </c>
      <c r="B416" s="0" t="n">
        <v>102705</v>
      </c>
      <c r="C416" s="0" t="n">
        <v>6</v>
      </c>
      <c r="D416" s="0" t="inlineStr">
        <is>
          <t>청주용정한라비발디2단지</t>
        </is>
      </c>
      <c r="E416" s="0" t="inlineStr">
        <is>
          <t>2013.06.</t>
        </is>
      </c>
      <c r="F416" s="0" t="n">
        <v>788</v>
      </c>
      <c r="G416" s="0" t="n">
        <v>39.56</v>
      </c>
      <c r="H416" s="0" t="n">
        <v>130.78</v>
      </c>
      <c r="I416" s="0" t="n">
        <v>30.83</v>
      </c>
      <c r="J416" s="0" t="n">
        <v>101.94</v>
      </c>
      <c r="K416" s="0" t="n">
        <v>67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130B</t>
        </is>
      </c>
      <c r="X416" s="0" t="n">
        <v>25</v>
      </c>
      <c r="Y416" s="0" t="n">
        <v>21</v>
      </c>
      <c r="Z416" s="0" t="inlineStr">
        <is>
          <t>https://new.land.naver.com/complexes/102705?tab=detail&amp;rf=Y</t>
        </is>
      </c>
      <c r="AA416" s="0" t="inlineStr">
        <is>
          <t>충청북도 청주시 상당구 용정동 1116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상당구</t>
        </is>
      </c>
      <c r="AE416" s="0" t="inlineStr">
        <is>
          <t>용정동</t>
        </is>
      </c>
      <c r="AG416" s="0" t="inlineStr">
        <is>
          <t>충청북도 청주시 상당구 용정로 35</t>
        </is>
      </c>
      <c r="AH416" s="0" t="n">
        <v>0</v>
      </c>
      <c r="AI416" s="0" t="n">
        <v>0</v>
      </c>
      <c r="AJ416" s="0" t="n">
        <v>0</v>
      </c>
      <c r="AK416" s="0" t="n">
        <v>1194</v>
      </c>
      <c r="AL416" s="0" t="n">
        <v>1.52</v>
      </c>
    </row>
    <row r="417">
      <c r="A417" s="0" t="inlineStr">
        <is>
          <t>[용정동]</t>
        </is>
      </c>
      <c r="B417" s="0" t="n">
        <v>143841</v>
      </c>
      <c r="C417" s="0" t="n">
        <v>1</v>
      </c>
      <c r="D417" s="0" t="inlineStr">
        <is>
          <t>청우</t>
        </is>
      </c>
      <c r="E417" s="0" t="inlineStr">
        <is>
          <t>2003.03.</t>
        </is>
      </c>
      <c r="F417" s="0" t="n">
        <v>12</v>
      </c>
      <c r="G417" s="0" t="n">
        <v>33.91</v>
      </c>
      <c r="H417" s="0" t="n">
        <v>112.1</v>
      </c>
      <c r="I417" s="0" t="n">
        <v>25.48</v>
      </c>
      <c r="J417" s="0" t="n">
        <v>84.23999999999999</v>
      </c>
      <c r="K417" s="0" t="n">
        <v>12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112</v>
      </c>
      <c r="X417" s="0" t="n">
        <v>6</v>
      </c>
      <c r="Y417" s="0" t="n">
        <v>6</v>
      </c>
      <c r="Z417" s="0" t="inlineStr">
        <is>
          <t>https://new.land.naver.com/complexes/143841?tab=detail&amp;rf=Y</t>
        </is>
      </c>
      <c r="AA417" s="0" t="inlineStr">
        <is>
          <t>충청북도 청주시 상당구 용정동 344-7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상당구</t>
        </is>
      </c>
      <c r="AE417" s="0" t="inlineStr">
        <is>
          <t>용정동</t>
        </is>
      </c>
      <c r="AG417" s="0" t="inlineStr">
        <is>
          <t>충청북도 청주시 상당구 영운천로119번길 22</t>
        </is>
      </c>
      <c r="AH417" s="0" t="n">
        <v>0</v>
      </c>
      <c r="AI417" s="0" t="n">
        <v>172</v>
      </c>
      <c r="AJ417" s="0" t="n">
        <v>30</v>
      </c>
      <c r="AK417" s="0" t="n">
        <v>11</v>
      </c>
      <c r="AL417" s="0" t="n">
        <v>0.92</v>
      </c>
    </row>
    <row r="418">
      <c r="A418" s="0" t="inlineStr">
        <is>
          <t>[운동동]</t>
        </is>
      </c>
      <c r="B418" s="0" t="n">
        <v>132578</v>
      </c>
      <c r="C418" s="0" t="n">
        <v>1</v>
      </c>
      <c r="D418" s="0" t="inlineStr">
        <is>
          <t>청주동남파라곤</t>
        </is>
      </c>
      <c r="E418" s="0" t="inlineStr">
        <is>
          <t>2022.08.</t>
        </is>
      </c>
      <c r="F418" s="0" t="n">
        <v>562</v>
      </c>
      <c r="G418" s="0" t="n">
        <v>30.73</v>
      </c>
      <c r="H418" s="0" t="n">
        <v>101.6</v>
      </c>
      <c r="I418" s="0" t="n">
        <v>23.54</v>
      </c>
      <c r="J418" s="0" t="n">
        <v>77.83</v>
      </c>
      <c r="K418" s="0" t="n">
        <v>119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101A</t>
        </is>
      </c>
      <c r="X418" s="0" t="n">
        <v>25</v>
      </c>
      <c r="Y418" s="0" t="n">
        <v>21</v>
      </c>
      <c r="Z418" s="0" t="inlineStr">
        <is>
          <t>https://new.land.naver.com/complexes/132578?tab=detail&amp;rf=Y</t>
        </is>
      </c>
      <c r="AA418" s="0" t="inlineStr">
        <is>
          <t>충청북도 청주시 상당구 운동동 동남지구 B-5BL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상당구</t>
        </is>
      </c>
      <c r="AE418" s="0" t="inlineStr">
        <is>
          <t>운동동</t>
        </is>
      </c>
      <c r="AG418" s="0" t="inlineStr">
        <is>
          <t>충청북도 청주시 상당구</t>
        </is>
      </c>
      <c r="AH418" s="0" t="n">
        <v>0</v>
      </c>
      <c r="AI418" s="0" t="n">
        <v>198</v>
      </c>
      <c r="AJ418" s="0" t="n">
        <v>14</v>
      </c>
      <c r="AK418" s="0" t="n">
        <v>748</v>
      </c>
      <c r="AL418" s="0" t="n">
        <v>1.33</v>
      </c>
    </row>
    <row r="419">
      <c r="A419" s="0" t="inlineStr">
        <is>
          <t>[운동동]</t>
        </is>
      </c>
      <c r="B419" s="0" t="n">
        <v>132578</v>
      </c>
      <c r="C419" s="0" t="n">
        <v>2</v>
      </c>
      <c r="D419" s="0" t="inlineStr">
        <is>
          <t>청주동남파라곤</t>
        </is>
      </c>
      <c r="E419" s="0" t="inlineStr">
        <is>
          <t>2022.08.</t>
        </is>
      </c>
      <c r="F419" s="0" t="n">
        <v>562</v>
      </c>
      <c r="G419" s="0" t="n">
        <v>30.55</v>
      </c>
      <c r="H419" s="0" t="n">
        <v>101</v>
      </c>
      <c r="I419" s="0" t="n">
        <v>23.44</v>
      </c>
      <c r="J419" s="0" t="n">
        <v>77.5</v>
      </c>
      <c r="K419" s="0" t="n">
        <v>68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101B</t>
        </is>
      </c>
      <c r="X419" s="0" t="n">
        <v>25</v>
      </c>
      <c r="Y419" s="0" t="n">
        <v>21</v>
      </c>
      <c r="Z419" s="0" t="inlineStr">
        <is>
          <t>https://new.land.naver.com/complexes/132578?tab=detail&amp;rf=Y</t>
        </is>
      </c>
      <c r="AA419" s="0" t="inlineStr">
        <is>
          <t>충청북도 청주시 상당구 운동동 동남지구 B-5BL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상당구</t>
        </is>
      </c>
      <c r="AE419" s="0" t="inlineStr">
        <is>
          <t>운동동</t>
        </is>
      </c>
      <c r="AG419" s="0" t="inlineStr">
        <is>
          <t>충청북도 청주시 상당구</t>
        </is>
      </c>
      <c r="AH419" s="0" t="n">
        <v>0</v>
      </c>
      <c r="AI419" s="0" t="n">
        <v>198</v>
      </c>
      <c r="AJ419" s="0" t="n">
        <v>14</v>
      </c>
      <c r="AK419" s="0" t="n">
        <v>748</v>
      </c>
      <c r="AL419" s="0" t="n">
        <v>1.33</v>
      </c>
    </row>
    <row r="420">
      <c r="A420" s="0" t="inlineStr">
        <is>
          <t>[운동동]</t>
        </is>
      </c>
      <c r="B420" s="0" t="n">
        <v>132578</v>
      </c>
      <c r="C420" s="0" t="n">
        <v>3</v>
      </c>
      <c r="D420" s="0" t="inlineStr">
        <is>
          <t>청주동남파라곤</t>
        </is>
      </c>
      <c r="E420" s="0" t="inlineStr">
        <is>
          <t>2022.08.</t>
        </is>
      </c>
      <c r="F420" s="0" t="n">
        <v>562</v>
      </c>
      <c r="G420" s="0" t="n">
        <v>33.29</v>
      </c>
      <c r="H420" s="0" t="n">
        <v>110.07</v>
      </c>
      <c r="I420" s="0" t="n">
        <v>25.69</v>
      </c>
      <c r="J420" s="0" t="n">
        <v>84.94</v>
      </c>
      <c r="K420" s="0" t="n">
        <v>375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110</v>
      </c>
      <c r="X420" s="0" t="n">
        <v>25</v>
      </c>
      <c r="Y420" s="0" t="n">
        <v>21</v>
      </c>
      <c r="Z420" s="0" t="inlineStr">
        <is>
          <t>https://new.land.naver.com/complexes/132578?tab=detail&amp;rf=Y</t>
        </is>
      </c>
      <c r="AA420" s="0" t="inlineStr">
        <is>
          <t>충청북도 청주시 상당구 운동동 동남지구 B-5BL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상당구</t>
        </is>
      </c>
      <c r="AE420" s="0" t="inlineStr">
        <is>
          <t>운동동</t>
        </is>
      </c>
      <c r="AG420" s="0" t="inlineStr">
        <is>
          <t>충청북도 청주시 상당구</t>
        </is>
      </c>
      <c r="AH420" s="0" t="n">
        <v>0</v>
      </c>
      <c r="AI420" s="0" t="n">
        <v>198</v>
      </c>
      <c r="AJ420" s="0" t="n">
        <v>14</v>
      </c>
      <c r="AK420" s="0" t="n">
        <v>748</v>
      </c>
      <c r="AL420" s="0" t="n">
        <v>1.33</v>
      </c>
    </row>
    <row r="421">
      <c r="A421" s="0" t="inlineStr">
        <is>
          <t>[지북동]</t>
        </is>
      </c>
      <c r="B421" s="0" t="n">
        <v>12116</v>
      </c>
      <c r="C421" s="0" t="n">
        <v>1</v>
      </c>
      <c r="D421" s="0" t="inlineStr">
        <is>
          <t>하은베네치아빌</t>
        </is>
      </c>
      <c r="E421" s="0" t="inlineStr">
        <is>
          <t>2000.12.</t>
        </is>
      </c>
      <c r="F421" s="0" t="n">
        <v>19</v>
      </c>
      <c r="G421" s="0" t="n">
        <v>38.85</v>
      </c>
      <c r="H421" s="0" t="n">
        <v>128.44</v>
      </c>
      <c r="I421" s="0" t="n">
        <v>35.4</v>
      </c>
      <c r="J421" s="0" t="n">
        <v>117.04</v>
      </c>
      <c r="K421" s="0" t="n">
        <v>18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11</v>
      </c>
      <c r="Y421" s="0" t="n">
        <v>10</v>
      </c>
      <c r="Z421" s="0" t="inlineStr">
        <is>
          <t>https://new.land.naver.com/complexes/12116?tab=detail&amp;rf=Y</t>
        </is>
      </c>
      <c r="AA421" s="0" t="inlineStr">
        <is>
          <t>충청북도 청주시 상당구 지북동 227-1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상당구</t>
        </is>
      </c>
      <c r="AE421" s="0" t="inlineStr">
        <is>
          <t>지북동</t>
        </is>
      </c>
      <c r="AG421" s="0" t="inlineStr">
        <is>
          <t>충청북도 청주시 상당구 단재로413번길 24</t>
        </is>
      </c>
      <c r="AH421" s="0" t="n">
        <v>0</v>
      </c>
      <c r="AI421" s="0" t="n">
        <v>282</v>
      </c>
      <c r="AJ421" s="0" t="n">
        <v>38</v>
      </c>
      <c r="AK421" s="0" t="n">
        <v>23</v>
      </c>
      <c r="AL421" s="0" t="n">
        <v>1.21</v>
      </c>
    </row>
    <row r="422">
      <c r="A422" s="0" t="inlineStr">
        <is>
          <t>[지북동]</t>
        </is>
      </c>
      <c r="B422" s="0" t="n">
        <v>12116</v>
      </c>
      <c r="C422" s="0" t="n">
        <v>2</v>
      </c>
      <c r="D422" s="0" t="inlineStr">
        <is>
          <t>하은베네치아빌</t>
        </is>
      </c>
      <c r="E422" s="0" t="inlineStr">
        <is>
          <t>2000.12.</t>
        </is>
      </c>
      <c r="F422" s="0" t="n">
        <v>19</v>
      </c>
      <c r="G422" s="0" t="n">
        <v>61.58</v>
      </c>
      <c r="H422" s="0" t="n">
        <v>203.59</v>
      </c>
      <c r="I422" s="0" t="n">
        <v>56.11</v>
      </c>
      <c r="J422" s="0" t="n">
        <v>185.52</v>
      </c>
      <c r="K422" s="0" t="n">
        <v>1</v>
      </c>
      <c r="T422" s="0" t="n">
        <v>5</v>
      </c>
      <c r="U422" s="0" t="n">
        <v>3</v>
      </c>
      <c r="V422" s="0" t="inlineStr">
        <is>
          <t>계단식</t>
        </is>
      </c>
      <c r="W422" s="0" t="n">
        <v>203</v>
      </c>
      <c r="X422" s="0" t="n">
        <v>11</v>
      </c>
      <c r="Y422" s="0" t="n">
        <v>10</v>
      </c>
      <c r="Z422" s="0" t="inlineStr">
        <is>
          <t>https://new.land.naver.com/complexes/12116?tab=detail&amp;rf=Y</t>
        </is>
      </c>
      <c r="AA422" s="0" t="inlineStr">
        <is>
          <t>충청북도 청주시 상당구 지북동 227-1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상당구</t>
        </is>
      </c>
      <c r="AE422" s="0" t="inlineStr">
        <is>
          <t>지북동</t>
        </is>
      </c>
      <c r="AG422" s="0" t="inlineStr">
        <is>
          <t>충청북도 청주시 상당구 단재로413번길 24</t>
        </is>
      </c>
      <c r="AH422" s="0" t="n">
        <v>0</v>
      </c>
      <c r="AI422" s="0" t="n">
        <v>282</v>
      </c>
      <c r="AJ422" s="0" t="n">
        <v>38</v>
      </c>
      <c r="AK422" s="0" t="n">
        <v>23</v>
      </c>
      <c r="AL422" s="0" t="n">
        <v>1.21</v>
      </c>
    </row>
    <row r="423">
      <c r="A423" s="0" t="inlineStr">
        <is>
          <t>[탑동]</t>
        </is>
      </c>
      <c r="B423" s="0" t="n">
        <v>129973</v>
      </c>
      <c r="C423" s="0" t="n">
        <v>1</v>
      </c>
      <c r="D423" s="0" t="inlineStr">
        <is>
          <t>탑동힐데스하임</t>
        </is>
      </c>
      <c r="E423" s="0" t="inlineStr">
        <is>
          <t>2022.11.</t>
        </is>
      </c>
      <c r="F423" s="0" t="n">
        <v>1298</v>
      </c>
      <c r="G423" s="0" t="n">
        <v>27.43</v>
      </c>
      <c r="H423" s="0" t="n">
        <v>90.70999999999999</v>
      </c>
      <c r="I423" s="0" t="n">
        <v>19.95</v>
      </c>
      <c r="J423" s="0" t="n">
        <v>65.97</v>
      </c>
      <c r="K423" s="0" t="n">
        <v>348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90</v>
      </c>
      <c r="X423" s="0" t="n">
        <v>35</v>
      </c>
      <c r="Y423" s="0" t="n">
        <v>12</v>
      </c>
      <c r="Z423" s="0" t="inlineStr">
        <is>
          <t>https://new.land.naver.com/complexes/129973?tab=detail&amp;rf=Y</t>
        </is>
      </c>
      <c r="AA423" s="0" t="inlineStr">
        <is>
          <t>충청북도 청주시 상당구 탑동 233-25번지 일원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상당구</t>
        </is>
      </c>
      <c r="AE423" s="0" t="inlineStr">
        <is>
          <t>탑동</t>
        </is>
      </c>
      <c r="AG423" s="0" t="inlineStr">
        <is>
          <t>충청북도 청주시 상당구</t>
        </is>
      </c>
      <c r="AH423" s="0" t="n">
        <v>0</v>
      </c>
      <c r="AI423" s="0" t="n">
        <v>0</v>
      </c>
      <c r="AJ423" s="0" t="n">
        <v>0</v>
      </c>
      <c r="AK423" s="0" t="n">
        <v>2085</v>
      </c>
      <c r="AL423" s="0" t="n">
        <v>1.61</v>
      </c>
    </row>
    <row r="424">
      <c r="A424" s="0" t="inlineStr">
        <is>
          <t>[탑동]</t>
        </is>
      </c>
      <c r="B424" s="0" t="n">
        <v>129973</v>
      </c>
      <c r="C424" s="0" t="n">
        <v>2</v>
      </c>
      <c r="D424" s="0" t="inlineStr">
        <is>
          <t>탑동힐데스하임</t>
        </is>
      </c>
      <c r="E424" s="0" t="inlineStr">
        <is>
          <t>2022.11.</t>
        </is>
      </c>
      <c r="F424" s="0" t="n">
        <v>1298</v>
      </c>
      <c r="G424" s="0" t="n">
        <v>32.77</v>
      </c>
      <c r="H424" s="0" t="n">
        <v>108.34</v>
      </c>
      <c r="I424" s="0" t="n">
        <v>24.48</v>
      </c>
      <c r="J424" s="0" t="n">
        <v>80.94</v>
      </c>
      <c r="K424" s="0" t="n">
        <v>49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35</v>
      </c>
      <c r="Y424" s="0" t="n">
        <v>12</v>
      </c>
      <c r="Z424" s="0" t="inlineStr">
        <is>
          <t>https://new.land.naver.com/complexes/129973?tab=detail&amp;rf=Y</t>
        </is>
      </c>
      <c r="AA424" s="0" t="inlineStr">
        <is>
          <t>충청북도 청주시 상당구 탑동 233-25번지 일원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상당구</t>
        </is>
      </c>
      <c r="AE424" s="0" t="inlineStr">
        <is>
          <t>탑동</t>
        </is>
      </c>
      <c r="AG424" s="0" t="inlineStr">
        <is>
          <t>충청북도 청주시 상당구</t>
        </is>
      </c>
      <c r="AH424" s="0" t="n">
        <v>0</v>
      </c>
      <c r="AI424" s="0" t="n">
        <v>0</v>
      </c>
      <c r="AJ424" s="0" t="n">
        <v>0</v>
      </c>
      <c r="AK424" s="0" t="n">
        <v>2085</v>
      </c>
      <c r="AL424" s="0" t="n">
        <v>1.61</v>
      </c>
    </row>
    <row r="425">
      <c r="A425" s="0" t="inlineStr">
        <is>
          <t>[탑동]</t>
        </is>
      </c>
      <c r="B425" s="0" t="n">
        <v>129973</v>
      </c>
      <c r="C425" s="0" t="n">
        <v>3</v>
      </c>
      <c r="D425" s="0" t="inlineStr">
        <is>
          <t>탑동힐데스하임</t>
        </is>
      </c>
      <c r="E425" s="0" t="inlineStr">
        <is>
          <t>2022.11.</t>
        </is>
      </c>
      <c r="F425" s="0" t="n">
        <v>1298</v>
      </c>
      <c r="G425" s="0" t="n">
        <v>33.46</v>
      </c>
      <c r="H425" s="0" t="n">
        <v>110.64</v>
      </c>
      <c r="I425" s="0" t="n">
        <v>25.66</v>
      </c>
      <c r="J425" s="0" t="n">
        <v>84.84</v>
      </c>
      <c r="K425" s="0" t="n">
        <v>530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35</v>
      </c>
      <c r="Y425" s="0" t="n">
        <v>12</v>
      </c>
      <c r="Z425" s="0" t="inlineStr">
        <is>
          <t>https://new.land.naver.com/complexes/129973?tab=detail&amp;rf=Y</t>
        </is>
      </c>
      <c r="AA425" s="0" t="inlineStr">
        <is>
          <t>충청북도 청주시 상당구 탑동 233-25번지 일원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상당구</t>
        </is>
      </c>
      <c r="AE425" s="0" t="inlineStr">
        <is>
          <t>탑동</t>
        </is>
      </c>
      <c r="AG425" s="0" t="inlineStr">
        <is>
          <t>충청북도 청주시 상당구</t>
        </is>
      </c>
      <c r="AH425" s="0" t="n">
        <v>0</v>
      </c>
      <c r="AI425" s="0" t="n">
        <v>0</v>
      </c>
      <c r="AJ425" s="0" t="n">
        <v>0</v>
      </c>
      <c r="AK425" s="0" t="n">
        <v>2085</v>
      </c>
      <c r="AL425" s="0" t="n">
        <v>1.61</v>
      </c>
    </row>
    <row r="426">
      <c r="A426" s="0" t="inlineStr">
        <is>
          <t>[탑동]</t>
        </is>
      </c>
      <c r="B426" s="0" t="n">
        <v>129973</v>
      </c>
      <c r="C426" s="0" t="n">
        <v>4</v>
      </c>
      <c r="D426" s="0" t="inlineStr">
        <is>
          <t>탑동힐데스하임</t>
        </is>
      </c>
      <c r="E426" s="0" t="inlineStr">
        <is>
          <t>2022.11.</t>
        </is>
      </c>
      <c r="F426" s="0" t="n">
        <v>1298</v>
      </c>
      <c r="G426" s="0" t="n">
        <v>44.22</v>
      </c>
      <c r="H426" s="0" t="n">
        <v>146.2</v>
      </c>
      <c r="I426" s="0" t="n">
        <v>33.86</v>
      </c>
      <c r="J426" s="0" t="n">
        <v>111.96</v>
      </c>
      <c r="K426" s="0" t="n">
        <v>102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146</v>
      </c>
      <c r="X426" s="0" t="n">
        <v>35</v>
      </c>
      <c r="Y426" s="0" t="n">
        <v>12</v>
      </c>
      <c r="Z426" s="0" t="inlineStr">
        <is>
          <t>https://new.land.naver.com/complexes/129973?tab=detail&amp;rf=Y</t>
        </is>
      </c>
      <c r="AA426" s="0" t="inlineStr">
        <is>
          <t>충청북도 청주시 상당구 탑동 233-25번지 일원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상당구</t>
        </is>
      </c>
      <c r="AE426" s="0" t="inlineStr">
        <is>
          <t>탑동</t>
        </is>
      </c>
      <c r="AG426" s="0" t="inlineStr">
        <is>
          <t>충청북도 청주시 상당구</t>
        </is>
      </c>
      <c r="AH426" s="0" t="n">
        <v>0</v>
      </c>
      <c r="AI426" s="0" t="n">
        <v>0</v>
      </c>
      <c r="AJ426" s="0" t="n">
        <v>0</v>
      </c>
      <c r="AK426" s="0" t="n">
        <v>2085</v>
      </c>
      <c r="AL426" s="0" t="n">
        <v>1.61</v>
      </c>
    </row>
    <row r="427">
      <c r="A427" s="0" t="inlineStr">
        <is>
          <t>[탑동]</t>
        </is>
      </c>
      <c r="B427" s="0" t="n">
        <v>129973</v>
      </c>
      <c r="C427" s="0" t="n">
        <v>5</v>
      </c>
      <c r="D427" s="0" t="inlineStr">
        <is>
          <t>탑동힐데스하임</t>
        </is>
      </c>
      <c r="E427" s="0" t="inlineStr">
        <is>
          <t>2022.11.</t>
        </is>
      </c>
      <c r="F427" s="0" t="n">
        <v>1298</v>
      </c>
      <c r="G427" s="0" t="n">
        <v>51.21</v>
      </c>
      <c r="H427" s="0" t="n">
        <v>169.29</v>
      </c>
      <c r="I427" s="0" t="n">
        <v>39.27</v>
      </c>
      <c r="J427" s="0" t="n">
        <v>129.83</v>
      </c>
      <c r="K427" s="0" t="n">
        <v>76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169</v>
      </c>
      <c r="X427" s="0" t="n">
        <v>35</v>
      </c>
      <c r="Y427" s="0" t="n">
        <v>12</v>
      </c>
      <c r="Z427" s="0" t="inlineStr">
        <is>
          <t>https://new.land.naver.com/complexes/129973?tab=detail&amp;rf=Y</t>
        </is>
      </c>
      <c r="AA427" s="0" t="inlineStr">
        <is>
          <t>충청북도 청주시 상당구 탑동 233-25번지 일원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상당구</t>
        </is>
      </c>
      <c r="AE427" s="0" t="inlineStr">
        <is>
          <t>탑동</t>
        </is>
      </c>
      <c r="AG427" s="0" t="inlineStr">
        <is>
          <t>충청북도 청주시 상당구</t>
        </is>
      </c>
      <c r="AH427" s="0" t="n">
        <v>0</v>
      </c>
      <c r="AI427" s="0" t="n">
        <v>0</v>
      </c>
      <c r="AJ427" s="0" t="n">
        <v>0</v>
      </c>
      <c r="AK427" s="0" t="n">
        <v>2085</v>
      </c>
      <c r="AL427" s="0" t="n">
        <v>1.61</v>
      </c>
    </row>
    <row r="428">
      <c r="A428" s="0" t="inlineStr">
        <is>
          <t>[탑동]</t>
        </is>
      </c>
      <c r="B428" s="0" t="n">
        <v>105116</v>
      </c>
      <c r="C428" s="0" t="n">
        <v>1</v>
      </c>
      <c r="D428" s="0" t="inlineStr">
        <is>
          <t>소망</t>
        </is>
      </c>
      <c r="E428" s="0" t="inlineStr">
        <is>
          <t>1987.10.</t>
        </is>
      </c>
      <c r="F428" s="0" t="n">
        <v>60</v>
      </c>
      <c r="G428" s="0" t="n">
        <v>21.51</v>
      </c>
      <c r="H428" s="0" t="n">
        <v>71.12</v>
      </c>
      <c r="I428" s="0" t="n">
        <v>19.39</v>
      </c>
      <c r="J428" s="0" t="n">
        <v>64.11</v>
      </c>
      <c r="K428" s="0" t="n">
        <v>56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71A</t>
        </is>
      </c>
      <c r="X428" s="0" t="n">
        <v>5</v>
      </c>
      <c r="Y428" s="0" t="n">
        <v>5</v>
      </c>
      <c r="Z428" s="0" t="inlineStr">
        <is>
          <t>https://new.land.naver.com/complexes/105116?tab=detail&amp;rf=Y</t>
        </is>
      </c>
      <c r="AA428" s="0" t="inlineStr">
        <is>
          <t>충청북도 청주시 상당구 탑동 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상당구</t>
        </is>
      </c>
      <c r="AE428" s="0" t="inlineStr">
        <is>
          <t>탑동</t>
        </is>
      </c>
      <c r="AG428" s="0" t="inlineStr">
        <is>
          <t>충청북도 청주시 상당구 탑동로 85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[탑동]</t>
        </is>
      </c>
      <c r="B429" s="0" t="n">
        <v>105116</v>
      </c>
      <c r="C429" s="0" t="n">
        <v>2</v>
      </c>
      <c r="D429" s="0" t="inlineStr">
        <is>
          <t>소망</t>
        </is>
      </c>
      <c r="E429" s="0" t="inlineStr">
        <is>
          <t>1987.10.</t>
        </is>
      </c>
      <c r="F429" s="0" t="n">
        <v>60</v>
      </c>
      <c r="G429" s="0" t="n">
        <v>21.96</v>
      </c>
      <c r="H429" s="0" t="n">
        <v>72.62</v>
      </c>
      <c r="I429" s="0" t="n">
        <v>19.84</v>
      </c>
      <c r="J429" s="0" t="n">
        <v>65.61</v>
      </c>
      <c r="K429" s="0" t="n">
        <v>4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72B</t>
        </is>
      </c>
      <c r="X429" s="0" t="n">
        <v>5</v>
      </c>
      <c r="Y429" s="0" t="n">
        <v>5</v>
      </c>
      <c r="Z429" s="0" t="inlineStr">
        <is>
          <t>https://new.land.naver.com/complexes/105116?tab=detail&amp;rf=Y</t>
        </is>
      </c>
      <c r="AA429" s="0" t="inlineStr">
        <is>
          <t>충청북도 청주시 상당구 탑동 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상당구</t>
        </is>
      </c>
      <c r="AE429" s="0" t="inlineStr">
        <is>
          <t>탑동</t>
        </is>
      </c>
      <c r="AG429" s="0" t="inlineStr">
        <is>
          <t>충청북도 청주시 상당구 탑동로 85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[탑동]</t>
        </is>
      </c>
      <c r="B430" s="0" t="n">
        <v>108053</v>
      </c>
      <c r="C430" s="0" t="n">
        <v>1</v>
      </c>
      <c r="D430" s="0" t="inlineStr">
        <is>
          <t>LH청주탑동</t>
        </is>
      </c>
      <c r="E430" s="0" t="inlineStr">
        <is>
          <t>2014.03.</t>
        </is>
      </c>
      <c r="F430" s="0" t="n">
        <v>400</v>
      </c>
      <c r="G430" s="0" t="n">
        <v>16.02</v>
      </c>
      <c r="H430" s="0" t="n">
        <v>52.99</v>
      </c>
      <c r="I430" s="0" t="n">
        <v>12.06</v>
      </c>
      <c r="J430" s="0" t="n">
        <v>39.9</v>
      </c>
      <c r="K430" s="0" t="n">
        <v>50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52A</t>
        </is>
      </c>
      <c r="X430" s="0" t="n">
        <v>19</v>
      </c>
      <c r="Y430" s="0" t="n">
        <v>15</v>
      </c>
      <c r="Z430" s="0" t="inlineStr">
        <is>
          <t>https://new.land.naver.com/complexes/108053?tab=detail&amp;rf=Y</t>
        </is>
      </c>
      <c r="AA430" s="0" t="inlineStr">
        <is>
          <t>충청북도 청주시 상당구 탑동 344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상당구</t>
        </is>
      </c>
      <c r="AE430" s="0" t="inlineStr">
        <is>
          <t>탑동</t>
        </is>
      </c>
      <c r="AG430" s="0" t="inlineStr">
        <is>
          <t>충청북도 청주시 상당구 산성로 55</t>
        </is>
      </c>
      <c r="AH430" s="0" t="n">
        <v>0</v>
      </c>
      <c r="AI430" s="0" t="n">
        <v>173</v>
      </c>
      <c r="AJ430" s="0" t="n">
        <v>20</v>
      </c>
      <c r="AK430" s="0" t="n">
        <v>603</v>
      </c>
      <c r="AL430" s="0" t="n">
        <v>1.51</v>
      </c>
    </row>
    <row r="431">
      <c r="A431" s="0" t="inlineStr">
        <is>
          <t>[탑동]</t>
        </is>
      </c>
      <c r="B431" s="0" t="n">
        <v>108053</v>
      </c>
      <c r="C431" s="0" t="n">
        <v>2</v>
      </c>
      <c r="D431" s="0" t="inlineStr">
        <is>
          <t>LH청주탑동</t>
        </is>
      </c>
      <c r="E431" s="0" t="inlineStr">
        <is>
          <t>2014.03.</t>
        </is>
      </c>
      <c r="F431" s="0" t="n">
        <v>400</v>
      </c>
      <c r="G431" s="0" t="n">
        <v>24.04</v>
      </c>
      <c r="H431" s="0" t="n">
        <v>79.5</v>
      </c>
      <c r="I431" s="0" t="n">
        <v>18.1</v>
      </c>
      <c r="J431" s="0" t="n">
        <v>59.86</v>
      </c>
      <c r="K431" s="0" t="n">
        <v>36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79A</t>
        </is>
      </c>
      <c r="X431" s="0" t="n">
        <v>19</v>
      </c>
      <c r="Y431" s="0" t="n">
        <v>15</v>
      </c>
      <c r="Z431" s="0" t="inlineStr">
        <is>
          <t>https://new.land.naver.com/complexes/108053?tab=detail&amp;rf=Y</t>
        </is>
      </c>
      <c r="AA431" s="0" t="inlineStr">
        <is>
          <t>충청북도 청주시 상당구 탑동 344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상당구</t>
        </is>
      </c>
      <c r="AE431" s="0" t="inlineStr">
        <is>
          <t>탑동</t>
        </is>
      </c>
      <c r="AG431" s="0" t="inlineStr">
        <is>
          <t>충청북도 청주시 상당구 산성로 55</t>
        </is>
      </c>
      <c r="AH431" s="0" t="n">
        <v>0</v>
      </c>
      <c r="AI431" s="0" t="n">
        <v>173</v>
      </c>
      <c r="AJ431" s="0" t="n">
        <v>20</v>
      </c>
      <c r="AK431" s="0" t="n">
        <v>603</v>
      </c>
      <c r="AL431" s="0" t="n">
        <v>1.51</v>
      </c>
    </row>
    <row r="432">
      <c r="A432" s="0" t="inlineStr">
        <is>
          <t>[탑동]</t>
        </is>
      </c>
      <c r="B432" s="0" t="n">
        <v>108053</v>
      </c>
      <c r="C432" s="0" t="n">
        <v>3</v>
      </c>
      <c r="D432" s="0" t="inlineStr">
        <is>
          <t>LH청주탑동</t>
        </is>
      </c>
      <c r="E432" s="0" t="inlineStr">
        <is>
          <t>2014.03.</t>
        </is>
      </c>
      <c r="F432" s="0" t="n">
        <v>400</v>
      </c>
      <c r="G432" s="0" t="n">
        <v>34.08</v>
      </c>
      <c r="H432" s="0" t="n">
        <v>112.68</v>
      </c>
      <c r="I432" s="0" t="n">
        <v>25.66</v>
      </c>
      <c r="J432" s="0" t="n">
        <v>84.84</v>
      </c>
      <c r="K432" s="0" t="n">
        <v>239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112A</t>
        </is>
      </c>
      <c r="X432" s="0" t="n">
        <v>19</v>
      </c>
      <c r="Y432" s="0" t="n">
        <v>15</v>
      </c>
      <c r="Z432" s="0" t="inlineStr">
        <is>
          <t>https://new.land.naver.com/complexes/108053?tab=detail&amp;rf=Y</t>
        </is>
      </c>
      <c r="AA432" s="0" t="inlineStr">
        <is>
          <t>충청북도 청주시 상당구 탑동 344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상당구</t>
        </is>
      </c>
      <c r="AE432" s="0" t="inlineStr">
        <is>
          <t>탑동</t>
        </is>
      </c>
      <c r="AG432" s="0" t="inlineStr">
        <is>
          <t>충청북도 청주시 상당구 산성로 55</t>
        </is>
      </c>
      <c r="AH432" s="0" t="n">
        <v>0</v>
      </c>
      <c r="AI432" s="0" t="n">
        <v>173</v>
      </c>
      <c r="AJ432" s="0" t="n">
        <v>20</v>
      </c>
      <c r="AK432" s="0" t="n">
        <v>603</v>
      </c>
      <c r="AL432" s="0" t="n">
        <v>1.51</v>
      </c>
    </row>
    <row r="433">
      <c r="A433" s="0" t="inlineStr">
        <is>
          <t>[탑동]</t>
        </is>
      </c>
      <c r="B433" s="0" t="n">
        <v>108053</v>
      </c>
      <c r="C433" s="0" t="n">
        <v>4</v>
      </c>
      <c r="D433" s="0" t="inlineStr">
        <is>
          <t>LH청주탑동</t>
        </is>
      </c>
      <c r="E433" s="0" t="inlineStr">
        <is>
          <t>2014.03.</t>
        </is>
      </c>
      <c r="F433" s="0" t="n">
        <v>400</v>
      </c>
      <c r="G433" s="0" t="n">
        <v>34.1</v>
      </c>
      <c r="H433" s="0" t="n">
        <v>112.76</v>
      </c>
      <c r="I433" s="0" t="n">
        <v>25.68</v>
      </c>
      <c r="J433" s="0" t="n">
        <v>84.90000000000001</v>
      </c>
      <c r="K433" s="0" t="n">
        <v>57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112B</t>
        </is>
      </c>
      <c r="X433" s="0" t="n">
        <v>19</v>
      </c>
      <c r="Y433" s="0" t="n">
        <v>15</v>
      </c>
      <c r="Z433" s="0" t="inlineStr">
        <is>
          <t>https://new.land.naver.com/complexes/108053?tab=detail&amp;rf=Y</t>
        </is>
      </c>
      <c r="AA433" s="0" t="inlineStr">
        <is>
          <t>충청북도 청주시 상당구 탑동 344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상당구</t>
        </is>
      </c>
      <c r="AE433" s="0" t="inlineStr">
        <is>
          <t>탑동</t>
        </is>
      </c>
      <c r="AG433" s="0" t="inlineStr">
        <is>
          <t>충청북도 청주시 상당구 산성로 55</t>
        </is>
      </c>
      <c r="AH433" s="0" t="n">
        <v>0</v>
      </c>
      <c r="AI433" s="0" t="n">
        <v>173</v>
      </c>
      <c r="AJ433" s="0" t="n">
        <v>20</v>
      </c>
      <c r="AK433" s="0" t="n">
        <v>603</v>
      </c>
      <c r="AL433" s="0" t="n">
        <v>1.51</v>
      </c>
    </row>
    <row r="434">
      <c r="A434" s="0" t="inlineStr">
        <is>
          <t>[탑동]</t>
        </is>
      </c>
      <c r="B434" s="0" t="n">
        <v>108053</v>
      </c>
      <c r="C434" s="0" t="n">
        <v>5</v>
      </c>
      <c r="D434" s="0" t="inlineStr">
        <is>
          <t>LH청주탑동</t>
        </is>
      </c>
      <c r="E434" s="0" t="inlineStr">
        <is>
          <t>2014.03.</t>
        </is>
      </c>
      <c r="F434" s="0" t="n">
        <v>400</v>
      </c>
      <c r="G434" s="0" t="n">
        <v>34.1</v>
      </c>
      <c r="H434" s="0" t="n">
        <v>112.76</v>
      </c>
      <c r="I434" s="0" t="n">
        <v>25.68</v>
      </c>
      <c r="J434" s="0" t="n">
        <v>84.90000000000001</v>
      </c>
      <c r="K434" s="0" t="n">
        <v>18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112C</t>
        </is>
      </c>
      <c r="X434" s="0" t="n">
        <v>19</v>
      </c>
      <c r="Y434" s="0" t="n">
        <v>15</v>
      </c>
      <c r="Z434" s="0" t="inlineStr">
        <is>
          <t>https://new.land.naver.com/complexes/108053?tab=detail&amp;rf=Y</t>
        </is>
      </c>
      <c r="AA434" s="0" t="inlineStr">
        <is>
          <t>충청북도 청주시 상당구 탑동 344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상당구</t>
        </is>
      </c>
      <c r="AE434" s="0" t="inlineStr">
        <is>
          <t>탑동</t>
        </is>
      </c>
      <c r="AG434" s="0" t="inlineStr">
        <is>
          <t>충청북도 청주시 상당구 산성로 55</t>
        </is>
      </c>
      <c r="AH434" s="0" t="n">
        <v>0</v>
      </c>
      <c r="AI434" s="0" t="n">
        <v>173</v>
      </c>
      <c r="AJ434" s="0" t="n">
        <v>20</v>
      </c>
      <c r="AK434" s="0" t="n">
        <v>603</v>
      </c>
      <c r="AL434" s="0" t="n">
        <v>1.51</v>
      </c>
    </row>
    <row r="435">
      <c r="A435" s="0" t="inlineStr">
        <is>
          <t>[탑동]</t>
        </is>
      </c>
      <c r="B435" s="0" t="n">
        <v>7470</v>
      </c>
      <c r="C435" s="0" t="n">
        <v>1</v>
      </c>
      <c r="D435" s="0" t="inlineStr">
        <is>
          <t>현대</t>
        </is>
      </c>
      <c r="E435" s="0" t="inlineStr">
        <is>
          <t>1991.04.</t>
        </is>
      </c>
      <c r="F435" s="0" t="n">
        <v>485</v>
      </c>
      <c r="G435" s="0" t="n">
        <v>25.39</v>
      </c>
      <c r="H435" s="0" t="n">
        <v>83.95</v>
      </c>
      <c r="I435" s="0" t="n">
        <v>21.52</v>
      </c>
      <c r="J435" s="0" t="n">
        <v>71.17</v>
      </c>
      <c r="K435" s="0" t="n">
        <v>78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83</v>
      </c>
      <c r="X435" s="0" t="n">
        <v>13</v>
      </c>
      <c r="Y435" s="0" t="n">
        <v>9</v>
      </c>
      <c r="Z435" s="0" t="inlineStr">
        <is>
          <t>https://new.land.naver.com/complexes/7470?tab=detail&amp;rf=Y</t>
        </is>
      </c>
      <c r="AA435" s="0" t="inlineStr">
        <is>
          <t>충청북도 청주시 상당구 탑동 44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상당구</t>
        </is>
      </c>
      <c r="AE435" s="0" t="inlineStr">
        <is>
          <t>탑동</t>
        </is>
      </c>
      <c r="AG435" s="0" t="inlineStr">
        <is>
          <t>충청북도 청주시 상당구 탑동로 78</t>
        </is>
      </c>
      <c r="AH435" s="0" t="n">
        <v>0</v>
      </c>
      <c r="AI435" s="0" t="n">
        <v>207</v>
      </c>
      <c r="AJ435" s="0" t="n">
        <v>17</v>
      </c>
      <c r="AK435" s="0" t="n">
        <v>308</v>
      </c>
      <c r="AL435" s="0" t="n">
        <v>0.64</v>
      </c>
    </row>
    <row r="436">
      <c r="A436" s="0" t="inlineStr">
        <is>
          <t>[탑동]</t>
        </is>
      </c>
      <c r="B436" s="0" t="n">
        <v>7470</v>
      </c>
      <c r="C436" s="0" t="n">
        <v>2</v>
      </c>
      <c r="D436" s="0" t="inlineStr">
        <is>
          <t>현대</t>
        </is>
      </c>
      <c r="E436" s="0" t="inlineStr">
        <is>
          <t>1991.04.</t>
        </is>
      </c>
      <c r="F436" s="0" t="n">
        <v>485</v>
      </c>
      <c r="G436" s="0" t="n">
        <v>30.3</v>
      </c>
      <c r="H436" s="0" t="n">
        <v>100.18</v>
      </c>
      <c r="I436" s="0" t="n">
        <v>25.69</v>
      </c>
      <c r="J436" s="0" t="n">
        <v>84.94</v>
      </c>
      <c r="K436" s="0" t="n">
        <v>407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100</v>
      </c>
      <c r="X436" s="0" t="n">
        <v>13</v>
      </c>
      <c r="Y436" s="0" t="n">
        <v>9</v>
      </c>
      <c r="Z436" s="0" t="inlineStr">
        <is>
          <t>https://new.land.naver.com/complexes/7470?tab=detail&amp;rf=Y</t>
        </is>
      </c>
      <c r="AA436" s="0" t="inlineStr">
        <is>
          <t>충청북도 청주시 상당구 탑동 44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상당구</t>
        </is>
      </c>
      <c r="AE436" s="0" t="inlineStr">
        <is>
          <t>탑동</t>
        </is>
      </c>
      <c r="AG436" s="0" t="inlineStr">
        <is>
          <t>충청북도 청주시 상당구 탑동로 78</t>
        </is>
      </c>
      <c r="AH436" s="0" t="n">
        <v>0</v>
      </c>
      <c r="AI436" s="0" t="n">
        <v>207</v>
      </c>
      <c r="AJ436" s="0" t="n">
        <v>17</v>
      </c>
      <c r="AK436" s="0" t="n">
        <v>308</v>
      </c>
      <c r="AL436" s="0" t="n">
        <v>0.64</v>
      </c>
    </row>
    <row r="437">
      <c r="A437" s="0" t="inlineStr">
        <is>
          <t>[탑동]</t>
        </is>
      </c>
      <c r="B437" s="0" t="n">
        <v>101715</v>
      </c>
      <c r="C437" s="0" t="n">
        <v>1</v>
      </c>
      <c r="D437" s="0" t="inlineStr">
        <is>
          <t>보성트윈힐스</t>
        </is>
      </c>
      <c r="E437" s="0" t="inlineStr">
        <is>
          <t>1998.05.</t>
        </is>
      </c>
      <c r="F437" s="0" t="n">
        <v>86</v>
      </c>
      <c r="G437" s="0" t="n">
        <v>15.92</v>
      </c>
      <c r="H437" s="0" t="n">
        <v>52.66</v>
      </c>
      <c r="I437" s="0" t="n">
        <v>11.76</v>
      </c>
      <c r="J437" s="0" t="n">
        <v>38.89</v>
      </c>
      <c r="K437" s="0" t="n">
        <v>53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52A</t>
        </is>
      </c>
      <c r="X437" s="0" t="n">
        <v>15</v>
      </c>
      <c r="Y437" s="0" t="n">
        <v>15</v>
      </c>
      <c r="Z437" s="0" t="inlineStr">
        <is>
          <t>https://new.land.naver.com/complexes/101715?tab=detail&amp;rf=Y</t>
        </is>
      </c>
      <c r="AA437" s="0" t="inlineStr">
        <is>
          <t>충청북도 청주시 상당구 탑동 42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상당구</t>
        </is>
      </c>
      <c r="AE437" s="0" t="inlineStr">
        <is>
          <t>탑동</t>
        </is>
      </c>
      <c r="AG437" s="0" t="inlineStr">
        <is>
          <t>충청북도 청주시 상당구 중고개로 349</t>
        </is>
      </c>
      <c r="AH437" s="0" t="n">
        <v>358</v>
      </c>
      <c r="AI437" s="0" t="n">
        <v>300</v>
      </c>
      <c r="AJ437" s="0" t="n">
        <v>25</v>
      </c>
      <c r="AK437" s="0" t="n">
        <v>312</v>
      </c>
      <c r="AL437" s="0" t="n">
        <v>3.63</v>
      </c>
    </row>
    <row r="438">
      <c r="A438" s="0" t="inlineStr">
        <is>
          <t>[탑동]</t>
        </is>
      </c>
      <c r="B438" s="0" t="n">
        <v>101715</v>
      </c>
      <c r="C438" s="0" t="n">
        <v>2</v>
      </c>
      <c r="D438" s="0" t="inlineStr">
        <is>
          <t>보성트윈힐스</t>
        </is>
      </c>
      <c r="E438" s="0" t="inlineStr">
        <is>
          <t>1998.05.</t>
        </is>
      </c>
      <c r="F438" s="0" t="n">
        <v>86</v>
      </c>
      <c r="G438" s="0" t="n">
        <v>15.95</v>
      </c>
      <c r="H438" s="0" t="n">
        <v>52.76</v>
      </c>
      <c r="I438" s="0" t="n">
        <v>11.78</v>
      </c>
      <c r="J438" s="0" t="n">
        <v>38.97</v>
      </c>
      <c r="K438" s="0" t="n">
        <v>33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52B</t>
        </is>
      </c>
      <c r="X438" s="0" t="n">
        <v>15</v>
      </c>
      <c r="Y438" s="0" t="n">
        <v>15</v>
      </c>
      <c r="Z438" s="0" t="inlineStr">
        <is>
          <t>https://new.land.naver.com/complexes/101715?tab=detail&amp;rf=Y</t>
        </is>
      </c>
      <c r="AA438" s="0" t="inlineStr">
        <is>
          <t>충청북도 청주시 상당구 탑동 42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상당구</t>
        </is>
      </c>
      <c r="AE438" s="0" t="inlineStr">
        <is>
          <t>탑동</t>
        </is>
      </c>
      <c r="AG438" s="0" t="inlineStr">
        <is>
          <t>충청북도 청주시 상당구 중고개로 349</t>
        </is>
      </c>
      <c r="AH438" s="0" t="n">
        <v>358</v>
      </c>
      <c r="AI438" s="0" t="n">
        <v>300</v>
      </c>
      <c r="AJ438" s="0" t="n">
        <v>25</v>
      </c>
      <c r="AK438" s="0" t="n">
        <v>312</v>
      </c>
      <c r="AL438" s="0" t="n">
        <v>3.63</v>
      </c>
    </row>
    <row r="439">
      <c r="A439" s="0" t="inlineStr">
        <is>
          <t>[탑동]</t>
        </is>
      </c>
      <c r="B439" s="0" t="n">
        <v>114099</v>
      </c>
      <c r="C439" s="0" t="n">
        <v>1</v>
      </c>
      <c r="D439" s="0" t="inlineStr">
        <is>
          <t>한양서우맨션</t>
        </is>
      </c>
      <c r="E439" s="0" t="inlineStr">
        <is>
          <t>1984.12.</t>
        </is>
      </c>
      <c r="F439" s="0" t="n">
        <v>15</v>
      </c>
      <c r="G439" s="0" t="n">
        <v>32.29</v>
      </c>
      <c r="H439" s="0" t="n">
        <v>106.75</v>
      </c>
      <c r="I439" s="0" t="n">
        <v>25.24</v>
      </c>
      <c r="J439" s="0" t="n">
        <v>83.45</v>
      </c>
      <c r="K439" s="0" t="n">
        <v>10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106</v>
      </c>
      <c r="X439" s="0" t="n">
        <v>5</v>
      </c>
      <c r="Y439" s="0" t="n">
        <v>5</v>
      </c>
      <c r="Z439" s="0" t="inlineStr">
        <is>
          <t>https://new.land.naver.com/complexes/114099?tab=detail&amp;rf=Y</t>
        </is>
      </c>
      <c r="AA439" s="0" t="inlineStr">
        <is>
          <t>충청북도 청주시 상당구 탑동 297-90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상당구</t>
        </is>
      </c>
      <c r="AE439" s="0" t="inlineStr">
        <is>
          <t>탑동</t>
        </is>
      </c>
      <c r="AG439" s="0" t="inlineStr">
        <is>
          <t>충청북도 청주시 상당구 탑동로1번길 72-1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[탑동]</t>
        </is>
      </c>
      <c r="B440" s="0" t="n">
        <v>114099</v>
      </c>
      <c r="C440" s="0" t="n">
        <v>2</v>
      </c>
      <c r="D440" s="0" t="inlineStr">
        <is>
          <t>한양서우맨션</t>
        </is>
      </c>
      <c r="E440" s="0" t="inlineStr">
        <is>
          <t>1984.12.</t>
        </is>
      </c>
      <c r="F440" s="0" t="n">
        <v>15</v>
      </c>
      <c r="G440" s="0" t="n">
        <v>39.47</v>
      </c>
      <c r="H440" s="0" t="n">
        <v>130.48</v>
      </c>
      <c r="I440" s="0" t="n">
        <v>30.82</v>
      </c>
      <c r="J440" s="0" t="n">
        <v>101.9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130</v>
      </c>
      <c r="X440" s="0" t="n">
        <v>5</v>
      </c>
      <c r="Y440" s="0" t="n">
        <v>5</v>
      </c>
      <c r="Z440" s="0" t="inlineStr">
        <is>
          <t>https://new.land.naver.com/complexes/114099?tab=detail&amp;rf=Y</t>
        </is>
      </c>
      <c r="AA440" s="0" t="inlineStr">
        <is>
          <t>충청북도 청주시 상당구 탑동 297-90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상당구</t>
        </is>
      </c>
      <c r="AE440" s="0" t="inlineStr">
        <is>
          <t>탑동</t>
        </is>
      </c>
      <c r="AG440" s="0" t="inlineStr">
        <is>
          <t>충청북도 청주시 상당구 탑동로1번길 72-1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[탑동]</t>
        </is>
      </c>
      <c r="B441" s="0" t="n">
        <v>108568</v>
      </c>
      <c r="C441" s="0" t="n">
        <v>1</v>
      </c>
      <c r="D441" s="0" t="inlineStr">
        <is>
          <t>삼덕</t>
        </is>
      </c>
      <c r="E441" s="0" t="inlineStr">
        <is>
          <t>1997.05.</t>
        </is>
      </c>
      <c r="F441" s="0" t="n">
        <v>45</v>
      </c>
      <c r="G441" s="0" t="n">
        <v>18.04</v>
      </c>
      <c r="H441" s="0" t="n">
        <v>59.64</v>
      </c>
      <c r="I441" s="0" t="n">
        <v>12.88</v>
      </c>
      <c r="J441" s="0" t="n">
        <v>42.58</v>
      </c>
      <c r="K441" s="0" t="n">
        <v>45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59</v>
      </c>
      <c r="X441" s="0" t="n">
        <v>5</v>
      </c>
      <c r="Y441" s="0" t="n">
        <v>5</v>
      </c>
      <c r="Z441" s="0" t="inlineStr">
        <is>
          <t>https://new.land.naver.com/complexes/108568?tab=detail&amp;rf=Y</t>
        </is>
      </c>
      <c r="AA441" s="0" t="inlineStr">
        <is>
          <t>충청북도 청주시 상당구 탑동 51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상당구</t>
        </is>
      </c>
      <c r="AE441" s="0" t="inlineStr">
        <is>
          <t>탑동</t>
        </is>
      </c>
      <c r="AG441" s="0" t="inlineStr">
        <is>
          <t>충청북도 청주시 상당구 산성로101번길 3</t>
        </is>
      </c>
      <c r="AH441" s="0" t="n">
        <v>0</v>
      </c>
      <c r="AI441" s="0" t="n">
        <v>165</v>
      </c>
      <c r="AJ441" s="0" t="n">
        <v>40</v>
      </c>
      <c r="AK441" s="0" t="n">
        <v>23</v>
      </c>
      <c r="AL441" s="0" t="n">
        <v>0.51</v>
      </c>
    </row>
    <row r="442">
      <c r="A442" s="0" t="inlineStr">
        <is>
          <t>[탑동]</t>
        </is>
      </c>
      <c r="B442" s="0" t="n">
        <v>106603</v>
      </c>
      <c r="C442" s="0" t="n">
        <v>1</v>
      </c>
      <c r="D442" s="0" t="inlineStr">
        <is>
          <t>석탑</t>
        </is>
      </c>
      <c r="E442" s="0" t="inlineStr">
        <is>
          <t>1984.01.</t>
        </is>
      </c>
      <c r="F442" s="0" t="n">
        <v>130</v>
      </c>
      <c r="G442" s="0" t="n">
        <v>19.12</v>
      </c>
      <c r="H442" s="0" t="n">
        <v>63.22</v>
      </c>
      <c r="I442" s="0" t="n">
        <v>17.59</v>
      </c>
      <c r="J442" s="0" t="n">
        <v>58.18</v>
      </c>
      <c r="K442" s="0" t="n">
        <v>130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63</v>
      </c>
      <c r="X442" s="0" t="n">
        <v>6</v>
      </c>
      <c r="Y442" s="0" t="n">
        <v>5</v>
      </c>
      <c r="Z442" s="0" t="inlineStr">
        <is>
          <t>https://new.land.naver.com/complexes/106603?tab=detail&amp;rf=Y</t>
        </is>
      </c>
      <c r="AA442" s="0" t="inlineStr">
        <is>
          <t>충청북도 청주시 상당구 탑동 297-75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상당구</t>
        </is>
      </c>
      <c r="AE442" s="0" t="inlineStr">
        <is>
          <t>탑동</t>
        </is>
      </c>
      <c r="AG442" s="0" t="inlineStr">
        <is>
          <t>충청북도 청주시 상당구 탑동로1번길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[탑동]</t>
        </is>
      </c>
      <c r="B443" s="0" t="n">
        <v>7467</v>
      </c>
      <c r="C443" s="0" t="n">
        <v>1</v>
      </c>
      <c r="D443" s="0" t="inlineStr">
        <is>
          <t>삼일맨션</t>
        </is>
      </c>
      <c r="E443" s="0" t="inlineStr">
        <is>
          <t>1988.09.</t>
        </is>
      </c>
      <c r="F443" s="0" t="n">
        <v>170</v>
      </c>
      <c r="G443" s="0" t="n">
        <v>27.78</v>
      </c>
      <c r="H443" s="0" t="n">
        <v>91.84999999999999</v>
      </c>
      <c r="I443" s="0" t="n">
        <v>24</v>
      </c>
      <c r="J443" s="0" t="n">
        <v>79.37</v>
      </c>
      <c r="K443" s="0" t="n">
        <v>30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91</v>
      </c>
      <c r="X443" s="0" t="n">
        <v>5</v>
      </c>
      <c r="Y443" s="0" t="n">
        <v>5</v>
      </c>
      <c r="Z443" s="0" t="inlineStr">
        <is>
          <t>https://new.land.naver.com/complexes/7467?tab=detail&amp;rf=Y</t>
        </is>
      </c>
      <c r="AA443" s="0" t="inlineStr">
        <is>
          <t>충청북도 청주시 상당구 탑동 83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상당구</t>
        </is>
      </c>
      <c r="AE443" s="0" t="inlineStr">
        <is>
          <t>탑동</t>
        </is>
      </c>
      <c r="AG443" s="0" t="inlineStr">
        <is>
          <t>충청북도 청주시 상당구 산성로49번길 4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[탑동]</t>
        </is>
      </c>
      <c r="B444" s="0" t="n">
        <v>7467</v>
      </c>
      <c r="C444" s="0" t="n">
        <v>2</v>
      </c>
      <c r="D444" s="0" t="inlineStr">
        <is>
          <t>삼일맨션</t>
        </is>
      </c>
      <c r="E444" s="0" t="inlineStr">
        <is>
          <t>1988.09.</t>
        </is>
      </c>
      <c r="F444" s="0" t="n">
        <v>170</v>
      </c>
      <c r="G444" s="0" t="n">
        <v>29.23</v>
      </c>
      <c r="H444" s="0" t="n">
        <v>96.66</v>
      </c>
      <c r="I444" s="0" t="n">
        <v>25.35</v>
      </c>
      <c r="J444" s="0" t="n">
        <v>83.81999999999999</v>
      </c>
      <c r="K444" s="0" t="n">
        <v>80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96B</t>
        </is>
      </c>
      <c r="X444" s="0" t="n">
        <v>5</v>
      </c>
      <c r="Y444" s="0" t="n">
        <v>5</v>
      </c>
      <c r="Z444" s="0" t="inlineStr">
        <is>
          <t>https://new.land.naver.com/complexes/7467?tab=detail&amp;rf=Y</t>
        </is>
      </c>
      <c r="AA444" s="0" t="inlineStr">
        <is>
          <t>충청북도 청주시 상당구 탑동 83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상당구</t>
        </is>
      </c>
      <c r="AE444" s="0" t="inlineStr">
        <is>
          <t>탑동</t>
        </is>
      </c>
      <c r="AG444" s="0" t="inlineStr">
        <is>
          <t>충청북도 청주시 상당구 산성로49번길 4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[탑동]</t>
        </is>
      </c>
      <c r="B445" s="0" t="n">
        <v>7467</v>
      </c>
      <c r="C445" s="0" t="n">
        <v>3</v>
      </c>
      <c r="D445" s="0" t="inlineStr">
        <is>
          <t>삼일맨션</t>
        </is>
      </c>
      <c r="E445" s="0" t="inlineStr">
        <is>
          <t>1988.09.</t>
        </is>
      </c>
      <c r="F445" s="0" t="n">
        <v>170</v>
      </c>
      <c r="G445" s="0" t="n">
        <v>29.2</v>
      </c>
      <c r="H445" s="0" t="n">
        <v>96.56</v>
      </c>
      <c r="I445" s="0" t="n">
        <v>25.32</v>
      </c>
      <c r="J445" s="0" t="n">
        <v>83.73</v>
      </c>
      <c r="K445" s="0" t="n">
        <v>30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96A</t>
        </is>
      </c>
      <c r="X445" s="0" t="n">
        <v>5</v>
      </c>
      <c r="Y445" s="0" t="n">
        <v>5</v>
      </c>
      <c r="Z445" s="0" t="inlineStr">
        <is>
          <t>https://new.land.naver.com/complexes/7467?tab=detail&amp;rf=Y</t>
        </is>
      </c>
      <c r="AA445" s="0" t="inlineStr">
        <is>
          <t>충청북도 청주시 상당구 탑동 83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상당구</t>
        </is>
      </c>
      <c r="AE445" s="0" t="inlineStr">
        <is>
          <t>탑동</t>
        </is>
      </c>
      <c r="AG445" s="0" t="inlineStr">
        <is>
          <t>충청북도 청주시 상당구 산성로49번길 4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[탑동]</t>
        </is>
      </c>
      <c r="B446" s="0" t="n">
        <v>7467</v>
      </c>
      <c r="C446" s="0" t="n">
        <v>4</v>
      </c>
      <c r="D446" s="0" t="inlineStr">
        <is>
          <t>삼일맨션</t>
        </is>
      </c>
      <c r="E446" s="0" t="inlineStr">
        <is>
          <t>1988.09.</t>
        </is>
      </c>
      <c r="F446" s="0" t="n">
        <v>170</v>
      </c>
      <c r="G446" s="0" t="n">
        <v>44.54</v>
      </c>
      <c r="H446" s="0" t="n">
        <v>147.24</v>
      </c>
      <c r="I446" s="0" t="n">
        <v>39.53</v>
      </c>
      <c r="J446" s="0" t="n">
        <v>130.69</v>
      </c>
      <c r="K446" s="0" t="n">
        <v>30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147</v>
      </c>
      <c r="X446" s="0" t="n">
        <v>5</v>
      </c>
      <c r="Y446" s="0" t="n">
        <v>5</v>
      </c>
      <c r="Z446" s="0" t="inlineStr">
        <is>
          <t>https://new.land.naver.com/complexes/7467?tab=detail&amp;rf=Y</t>
        </is>
      </c>
      <c r="AA446" s="0" t="inlineStr">
        <is>
          <t>충청북도 청주시 상당구 탑동 83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상당구</t>
        </is>
      </c>
      <c r="AE446" s="0" t="inlineStr">
        <is>
          <t>탑동</t>
        </is>
      </c>
      <c r="AG446" s="0" t="inlineStr">
        <is>
          <t>충청북도 청주시 상당구 산성로49번길 4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금천동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효성2차</t>
        </is>
      </c>
      <c r="B6" s="10" t="inlineStr">
        <is>
          <t>'98.07.</t>
        </is>
      </c>
      <c r="C6" s="134" t="n">
        <v>253</v>
      </c>
      <c r="D6" s="132" t="n">
        <v>39.5</v>
      </c>
      <c r="E6" s="133" t="n">
        <v>12</v>
      </c>
      <c r="F6" s="132" t="n">
        <v>27.3</v>
      </c>
      <c r="G6" s="17" t="n">
        <v>8</v>
      </c>
      <c r="H6" s="134" t="n">
        <v>253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1</v>
      </c>
      <c r="R6" s="119" t="n">
        <v>1</v>
      </c>
      <c r="S6" s="119" t="inlineStr">
        <is>
          <t>복</t>
        </is>
      </c>
      <c r="T6" s="5" t="n">
        <v>39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장자마을2단지현대</t>
        </is>
      </c>
      <c r="B8" s="10" t="inlineStr">
        <is>
          <t>'02.10.</t>
        </is>
      </c>
      <c r="C8" s="134" t="n">
        <v>636</v>
      </c>
      <c r="D8" s="132" t="n">
        <v>94.8</v>
      </c>
      <c r="E8" s="133" t="n">
        <v>29</v>
      </c>
      <c r="F8" s="132" t="n">
        <v>75</v>
      </c>
      <c r="G8" s="17" t="n">
        <v>23</v>
      </c>
      <c r="H8" s="134" t="n">
        <v>193</v>
      </c>
      <c r="I8" s="135" t="n">
        <v>21500</v>
      </c>
      <c r="J8" s="135" t="inlineStr">
        <is>
          <t>10</t>
        </is>
      </c>
      <c r="K8" s="135" t="n">
        <v>16000</v>
      </c>
      <c r="L8" s="135" t="inlineStr">
        <is>
          <t>10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94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장자마을2단지현대</t>
        </is>
      </c>
      <c r="B9" s="10" t="inlineStr">
        <is>
          <t>'02.10.</t>
        </is>
      </c>
      <c r="C9" s="134" t="n">
        <v>636</v>
      </c>
      <c r="D9" s="132" t="n">
        <v>107.4</v>
      </c>
      <c r="E9" s="133" t="n">
        <v>33</v>
      </c>
      <c r="F9" s="132" t="n">
        <v>84.90000000000001</v>
      </c>
      <c r="G9" s="17" t="n">
        <v>26</v>
      </c>
      <c r="H9" s="134" t="n">
        <v>267</v>
      </c>
      <c r="I9" s="135" t="n">
        <v>22500</v>
      </c>
      <c r="J9" s="135" t="inlineStr">
        <is>
          <t>중</t>
        </is>
      </c>
      <c r="K9" s="135" t="n">
        <v>21000</v>
      </c>
      <c r="L9" s="135" t="inlineStr">
        <is>
          <t>고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107A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장자마을2단지현대</t>
        </is>
      </c>
      <c r="B10" s="10" t="inlineStr">
        <is>
          <t>'02.10.</t>
        </is>
      </c>
      <c r="C10" s="134" t="n">
        <v>636</v>
      </c>
      <c r="D10" s="132" t="n">
        <v>109.5</v>
      </c>
      <c r="E10" s="133" t="n">
        <v>33</v>
      </c>
      <c r="F10" s="132" t="n">
        <v>84.90000000000001</v>
      </c>
      <c r="G10" s="17" t="n">
        <v>26</v>
      </c>
      <c r="H10" s="134" t="n">
        <v>176</v>
      </c>
      <c r="I10" s="135" t="n">
        <v>23000</v>
      </c>
      <c r="J10" s="135" t="inlineStr">
        <is>
          <t>고</t>
        </is>
      </c>
      <c r="K10" s="135" t="n">
        <v>22000</v>
      </c>
      <c r="L10" s="135" t="inlineStr">
        <is>
          <t>5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109B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금천현대</t>
        </is>
      </c>
      <c r="B12" s="10" t="inlineStr">
        <is>
          <t>'92.12.</t>
        </is>
      </c>
      <c r="C12" s="134" t="n">
        <v>1032</v>
      </c>
      <c r="D12" s="132" t="n">
        <v>81.7</v>
      </c>
      <c r="E12" s="133" t="n">
        <v>25</v>
      </c>
      <c r="F12" s="132" t="n">
        <v>62.1</v>
      </c>
      <c r="G12" s="17" t="n">
        <v>19</v>
      </c>
      <c r="H12" s="134" t="n">
        <v>180</v>
      </c>
      <c r="I12" s="135" t="n">
        <v>11000</v>
      </c>
      <c r="J12" s="135" t="inlineStr">
        <is>
          <t>5</t>
        </is>
      </c>
      <c r="K12" s="135" t="n">
        <v>10000</v>
      </c>
      <c r="L12" s="135" t="inlineStr">
        <is>
          <t>15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복</t>
        </is>
      </c>
      <c r="T12" s="5" t="n">
        <v>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금천현대</t>
        </is>
      </c>
      <c r="B13" s="10" t="inlineStr">
        <is>
          <t>'92.12.</t>
        </is>
      </c>
      <c r="C13" s="134" t="n">
        <v>1032</v>
      </c>
      <c r="D13" s="132" t="n">
        <v>86.5</v>
      </c>
      <c r="E13" s="133" t="n">
        <v>26</v>
      </c>
      <c r="F13" s="132" t="n">
        <v>70.2</v>
      </c>
      <c r="G13" s="17" t="n">
        <v>21</v>
      </c>
      <c r="H13" s="134" t="n">
        <v>262</v>
      </c>
      <c r="I13" s="135" t="n">
        <v>12500</v>
      </c>
      <c r="J13" s="135" t="inlineStr">
        <is>
          <t>5</t>
        </is>
      </c>
      <c r="K13" s="135" t="n">
        <v>11000</v>
      </c>
      <c r="L13" s="135" t="inlineStr">
        <is>
          <t>14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86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금천현대</t>
        </is>
      </c>
      <c r="B14" s="10" t="inlineStr">
        <is>
          <t>'92.12.</t>
        </is>
      </c>
      <c r="C14" s="134" t="n">
        <v>1032</v>
      </c>
      <c r="D14" s="132" t="n">
        <v>102.4</v>
      </c>
      <c r="E14" s="133" t="n">
        <v>31</v>
      </c>
      <c r="F14" s="132" t="n">
        <v>84.8</v>
      </c>
      <c r="G14" s="17" t="n">
        <v>26</v>
      </c>
      <c r="H14" s="134" t="n">
        <v>448</v>
      </c>
      <c r="I14" s="135" t="n">
        <v>15300</v>
      </c>
      <c r="J14" s="135" t="inlineStr">
        <is>
          <t>10</t>
        </is>
      </c>
      <c r="K14" s="135" t="n">
        <v>13500</v>
      </c>
      <c r="L14" s="135" t="inlineStr">
        <is>
          <t>15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n">
        <v>102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금천현대</t>
        </is>
      </c>
      <c r="B15" s="10" t="inlineStr">
        <is>
          <t>'92.12.</t>
        </is>
      </c>
      <c r="C15" s="134" t="n">
        <v>1032</v>
      </c>
      <c r="D15" s="132" t="n">
        <v>148.9</v>
      </c>
      <c r="E15" s="133" t="n">
        <v>45</v>
      </c>
      <c r="F15" s="132" t="n">
        <v>127.2</v>
      </c>
      <c r="G15" s="17" t="n">
        <v>38</v>
      </c>
      <c r="H15" s="134" t="n">
        <v>142</v>
      </c>
      <c r="I15" s="135" t="n">
        <v>21500</v>
      </c>
      <c r="J15" s="135" t="inlineStr">
        <is>
          <t>8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148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n"/>
      <c r="B16" s="119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7">
        <f>IF(E16="","",E16)</f>
        <v/>
      </c>
      <c r="AJ16" s="119" t="n"/>
      <c r="AK16" s="119" t="n"/>
      <c r="AL16" s="119" t="n"/>
      <c r="AM16" s="119" t="n"/>
      <c r="AN16" s="119" t="n"/>
      <c r="AO16" s="119" t="n"/>
      <c r="AP16" s="119" t="n"/>
      <c r="AQ16" s="119" t="n"/>
      <c r="AR16" s="119" t="n"/>
      <c r="AS16" s="119" t="n"/>
      <c r="AT16" s="119" t="n"/>
      <c r="AU16" s="119" t="n"/>
      <c r="AV16" s="119" t="n"/>
    </row>
    <row r="17">
      <c r="A17" s="9" t="inlineStr">
        <is>
          <t>삼일</t>
        </is>
      </c>
      <c r="B17" s="10" t="inlineStr">
        <is>
          <t>'87.11.</t>
        </is>
      </c>
      <c r="C17" s="134" t="n">
        <v>299</v>
      </c>
      <c r="D17" s="132" t="n">
        <v>66.40000000000001</v>
      </c>
      <c r="E17" s="133" t="n">
        <v>20</v>
      </c>
      <c r="F17" s="132" t="n">
        <v>55.3</v>
      </c>
      <c r="G17" s="17" t="n">
        <v>17</v>
      </c>
      <c r="H17" s="134" t="n">
        <v>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2</v>
      </c>
      <c r="R17" s="119" t="n">
        <v>1</v>
      </c>
      <c r="S17" s="119" t="inlineStr">
        <is>
          <t>계</t>
        </is>
      </c>
      <c r="T17" s="5" t="n">
        <v>66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삼일</t>
        </is>
      </c>
      <c r="B18" s="10" t="inlineStr">
        <is>
          <t>'87.11.</t>
        </is>
      </c>
      <c r="C18" s="134" t="n">
        <v>299</v>
      </c>
      <c r="D18" s="132" t="n">
        <v>71.59999999999999</v>
      </c>
      <c r="E18" s="133" t="n">
        <v>22</v>
      </c>
      <c r="F18" s="132" t="n">
        <v>59.7</v>
      </c>
      <c r="G18" s="17" t="n">
        <v>18</v>
      </c>
      <c r="H18" s="134" t="n">
        <v>28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삼일</t>
        </is>
      </c>
      <c r="B19" s="10" t="inlineStr">
        <is>
          <t>'87.11.</t>
        </is>
      </c>
      <c r="C19" s="134" t="n">
        <v>299</v>
      </c>
      <c r="D19" s="132" t="n">
        <v>78.2</v>
      </c>
      <c r="E19" s="133" t="n">
        <v>24</v>
      </c>
      <c r="F19" s="132" t="n">
        <v>59.8</v>
      </c>
      <c r="G19" s="17" t="n">
        <v>18</v>
      </c>
      <c r="H19" s="134" t="n">
        <v>266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1</v>
      </c>
      <c r="S19" s="119" t="inlineStr">
        <is>
          <t>계</t>
        </is>
      </c>
      <c r="T19" s="5" t="n">
        <v>78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n"/>
      <c r="B20" s="119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7">
        <f>IF(E20="","",E20)</f>
        <v/>
      </c>
      <c r="AJ20" s="119" t="n"/>
      <c r="AK20" s="119" t="n"/>
      <c r="AL20" s="119" t="n"/>
      <c r="AM20" s="119" t="n"/>
      <c r="AN20" s="119" t="n"/>
      <c r="AO20" s="119" t="n"/>
      <c r="AP20" s="119" t="n"/>
      <c r="AQ20" s="119" t="n"/>
      <c r="AR20" s="119" t="n"/>
      <c r="AS20" s="119" t="n"/>
      <c r="AT20" s="119" t="n"/>
      <c r="AU20" s="119" t="n"/>
      <c r="AV20" s="119" t="n"/>
    </row>
    <row r="21">
      <c r="A21" s="9" t="inlineStr">
        <is>
          <t>장자마을7단지부영</t>
        </is>
      </c>
      <c r="B21" s="10" t="inlineStr">
        <is>
          <t>'01.11.</t>
        </is>
      </c>
      <c r="C21" s="134" t="n">
        <v>725</v>
      </c>
      <c r="D21" s="132" t="n">
        <v>74.3</v>
      </c>
      <c r="E21" s="133" t="n">
        <v>22</v>
      </c>
      <c r="F21" s="132" t="n">
        <v>48.4</v>
      </c>
      <c r="G21" s="17" t="n">
        <v>15</v>
      </c>
      <c r="H21" s="134" t="n">
        <v>350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2</v>
      </c>
      <c r="R21" s="119" t="n">
        <v>1</v>
      </c>
      <c r="S21" s="119" t="inlineStr">
        <is>
          <t>복</t>
        </is>
      </c>
      <c r="T21" s="5" t="n">
        <v>74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장자마을7단지부영</t>
        </is>
      </c>
      <c r="B22" s="10" t="inlineStr">
        <is>
          <t>'01.11.</t>
        </is>
      </c>
      <c r="C22" s="134" t="n">
        <v>725</v>
      </c>
      <c r="D22" s="132" t="n">
        <v>83.09999999999999</v>
      </c>
      <c r="E22" s="133" t="n">
        <v>25</v>
      </c>
      <c r="F22" s="132" t="n">
        <v>59.3</v>
      </c>
      <c r="G22" s="17" t="n">
        <v>18</v>
      </c>
      <c r="H22" s="134" t="n">
        <v>375</v>
      </c>
      <c r="I22" s="135" t="n">
        <v>16900</v>
      </c>
      <c r="J22" s="135" t="inlineStr">
        <is>
          <t>9</t>
        </is>
      </c>
      <c r="K22" s="135" t="n">
        <v>14000</v>
      </c>
      <c r="L22" s="135" t="inlineStr">
        <is>
          <t>12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n">
        <v>83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n"/>
      <c r="B23" s="119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7">
        <f>IF(E23="","",E23)</f>
        <v/>
      </c>
      <c r="AJ23" s="119" t="n"/>
      <c r="AK23" s="119" t="n"/>
      <c r="AL23" s="119" t="n"/>
      <c r="AM23" s="119" t="n"/>
      <c r="AN23" s="119" t="n"/>
      <c r="AO23" s="119" t="n"/>
      <c r="AP23" s="119" t="n"/>
      <c r="AQ23" s="119" t="n"/>
      <c r="AR23" s="119" t="n"/>
      <c r="AS23" s="119" t="n"/>
      <c r="AT23" s="119" t="n"/>
      <c r="AU23" s="119" t="n"/>
      <c r="AV23" s="119" t="n"/>
    </row>
    <row r="24">
      <c r="A24" s="9" t="inlineStr">
        <is>
          <t>풍림</t>
        </is>
      </c>
      <c r="B24" s="10" t="inlineStr">
        <is>
          <t>'92.08.</t>
        </is>
      </c>
      <c r="C24" s="134" t="n">
        <v>327</v>
      </c>
      <c r="D24" s="132" t="n">
        <v>72.90000000000001</v>
      </c>
      <c r="E24" s="133" t="n">
        <v>22</v>
      </c>
      <c r="F24" s="132" t="n">
        <v>59.5</v>
      </c>
      <c r="G24" s="17" t="n">
        <v>18</v>
      </c>
      <c r="H24" s="134" t="n">
        <v>38</v>
      </c>
      <c r="I24" s="135" t="n">
        <v>9800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1</v>
      </c>
      <c r="S24" s="119" t="inlineStr">
        <is>
          <t>계</t>
        </is>
      </c>
      <c r="T24" s="5" t="n">
        <v>72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풍림</t>
        </is>
      </c>
      <c r="B25" s="10" t="inlineStr">
        <is>
          <t>'92.08.</t>
        </is>
      </c>
      <c r="C25" s="134" t="n">
        <v>327</v>
      </c>
      <c r="D25" s="132" t="n">
        <v>104.4</v>
      </c>
      <c r="E25" s="133" t="n">
        <v>32</v>
      </c>
      <c r="F25" s="132" t="n">
        <v>84.59999999999999</v>
      </c>
      <c r="G25" s="17" t="n">
        <v>26</v>
      </c>
      <c r="H25" s="134" t="n">
        <v>229</v>
      </c>
      <c r="I25" s="135" t="n">
        <v>14500</v>
      </c>
      <c r="J25" s="135" t="inlineStr">
        <is>
          <t>6</t>
        </is>
      </c>
      <c r="K25" s="135" t="n">
        <v>15000</v>
      </c>
      <c r="L25" s="135" t="inlineStr">
        <is>
          <t>6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104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inlineStr">
        <is>
          <t>풍림</t>
        </is>
      </c>
      <c r="B26" s="10" t="inlineStr">
        <is>
          <t>'92.08.</t>
        </is>
      </c>
      <c r="C26" s="134" t="n">
        <v>327</v>
      </c>
      <c r="D26" s="132" t="n">
        <v>162.4</v>
      </c>
      <c r="E26" s="133" t="n">
        <v>49</v>
      </c>
      <c r="F26" s="132" t="n">
        <v>136.5</v>
      </c>
      <c r="G26" s="17" t="n">
        <v>41</v>
      </c>
      <c r="H26" s="134" t="n">
        <v>60</v>
      </c>
      <c r="I26" s="135" t="n">
        <v>19000</v>
      </c>
      <c r="J26" s="135" t="inlineStr">
        <is>
          <t>10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4</v>
      </c>
      <c r="R26" s="119" t="n">
        <v>2</v>
      </c>
      <c r="S26" s="119" t="inlineStr">
        <is>
          <t>계</t>
        </is>
      </c>
      <c r="T26" s="5" t="n">
        <v>162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n"/>
      <c r="B27" s="119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7">
        <f>IF(E27="","",E27)</f>
        <v/>
      </c>
      <c r="AJ27" s="119" t="n"/>
      <c r="AK27" s="119" t="n"/>
      <c r="AL27" s="119" t="n"/>
      <c r="AM27" s="119" t="n"/>
      <c r="AN27" s="119" t="n"/>
      <c r="AO27" s="119" t="n"/>
      <c r="AP27" s="119" t="n"/>
      <c r="AQ27" s="119" t="n"/>
      <c r="AR27" s="119" t="n"/>
      <c r="AS27" s="119" t="n"/>
      <c r="AT27" s="119" t="n"/>
      <c r="AU27" s="119" t="n"/>
      <c r="AV27" s="119" t="n"/>
    </row>
    <row r="28">
      <c r="A28" s="9" t="inlineStr">
        <is>
          <t>금천우미린</t>
        </is>
      </c>
      <c r="B28" s="10" t="inlineStr">
        <is>
          <t>'14.10.</t>
        </is>
      </c>
      <c r="C28" s="134" t="n">
        <v>319</v>
      </c>
      <c r="D28" s="132" t="n">
        <v>96.7</v>
      </c>
      <c r="E28" s="133" t="n">
        <v>29</v>
      </c>
      <c r="F28" s="132" t="n">
        <v>76</v>
      </c>
      <c r="G28" s="17" t="n">
        <v>23</v>
      </c>
      <c r="H28" s="134" t="n">
        <v>15</v>
      </c>
      <c r="I28" s="135" t="n">
        <v>28500</v>
      </c>
      <c r="J28" s="135" t="inlineStr">
        <is>
          <t>9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96B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금천우미린</t>
        </is>
      </c>
      <c r="B29" s="10" t="inlineStr">
        <is>
          <t>'14.10.</t>
        </is>
      </c>
      <c r="C29" s="134" t="n">
        <v>319</v>
      </c>
      <c r="D29" s="132" t="n">
        <v>97.8</v>
      </c>
      <c r="E29" s="133" t="n">
        <v>30</v>
      </c>
      <c r="F29" s="132" t="n">
        <v>76.09999999999999</v>
      </c>
      <c r="G29" s="17" t="n">
        <v>23</v>
      </c>
      <c r="H29" s="134" t="n">
        <v>234</v>
      </c>
      <c r="I29" s="135" t="n">
        <v>27000</v>
      </c>
      <c r="J29" s="135" t="inlineStr">
        <is>
          <t>10</t>
        </is>
      </c>
      <c r="K29" s="135" t="n">
        <v>22000</v>
      </c>
      <c r="L29" s="135" t="inlineStr">
        <is>
          <t>14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금천우미린</t>
        </is>
      </c>
      <c r="B30" s="10" t="inlineStr">
        <is>
          <t>'14.10.</t>
        </is>
      </c>
      <c r="C30" s="134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28000</v>
      </c>
      <c r="J30" s="135" t="inlineStr">
        <is>
          <t>5</t>
        </is>
      </c>
      <c r="K30" s="135" t="n">
        <v>23000</v>
      </c>
      <c r="L30" s="135" t="inlineStr">
        <is>
          <t>5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금천우미린</t>
        </is>
      </c>
      <c r="B31" s="10" t="inlineStr">
        <is>
          <t>'14.10.</t>
        </is>
      </c>
      <c r="C31" s="134" t="n">
        <v>319</v>
      </c>
      <c r="D31" s="132" t="n">
        <v>111</v>
      </c>
      <c r="E31" s="133" t="n">
        <v>34</v>
      </c>
      <c r="F31" s="132" t="n">
        <v>85</v>
      </c>
      <c r="G31" s="17" t="n">
        <v>26</v>
      </c>
      <c r="H31" s="134" t="n">
        <v>28</v>
      </c>
      <c r="I31" s="135" t="n">
        <v>30000</v>
      </c>
      <c r="J31" s="135" t="inlineStr">
        <is>
          <t>6</t>
        </is>
      </c>
      <c r="K31" s="135" t="n">
        <v>24000</v>
      </c>
      <c r="L31" s="135" t="inlineStr">
        <is>
          <t>12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n"/>
      <c r="B32" s="119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8" t="n"/>
      <c r="U32" s="9" t="n"/>
      <c r="W32" s="70">
        <f>$A$4&amp;" "&amp;A33&amp;"("&amp;B33&amp;","&amp;C33&amp;"^)"</f>
        <v/>
      </c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H32" s="20">
        <f>IF(A32="","",A32)</f>
        <v/>
      </c>
      <c r="AI32" s="157">
        <f>IF(E32="","",E32)</f>
        <v/>
      </c>
      <c r="AJ32" s="119" t="n"/>
      <c r="AK32" s="119" t="n"/>
      <c r="AL32" s="119" t="n"/>
      <c r="AM32" s="119" t="n"/>
      <c r="AN32" s="119" t="n"/>
      <c r="AO32" s="119" t="n"/>
      <c r="AP32" s="119" t="n"/>
      <c r="AQ32" s="119" t="n"/>
      <c r="AR32" s="119" t="n"/>
      <c r="AS32" s="119" t="n"/>
      <c r="AT32" s="119" t="n"/>
      <c r="AU32" s="119" t="n"/>
      <c r="AV32" s="119" t="n"/>
    </row>
    <row r="33">
      <c r="A33" s="9" t="inlineStr">
        <is>
          <t>장자마을9단지부영</t>
        </is>
      </c>
      <c r="B33" s="10" t="inlineStr">
        <is>
          <t>'02.08.</t>
        </is>
      </c>
      <c r="C33" s="134" t="n">
        <v>456</v>
      </c>
      <c r="D33" s="132" t="n">
        <v>75.2</v>
      </c>
      <c r="E33" s="133" t="n">
        <v>23</v>
      </c>
      <c r="F33" s="132" t="n">
        <v>48.4</v>
      </c>
      <c r="G33" s="17" t="n">
        <v>15</v>
      </c>
      <c r="H33" s="134" t="n">
        <v>72</v>
      </c>
      <c r="I33" s="135" t="n">
        <v>15000</v>
      </c>
      <c r="J33" s="135" t="inlineStr">
        <is>
          <t>14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2</v>
      </c>
      <c r="R33" s="119" t="n">
        <v>1</v>
      </c>
      <c r="S33" s="119" t="inlineStr">
        <is>
          <t>복</t>
        </is>
      </c>
      <c r="T33" s="5" t="n">
        <v>75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장자마을9단지부영</t>
        </is>
      </c>
      <c r="B34" s="10" t="inlineStr">
        <is>
          <t>'02.08.</t>
        </is>
      </c>
      <c r="C34" s="134" t="n">
        <v>456</v>
      </c>
      <c r="D34" s="132" t="n">
        <v>82.59999999999999</v>
      </c>
      <c r="E34" s="133" t="n">
        <v>25</v>
      </c>
      <c r="F34" s="132" t="n">
        <v>59.3</v>
      </c>
      <c r="G34" s="17" t="n">
        <v>18</v>
      </c>
      <c r="H34" s="134" t="n">
        <v>384</v>
      </c>
      <c r="I34" s="135" t="n">
        <v>16500</v>
      </c>
      <c r="J34" s="135" t="inlineStr">
        <is>
          <t>고</t>
        </is>
      </c>
      <c r="K34" s="135" t="n">
        <v>15500</v>
      </c>
      <c r="L34" s="135" t="inlineStr">
        <is>
          <t>9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복</t>
        </is>
      </c>
      <c r="T34" s="5" t="n">
        <v>82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n"/>
      <c r="B35" s="119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8" t="n"/>
      <c r="U35" s="9" t="n"/>
      <c r="W35" s="70">
        <f>$A$4&amp;" "&amp;A36&amp;"("&amp;B36&amp;","&amp;C36&amp;"^)"</f>
        <v/>
      </c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H35" s="20">
        <f>IF(A35="","",A35)</f>
        <v/>
      </c>
      <c r="AI35" s="157">
        <f>IF(E35="","",E35)</f>
        <v/>
      </c>
      <c r="AJ35" s="119" t="n"/>
      <c r="AK35" s="119" t="n"/>
      <c r="AL35" s="119" t="n"/>
      <c r="AM35" s="119" t="n"/>
      <c r="AN35" s="119" t="n"/>
      <c r="AO35" s="119" t="n"/>
      <c r="AP35" s="119" t="n"/>
      <c r="AQ35" s="119" t="n"/>
      <c r="AR35" s="119" t="n"/>
      <c r="AS35" s="119" t="n"/>
      <c r="AT35" s="119" t="n"/>
      <c r="AU35" s="119" t="n"/>
      <c r="AV35" s="119" t="n"/>
    </row>
    <row r="36">
      <c r="A36" s="9" t="inlineStr">
        <is>
          <t>장자마을10단지부영</t>
        </is>
      </c>
      <c r="B36" s="10" t="inlineStr">
        <is>
          <t>'02.08.</t>
        </is>
      </c>
      <c r="C36" s="134" t="n">
        <v>330</v>
      </c>
      <c r="D36" s="132" t="n">
        <v>106.3</v>
      </c>
      <c r="E36" s="133" t="n">
        <v>32</v>
      </c>
      <c r="F36" s="132" t="n">
        <v>85</v>
      </c>
      <c r="G36" s="17" t="n">
        <v>26</v>
      </c>
      <c r="H36" s="134" t="n">
        <v>330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3</v>
      </c>
      <c r="R36" s="119" t="n">
        <v>2</v>
      </c>
      <c r="S36" s="119" t="inlineStr">
        <is>
          <t>계</t>
        </is>
      </c>
      <c r="T36" s="5" t="n">
        <v>106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>
      <c r="A37" s="9" t="n"/>
      <c r="B37" s="119" t="n"/>
      <c r="C37" s="6" t="n"/>
      <c r="D37" s="9" t="n"/>
      <c r="E37" s="14" t="n"/>
      <c r="F37" s="132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7" t="n"/>
      <c r="P37" s="137" t="n"/>
      <c r="Q37" s="133" t="n"/>
      <c r="R37" s="133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7">
        <f>IF(E37="","",E37)</f>
        <v/>
      </c>
      <c r="AJ37" s="119" t="n"/>
      <c r="AK37" s="119" t="n"/>
      <c r="AL37" s="119" t="n"/>
      <c r="AM37" s="119" t="n"/>
      <c r="AN37" s="119" t="n"/>
      <c r="AO37" s="119" t="n"/>
      <c r="AP37" s="119" t="n"/>
      <c r="AQ37" s="119" t="n"/>
      <c r="AR37" s="119" t="n"/>
      <c r="AS37" s="119" t="n"/>
      <c r="AT37" s="119" t="n"/>
      <c r="AU37" s="119" t="n"/>
      <c r="AV37" s="119" t="n"/>
    </row>
    <row r="38">
      <c r="A38" s="9" t="inlineStr">
        <is>
          <t>금천경희</t>
        </is>
      </c>
      <c r="B38" s="10" t="inlineStr">
        <is>
          <t>'97.09.</t>
        </is>
      </c>
      <c r="C38" s="134" t="n">
        <v>470</v>
      </c>
      <c r="D38" s="132" t="n">
        <v>47.3</v>
      </c>
      <c r="E38" s="133" t="n">
        <v>14</v>
      </c>
      <c r="F38" s="132" t="n">
        <v>31.2</v>
      </c>
      <c r="G38" s="17" t="n">
        <v>9</v>
      </c>
      <c r="H38" s="134" t="n">
        <v>381</v>
      </c>
      <c r="I38" s="135" t="n">
        <v>4100</v>
      </c>
      <c r="J38" s="135" t="inlineStr">
        <is>
          <t>14</t>
        </is>
      </c>
      <c r="K38" s="135" t="n">
        <v>3700</v>
      </c>
      <c r="L38" s="135" t="inlineStr">
        <is>
          <t>10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1</v>
      </c>
      <c r="R38" s="119" t="n">
        <v>1</v>
      </c>
      <c r="S38" s="119" t="inlineStr">
        <is>
          <t>복</t>
        </is>
      </c>
      <c r="T38" s="5" t="n">
        <v>47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금천경희</t>
        </is>
      </c>
      <c r="B39" s="10" t="inlineStr">
        <is>
          <t>'97.09.</t>
        </is>
      </c>
      <c r="C39" s="134" t="n">
        <v>470</v>
      </c>
      <c r="D39" s="132" t="n">
        <v>76.8</v>
      </c>
      <c r="E39" s="133" t="n">
        <v>23</v>
      </c>
      <c r="F39" s="132" t="n">
        <v>59.9</v>
      </c>
      <c r="G39" s="17" t="n">
        <v>18</v>
      </c>
      <c r="H39" s="134" t="n">
        <v>89</v>
      </c>
      <c r="I39" s="135" t="n">
        <v>12000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1</v>
      </c>
      <c r="S39" s="119" t="inlineStr">
        <is>
          <t>계</t>
        </is>
      </c>
      <c r="T39" s="5" t="n">
        <v>76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n"/>
      <c r="B40" s="119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8" t="n"/>
      <c r="U40" s="9" t="n"/>
      <c r="W40" s="70">
        <f>$A$4&amp;" "&amp;A41&amp;"("&amp;B41&amp;","&amp;C41&amp;"^)"</f>
        <v/>
      </c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H40" s="20">
        <f>IF(A40="","",A40)</f>
        <v/>
      </c>
      <c r="AI40" s="157">
        <f>IF(E40="","",E40)</f>
        <v/>
      </c>
      <c r="AJ40" s="119" t="n"/>
      <c r="AK40" s="119" t="n"/>
      <c r="AL40" s="119" t="n"/>
      <c r="AM40" s="119" t="n"/>
      <c r="AN40" s="119" t="n"/>
      <c r="AO40" s="119" t="n"/>
      <c r="AP40" s="119" t="n"/>
      <c r="AQ40" s="119" t="n"/>
      <c r="AR40" s="119" t="n"/>
      <c r="AS40" s="119" t="n"/>
      <c r="AT40" s="119" t="n"/>
      <c r="AU40" s="119" t="n"/>
      <c r="AV40" s="119" t="n"/>
    </row>
    <row r="41">
      <c r="A41" s="9" t="inlineStr">
        <is>
          <t>장자마을6단지부영그린타운2차</t>
        </is>
      </c>
      <c r="B41" s="10" t="inlineStr">
        <is>
          <t>'05.11.</t>
        </is>
      </c>
      <c r="C41" s="134" t="n">
        <v>320</v>
      </c>
      <c r="D41" s="132" t="n">
        <v>116.9</v>
      </c>
      <c r="E41" s="133" t="n">
        <v>35</v>
      </c>
      <c r="F41" s="132" t="n">
        <v>84.90000000000001</v>
      </c>
      <c r="G41" s="17" t="n">
        <v>26</v>
      </c>
      <c r="H41" s="134" t="n">
        <v>320</v>
      </c>
      <c r="I41" s="135" t="n">
        <v>25000</v>
      </c>
      <c r="J41" s="135" t="inlineStr">
        <is>
          <t>6</t>
        </is>
      </c>
      <c r="K41" s="135" t="n">
        <v>20000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n">
        <v>116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>
      <c r="A42" s="9" t="n"/>
      <c r="B42" s="119" t="n"/>
      <c r="C42" s="6" t="n"/>
      <c r="D42" s="9" t="n"/>
      <c r="E42" s="14" t="n"/>
      <c r="F42" s="132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7" t="n"/>
      <c r="P42" s="137" t="n"/>
      <c r="Q42" s="133" t="n"/>
      <c r="R42" s="133" t="n"/>
      <c r="S42" s="9" t="n"/>
      <c r="T42" s="48" t="n"/>
      <c r="U42" s="9" t="n"/>
      <c r="W42" s="70">
        <f>$A$4&amp;" "&amp;A43&amp;"("&amp;B43&amp;","&amp;C43&amp;"^)"</f>
        <v/>
      </c>
      <c r="X42" s="71" t="n"/>
      <c r="Y42" s="71" t="n"/>
      <c r="Z42" s="71" t="n"/>
      <c r="AA42" s="71" t="n"/>
      <c r="AB42" s="71" t="n"/>
      <c r="AC42" s="71" t="n"/>
      <c r="AD42" s="71" t="n"/>
      <c r="AE42" s="71" t="n"/>
      <c r="AF42" s="72" t="n"/>
      <c r="AH42" s="20">
        <f>IF(A42="","",A42)</f>
        <v/>
      </c>
      <c r="AI42" s="157">
        <f>IF(E42="","",E42)</f>
        <v/>
      </c>
      <c r="AJ42" s="119" t="n"/>
      <c r="AK42" s="119" t="n"/>
      <c r="AL42" s="119" t="n"/>
      <c r="AM42" s="119" t="n"/>
      <c r="AN42" s="119" t="n"/>
      <c r="AO42" s="119" t="n"/>
      <c r="AP42" s="119" t="n"/>
      <c r="AQ42" s="119" t="n"/>
      <c r="AR42" s="119" t="n"/>
      <c r="AS42" s="119" t="n"/>
      <c r="AT42" s="119" t="n"/>
      <c r="AU42" s="119" t="n"/>
      <c r="AV42" s="119" t="n"/>
    </row>
    <row r="43">
      <c r="A43" s="9" t="inlineStr">
        <is>
          <t>장자마을8단지부영</t>
        </is>
      </c>
      <c r="B43" s="10" t="inlineStr">
        <is>
          <t>'02.12.</t>
        </is>
      </c>
      <c r="C43" s="134" t="n">
        <v>663</v>
      </c>
      <c r="D43" s="132" t="n">
        <v>113.4</v>
      </c>
      <c r="E43" s="133" t="n">
        <v>34</v>
      </c>
      <c r="F43" s="132" t="n">
        <v>85</v>
      </c>
      <c r="G43" s="17" t="n">
        <v>26</v>
      </c>
      <c r="H43" s="134" t="n">
        <v>663</v>
      </c>
      <c r="I43" s="135" t="n">
        <v>21000</v>
      </c>
      <c r="J43" s="135" t="inlineStr">
        <is>
          <t>10</t>
        </is>
      </c>
      <c r="K43" s="135" t="n">
        <v>19000</v>
      </c>
      <c r="L43" s="135" t="inlineStr">
        <is>
          <t>10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113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n"/>
      <c r="B44" s="119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8" t="n"/>
      <c r="U44" s="9" t="n"/>
      <c r="W44" s="70">
        <f>$A$4&amp;" "&amp;A45&amp;"("&amp;B45&amp;","&amp;C45&amp;"^)"</f>
        <v/>
      </c>
      <c r="X44" s="71" t="n"/>
      <c r="Y44" s="71" t="n"/>
      <c r="Z44" s="71" t="n"/>
      <c r="AA44" s="71" t="n"/>
      <c r="AB44" s="71" t="n"/>
      <c r="AC44" s="71" t="n"/>
      <c r="AD44" s="71" t="n"/>
      <c r="AE44" s="71" t="n"/>
      <c r="AF44" s="72" t="n"/>
      <c r="AH44" s="20">
        <f>IF(A44="","",A44)</f>
        <v/>
      </c>
      <c r="AI44" s="157">
        <f>IF(E44="","",E44)</f>
        <v/>
      </c>
      <c r="AJ44" s="119" t="n"/>
      <c r="AK44" s="119" t="n"/>
      <c r="AL44" s="119" t="n"/>
      <c r="AM44" s="119" t="n"/>
      <c r="AN44" s="119" t="n"/>
      <c r="AO44" s="119" t="n"/>
      <c r="AP44" s="119" t="n"/>
      <c r="AQ44" s="119" t="n"/>
      <c r="AR44" s="119" t="n"/>
      <c r="AS44" s="119" t="n"/>
      <c r="AT44" s="119" t="n"/>
      <c r="AU44" s="119" t="n"/>
      <c r="AV44" s="119" t="n"/>
    </row>
    <row r="45">
      <c r="A45" s="9" t="inlineStr">
        <is>
          <t>장자마을5단지부영</t>
        </is>
      </c>
      <c r="B45" s="10" t="inlineStr">
        <is>
          <t>'03.04.</t>
        </is>
      </c>
      <c r="C45" s="134" t="n">
        <v>379</v>
      </c>
      <c r="D45" s="132" t="n">
        <v>114.1</v>
      </c>
      <c r="E45" s="133" t="n">
        <v>35</v>
      </c>
      <c r="F45" s="132" t="n">
        <v>85</v>
      </c>
      <c r="G45" s="17" t="n">
        <v>26</v>
      </c>
      <c r="H45" s="134" t="n">
        <v>379</v>
      </c>
      <c r="I45" s="135" t="n">
        <v>22000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114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>
      <c r="A46" s="9" t="n"/>
      <c r="B46" s="119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7">
        <f>IF(E46="","",E46)</f>
        <v/>
      </c>
      <c r="AJ46" s="119" t="n"/>
      <c r="AK46" s="119" t="n"/>
      <c r="AL46" s="119" t="n"/>
      <c r="AM46" s="119" t="n"/>
      <c r="AN46" s="119" t="n"/>
      <c r="AO46" s="119" t="n"/>
      <c r="AP46" s="119" t="n"/>
      <c r="AQ46" s="119" t="n"/>
      <c r="AR46" s="119" t="n"/>
      <c r="AS46" s="119" t="n"/>
      <c r="AT46" s="119" t="n"/>
      <c r="AU46" s="119" t="n"/>
      <c r="AV46" s="119" t="n"/>
    </row>
    <row r="47">
      <c r="A47" s="9" t="inlineStr">
        <is>
          <t>금천뉴타운</t>
        </is>
      </c>
      <c r="B47" s="10" t="inlineStr">
        <is>
          <t>'93.05.</t>
        </is>
      </c>
      <c r="C47" s="134" t="n">
        <v>783</v>
      </c>
      <c r="D47" s="132" t="n">
        <v>74.59999999999999</v>
      </c>
      <c r="E47" s="133" t="n">
        <v>23</v>
      </c>
      <c r="F47" s="132" t="n">
        <v>60</v>
      </c>
      <c r="G47" s="17" t="n">
        <v>18</v>
      </c>
      <c r="H47" s="134" t="n">
        <v>286</v>
      </c>
      <c r="I47" s="135" t="n">
        <v>10500</v>
      </c>
      <c r="J47" s="135" t="inlineStr">
        <is>
          <t>7</t>
        </is>
      </c>
      <c r="K47" s="135" t="n">
        <v>10000</v>
      </c>
      <c r="L47" s="135" t="inlineStr">
        <is>
          <t>9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1</v>
      </c>
      <c r="S47" s="119" t="inlineStr">
        <is>
          <t>계</t>
        </is>
      </c>
      <c r="T47" s="5" t="n">
        <v>74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금천뉴타운</t>
        </is>
      </c>
      <c r="B48" s="10" t="inlineStr">
        <is>
          <t>'93.05.</t>
        </is>
      </c>
      <c r="C48" s="134" t="n">
        <v>783</v>
      </c>
      <c r="D48" s="132" t="n">
        <v>102.4</v>
      </c>
      <c r="E48" s="133" t="n">
        <v>31</v>
      </c>
      <c r="F48" s="132" t="n">
        <v>84.90000000000001</v>
      </c>
      <c r="G48" s="17" t="n">
        <v>26</v>
      </c>
      <c r="H48" s="134" t="n">
        <v>325</v>
      </c>
      <c r="I48" s="135" t="n">
        <v>16500</v>
      </c>
      <c r="J48" s="135" t="inlineStr">
        <is>
          <t>12</t>
        </is>
      </c>
      <c r="K48" s="135" t="n">
        <v>16000</v>
      </c>
      <c r="L48" s="135" t="inlineStr">
        <is>
          <t>8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102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금천뉴타운</t>
        </is>
      </c>
      <c r="B49" s="10" t="inlineStr">
        <is>
          <t>'93.05.</t>
        </is>
      </c>
      <c r="C49" s="134" t="n">
        <v>783</v>
      </c>
      <c r="D49" s="132" t="n">
        <v>157.2</v>
      </c>
      <c r="E49" s="133" t="n">
        <v>48</v>
      </c>
      <c r="F49" s="132" t="n">
        <v>134.6</v>
      </c>
      <c r="G49" s="17" t="n">
        <v>41</v>
      </c>
      <c r="H49" s="134" t="n">
        <v>120</v>
      </c>
      <c r="I49" s="135" t="n">
        <v>22000</v>
      </c>
      <c r="J49" s="135" t="inlineStr">
        <is>
          <t>6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157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inlineStr">
        <is>
          <t>금천뉴타운</t>
        </is>
      </c>
      <c r="B50" s="10" t="inlineStr">
        <is>
          <t>'93.05.</t>
        </is>
      </c>
      <c r="C50" s="134" t="n">
        <v>783</v>
      </c>
      <c r="D50" s="132" t="n">
        <v>190.2</v>
      </c>
      <c r="E50" s="133" t="n">
        <v>58</v>
      </c>
      <c r="F50" s="132" t="n">
        <v>164.4</v>
      </c>
      <c r="G50" s="17" t="n">
        <v>50</v>
      </c>
      <c r="H50" s="134" t="n">
        <v>52</v>
      </c>
      <c r="I50" s="135" t="n">
        <v>24500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5</v>
      </c>
      <c r="R50" s="119" t="n">
        <v>2</v>
      </c>
      <c r="S50" s="119" t="inlineStr">
        <is>
          <t>계</t>
        </is>
      </c>
      <c r="T50" s="5" t="n">
        <v>190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>
      <c r="A51" s="9" t="n"/>
      <c r="B51" s="119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8" t="n"/>
      <c r="U51" s="9" t="n"/>
      <c r="W51" s="70">
        <f>$A$4&amp;" "&amp;A52&amp;"("&amp;B52&amp;","&amp;C52&amp;"^)"</f>
        <v/>
      </c>
      <c r="X51" s="71" t="n"/>
      <c r="Y51" s="71" t="n"/>
      <c r="Z51" s="71" t="n"/>
      <c r="AA51" s="71" t="n"/>
      <c r="AB51" s="71" t="n"/>
      <c r="AC51" s="71" t="n"/>
      <c r="AD51" s="71" t="n"/>
      <c r="AE51" s="71" t="n"/>
      <c r="AF51" s="72" t="n"/>
      <c r="AH51" s="20">
        <f>IF(A51="","",A51)</f>
        <v/>
      </c>
      <c r="AI51" s="157">
        <f>IF(E51="","",E51)</f>
        <v/>
      </c>
      <c r="AJ51" s="119" t="n"/>
      <c r="AK51" s="119" t="n"/>
      <c r="AL51" s="119" t="n"/>
      <c r="AM51" s="119" t="n"/>
      <c r="AN51" s="119" t="n"/>
      <c r="AO51" s="119" t="n"/>
      <c r="AP51" s="119" t="n"/>
      <c r="AQ51" s="119" t="n"/>
      <c r="AR51" s="119" t="n"/>
      <c r="AS51" s="119" t="n"/>
      <c r="AT51" s="119" t="n"/>
      <c r="AU51" s="119" t="n"/>
      <c r="AV51" s="119" t="n"/>
    </row>
    <row r="52">
      <c r="A52" s="9" t="inlineStr">
        <is>
          <t>효성1차</t>
        </is>
      </c>
      <c r="B52" s="10" t="inlineStr">
        <is>
          <t>'98.08.</t>
        </is>
      </c>
      <c r="C52" s="134" t="n">
        <v>495</v>
      </c>
      <c r="D52" s="132" t="n">
        <v>39.1</v>
      </c>
      <c r="E52" s="133" t="n">
        <v>12</v>
      </c>
      <c r="F52" s="132" t="n">
        <v>27.3</v>
      </c>
      <c r="G52" s="17" t="n">
        <v>8</v>
      </c>
      <c r="H52" s="134" t="n">
        <v>300</v>
      </c>
      <c r="I52" s="135" t="n">
        <v>3500</v>
      </c>
      <c r="J52" s="135" t="inlineStr">
        <is>
          <t>11</t>
        </is>
      </c>
      <c r="K52" s="135" t="n">
        <v>2700</v>
      </c>
      <c r="L52" s="135" t="inlineStr">
        <is>
          <t>6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1</v>
      </c>
      <c r="R52" s="119" t="n">
        <v>1</v>
      </c>
      <c r="S52" s="119" t="inlineStr">
        <is>
          <t>복</t>
        </is>
      </c>
      <c r="T52" s="5" t="n">
        <v>39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inlineStr">
        <is>
          <t>효성1차</t>
        </is>
      </c>
      <c r="B53" s="10" t="inlineStr">
        <is>
          <t>'98.08.</t>
        </is>
      </c>
      <c r="C53" s="134" t="n">
        <v>495</v>
      </c>
      <c r="D53" s="132" t="n">
        <v>85.90000000000001</v>
      </c>
      <c r="E53" s="133" t="n">
        <v>26</v>
      </c>
      <c r="F53" s="132" t="n">
        <v>59.9</v>
      </c>
      <c r="G53" s="17" t="n">
        <v>18</v>
      </c>
      <c r="H53" s="134" t="n">
        <v>45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1</v>
      </c>
      <c r="S53" s="119" t="inlineStr">
        <is>
          <t>복</t>
        </is>
      </c>
      <c r="T53" s="5" t="n">
        <v>85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>
      <c r="A54" s="9" t="inlineStr">
        <is>
          <t>효성1차</t>
        </is>
      </c>
      <c r="B54" s="10" t="inlineStr">
        <is>
          <t>'98.08.</t>
        </is>
      </c>
      <c r="C54" s="134" t="n">
        <v>495</v>
      </c>
      <c r="D54" s="132" t="n">
        <v>103.6</v>
      </c>
      <c r="E54" s="133" t="n">
        <v>31</v>
      </c>
      <c r="F54" s="132" t="n">
        <v>85</v>
      </c>
      <c r="G54" s="17" t="n">
        <v>26</v>
      </c>
      <c r="H54" s="134" t="n">
        <v>150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n"/>
      <c r="B55" s="119" t="n"/>
      <c r="C55" s="6" t="n"/>
      <c r="D55" s="9" t="n"/>
      <c r="E55" s="14" t="n"/>
      <c r="F55" s="132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7" t="n"/>
      <c r="P55" s="137" t="n"/>
      <c r="Q55" s="133" t="n"/>
      <c r="R55" s="133" t="n"/>
      <c r="S55" s="9" t="n"/>
      <c r="T55" s="48" t="n"/>
      <c r="U55" s="9" t="n"/>
      <c r="W55" s="70">
        <f>$A$4&amp;" "&amp;A56&amp;"("&amp;B56&amp;","&amp;C56&amp;"^)"</f>
        <v/>
      </c>
      <c r="X55" s="71" t="n"/>
      <c r="Y55" s="71" t="n"/>
      <c r="Z55" s="71" t="n"/>
      <c r="AA55" s="71" t="n"/>
      <c r="AB55" s="71" t="n"/>
      <c r="AC55" s="71" t="n"/>
      <c r="AD55" s="71" t="n"/>
      <c r="AE55" s="71" t="n"/>
      <c r="AF55" s="72" t="n"/>
      <c r="AH55" s="20">
        <f>IF(A55="","",A55)</f>
        <v/>
      </c>
      <c r="AI55" s="157">
        <f>IF(E55="","",E55)</f>
        <v/>
      </c>
      <c r="AJ55" s="119" t="n"/>
      <c r="AK55" s="119" t="n"/>
      <c r="AL55" s="119" t="n"/>
      <c r="AM55" s="119" t="n"/>
      <c r="AN55" s="119" t="n"/>
      <c r="AO55" s="119" t="n"/>
      <c r="AP55" s="119" t="n"/>
      <c r="AQ55" s="119" t="n"/>
      <c r="AR55" s="119" t="n"/>
      <c r="AS55" s="119" t="n"/>
      <c r="AT55" s="119" t="n"/>
      <c r="AU55" s="119" t="n"/>
      <c r="AV55" s="119" t="n"/>
    </row>
    <row r="56">
      <c r="A56" s="9" t="inlineStr">
        <is>
          <t>청주금천센트럴파크스타힐스</t>
        </is>
      </c>
      <c r="B56" s="10" t="inlineStr">
        <is>
          <t>'20.11.</t>
        </is>
      </c>
      <c r="C56" s="134" t="n">
        <v>749</v>
      </c>
      <c r="D56" s="132" t="n">
        <v>92.59999999999999</v>
      </c>
      <c r="E56" s="133" t="n">
        <v>28</v>
      </c>
      <c r="F56" s="132" t="n">
        <v>67.7</v>
      </c>
      <c r="G56" s="17" t="n">
        <v>20</v>
      </c>
      <c r="H56" s="134" t="n">
        <v>272</v>
      </c>
      <c r="I56" s="135" t="n">
        <v>26000</v>
      </c>
      <c r="J56" s="135" t="inlineStr">
        <is>
          <t>5</t>
        </is>
      </c>
      <c r="K56" s="135" t="n">
        <v>22000</v>
      </c>
      <c r="L56" s="135" t="inlineStr">
        <is>
          <t>17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inlineStr">
        <is>
          <t>92A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>
      <c r="A57" s="9" t="inlineStr">
        <is>
          <t>청주금천센트럴파크스타힐스</t>
        </is>
      </c>
      <c r="B57" s="10" t="inlineStr">
        <is>
          <t>'20.11.</t>
        </is>
      </c>
      <c r="C57" s="134" t="n">
        <v>749</v>
      </c>
      <c r="D57" s="132" t="n">
        <v>92.59999999999999</v>
      </c>
      <c r="E57" s="133" t="n">
        <v>28</v>
      </c>
      <c r="F57" s="132" t="n">
        <v>67.7</v>
      </c>
      <c r="G57" s="17" t="n">
        <v>20</v>
      </c>
      <c r="H57" s="134" t="n">
        <v>94</v>
      </c>
      <c r="I57" s="135" t="n">
        <v>26000</v>
      </c>
      <c r="J57" s="135" t="inlineStr">
        <is>
          <t>5</t>
        </is>
      </c>
      <c r="K57" s="135" t="n">
        <v>22000</v>
      </c>
      <c r="L57" s="135" t="inlineStr">
        <is>
          <t>17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92B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청주금천센트럴파크스타힐스</t>
        </is>
      </c>
      <c r="B58" s="10" t="inlineStr">
        <is>
          <t>'20.11.</t>
        </is>
      </c>
      <c r="C58" s="134" t="n">
        <v>749</v>
      </c>
      <c r="D58" s="132" t="n">
        <v>104.2</v>
      </c>
      <c r="E58" s="133" t="n">
        <v>32</v>
      </c>
      <c r="F58" s="132" t="n">
        <v>76.90000000000001</v>
      </c>
      <c r="G58" s="17" t="n">
        <v>23</v>
      </c>
      <c r="H58" s="134" t="n">
        <v>54</v>
      </c>
      <c r="I58" s="135" t="n">
        <v>34000</v>
      </c>
      <c r="J58" s="135" t="inlineStr">
        <is>
          <t>17</t>
        </is>
      </c>
      <c r="K58" s="135" t="n">
        <v>24000</v>
      </c>
      <c r="L58" s="135" t="inlineStr">
        <is>
          <t>17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104A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청주금천센트럴파크스타힐스</t>
        </is>
      </c>
      <c r="B59" s="10" t="inlineStr">
        <is>
          <t>'20.11.</t>
        </is>
      </c>
      <c r="C59" s="134" t="n">
        <v>749</v>
      </c>
      <c r="D59" s="132" t="n">
        <v>104.2</v>
      </c>
      <c r="E59" s="133" t="n">
        <v>32</v>
      </c>
      <c r="F59" s="132" t="n">
        <v>76.90000000000001</v>
      </c>
      <c r="G59" s="17" t="n">
        <v>23</v>
      </c>
      <c r="H59" s="134" t="n">
        <v>27</v>
      </c>
      <c r="I59" s="135" t="n">
        <v>34000</v>
      </c>
      <c r="J59" s="135" t="inlineStr">
        <is>
          <t>17</t>
        </is>
      </c>
      <c r="K59" s="135" t="n">
        <v>24000</v>
      </c>
      <c r="L59" s="135" t="inlineStr">
        <is>
          <t>17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104B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청주금천센트럴파크스타힐스</t>
        </is>
      </c>
      <c r="B60" s="10" t="inlineStr">
        <is>
          <t>'20.11.</t>
        </is>
      </c>
      <c r="C60" s="134" t="n">
        <v>749</v>
      </c>
      <c r="D60" s="132" t="n">
        <v>114.5</v>
      </c>
      <c r="E60" s="133" t="n">
        <v>35</v>
      </c>
      <c r="F60" s="132" t="n">
        <v>84.7</v>
      </c>
      <c r="G60" s="17" t="n">
        <v>26</v>
      </c>
      <c r="H60" s="134" t="n">
        <v>222</v>
      </c>
      <c r="I60" s="135" t="n">
        <v>35500</v>
      </c>
      <c r="J60" s="135" t="inlineStr">
        <is>
          <t>17</t>
        </is>
      </c>
      <c r="K60" s="135" t="n">
        <v>22500</v>
      </c>
      <c r="L60" s="135" t="inlineStr">
        <is>
          <t>11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114A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청주금천센트럴파크스타힐스</t>
        </is>
      </c>
      <c r="B61" s="10" t="inlineStr">
        <is>
          <t>'20.11.</t>
        </is>
      </c>
      <c r="C61" s="134" t="n">
        <v>749</v>
      </c>
      <c r="D61" s="132" t="n">
        <v>114.5</v>
      </c>
      <c r="E61" s="133" t="n">
        <v>35</v>
      </c>
      <c r="F61" s="132" t="n">
        <v>84.7</v>
      </c>
      <c r="G61" s="17" t="n">
        <v>26</v>
      </c>
      <c r="H61" s="134" t="n">
        <v>80</v>
      </c>
      <c r="I61" s="135" t="n">
        <v>35500</v>
      </c>
      <c r="J61" s="135" t="inlineStr">
        <is>
          <t>17</t>
        </is>
      </c>
      <c r="K61" s="135" t="n">
        <v>22500</v>
      </c>
      <c r="L61" s="135" t="inlineStr">
        <is>
          <t>11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114B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n"/>
      <c r="B62" s="119" t="n"/>
      <c r="C62" s="6" t="n"/>
      <c r="D62" s="9" t="n"/>
      <c r="E62" s="14" t="n"/>
      <c r="F62" s="132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7" t="n"/>
      <c r="P62" s="137" t="n"/>
      <c r="Q62" s="133" t="n"/>
      <c r="R62" s="133" t="n"/>
      <c r="S62" s="9" t="n"/>
      <c r="T62" s="48" t="n"/>
      <c r="U62" s="9" t="n"/>
      <c r="W62" s="70">
        <f>$A$4&amp;" "&amp;A63&amp;"("&amp;B63&amp;","&amp;C63&amp;"^)"</f>
        <v/>
      </c>
      <c r="X62" s="71" t="n"/>
      <c r="Y62" s="71" t="n"/>
      <c r="Z62" s="71" t="n"/>
      <c r="AA62" s="71" t="n"/>
      <c r="AB62" s="71" t="n"/>
      <c r="AC62" s="71" t="n"/>
      <c r="AD62" s="71" t="n"/>
      <c r="AE62" s="71" t="n"/>
      <c r="AF62" s="72" t="n"/>
      <c r="AH62" s="20">
        <f>IF(A62="","",A62)</f>
        <v/>
      </c>
      <c r="AI62" s="157">
        <f>IF(E62="","",E62)</f>
        <v/>
      </c>
      <c r="AJ62" s="119" t="n"/>
      <c r="AK62" s="119" t="n"/>
      <c r="AL62" s="119" t="n"/>
      <c r="AM62" s="119" t="n"/>
      <c r="AN62" s="119" t="n"/>
      <c r="AO62" s="119" t="n"/>
      <c r="AP62" s="119" t="n"/>
      <c r="AQ62" s="119" t="n"/>
      <c r="AR62" s="119" t="n"/>
      <c r="AS62" s="119" t="n"/>
      <c r="AT62" s="119" t="n"/>
      <c r="AU62" s="119" t="n"/>
      <c r="AV62" s="119" t="n"/>
    </row>
    <row r="63">
      <c r="A63" s="9" t="inlineStr">
        <is>
          <t>장자마을1단지부영</t>
        </is>
      </c>
      <c r="B63" s="10" t="inlineStr">
        <is>
          <t>'04.06.</t>
        </is>
      </c>
      <c r="C63" s="134" t="n">
        <v>284</v>
      </c>
      <c r="D63" s="132" t="n">
        <v>106.4</v>
      </c>
      <c r="E63" s="133" t="n">
        <v>32</v>
      </c>
      <c r="F63" s="132" t="n">
        <v>85</v>
      </c>
      <c r="G63" s="17" t="n">
        <v>26</v>
      </c>
      <c r="H63" s="134" t="n">
        <v>284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>
      <c r="A64" s="9" t="n"/>
      <c r="B64" s="119" t="n"/>
      <c r="C64" s="6" t="n"/>
      <c r="D64" s="9" t="n"/>
      <c r="E64" s="14" t="n"/>
      <c r="F64" s="132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7" t="n"/>
      <c r="P64" s="137" t="n"/>
      <c r="Q64" s="133" t="n"/>
      <c r="R64" s="133" t="n"/>
      <c r="S64" s="9" t="n"/>
      <c r="T64" s="48" t="n"/>
      <c r="U64" s="9" t="n"/>
      <c r="W64" s="70">
        <f>$A$4&amp;" "&amp;A65&amp;"("&amp;B65&amp;","&amp;C65&amp;"^)"</f>
        <v/>
      </c>
      <c r="X64" s="71" t="n"/>
      <c r="Y64" s="71" t="n"/>
      <c r="Z64" s="71" t="n"/>
      <c r="AA64" s="71" t="n"/>
      <c r="AB64" s="71" t="n"/>
      <c r="AC64" s="71" t="n"/>
      <c r="AD64" s="71" t="n"/>
      <c r="AE64" s="71" t="n"/>
      <c r="AF64" s="72" t="n"/>
      <c r="AH64" s="20">
        <f>IF(A64="","",A64)</f>
        <v/>
      </c>
      <c r="AI64" s="157">
        <f>IF(E64="","",E64)</f>
        <v/>
      </c>
      <c r="AJ64" s="119" t="n"/>
      <c r="AK64" s="119" t="n"/>
      <c r="AL64" s="119" t="n"/>
      <c r="AM64" s="119" t="n"/>
      <c r="AN64" s="119" t="n"/>
      <c r="AO64" s="119" t="n"/>
      <c r="AP64" s="119" t="n"/>
      <c r="AQ64" s="119" t="n"/>
      <c r="AR64" s="119" t="n"/>
      <c r="AS64" s="119" t="n"/>
      <c r="AT64" s="119" t="n"/>
      <c r="AU64" s="119" t="n"/>
      <c r="AV64" s="119" t="n"/>
    </row>
    <row r="65">
      <c r="A65" s="9" t="inlineStr">
        <is>
          <t>장자마을3단지부영</t>
        </is>
      </c>
      <c r="B65" s="10" t="inlineStr">
        <is>
          <t>'03.09.</t>
        </is>
      </c>
      <c r="C65" s="134" t="n">
        <v>378</v>
      </c>
      <c r="D65" s="132" t="n">
        <v>106.3</v>
      </c>
      <c r="E65" s="133" t="n">
        <v>32</v>
      </c>
      <c r="F65" s="132" t="n">
        <v>85</v>
      </c>
      <c r="G65" s="17" t="n">
        <v>26</v>
      </c>
      <c r="H65" s="134" t="n">
        <v>378</v>
      </c>
      <c r="I65" s="135" t="n">
        <v>23000</v>
      </c>
      <c r="J65" s="135" t="inlineStr">
        <is>
          <t>13</t>
        </is>
      </c>
      <c r="K65" s="135" t="n">
        <v>16000</v>
      </c>
      <c r="L65" s="135" t="inlineStr">
        <is>
          <t>12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03" dxfId="23">
      <formula>AV4="X"</formula>
    </cfRule>
    <cfRule type="expression" priority="904" dxfId="22">
      <formula>AV4="후보"</formula>
    </cfRule>
  </conditionalFormatting>
  <conditionalFormatting sqref="AC1:AC2 AC4:AC6 N4:N5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:N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6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6">
    <cfRule type="expression" priority="892" dxfId="3">
      <formula>AND(IF(OR($Q6=1,$Q6=2),1,0),IF($X6&lt;=20,1,0))</formula>
    </cfRule>
    <cfRule type="expression" priority="893" dxfId="2">
      <formula>AND(IF($Q6=2,1,0),IF($X6&lt;30,1,0))</formula>
    </cfRule>
    <cfRule type="expression" priority="894" dxfId="1">
      <formula>AND(IF($Q6=3,1,0),IF($X6&lt;30,1,0))</formula>
    </cfRule>
    <cfRule type="expression" priority="895" dxfId="0">
      <formula>AND(IF($Q6=3,1,IF($Q6=4,1,0)),IF($F6&lt;=85,1,0))</formula>
    </cfRule>
  </conditionalFormatting>
  <conditionalFormatting sqref="X6">
    <cfRule type="expression" priority="888" dxfId="3">
      <formula>AND(IF(OR($Q6=1,$Q6=2),1,0),IF($X6&lt;=20,1,0))</formula>
    </cfRule>
    <cfRule type="expression" priority="889" dxfId="2">
      <formula>AND(IF($Q6=2,1,0),IF($X6&lt;30,1,0))</formula>
    </cfRule>
    <cfRule type="expression" priority="890" dxfId="1">
      <formula>AND(IF($Q6=3,1,0),IF($X6&lt;30,1,0))</formula>
    </cfRule>
    <cfRule type="expression" priority="891" dxfId="0">
      <formula>AND(IF($Q6=3,1,IF($Q6=4,1,0)),IF($F6&lt;=85,1,0))</formula>
    </cfRule>
  </conditionalFormatting>
  <conditionalFormatting sqref="AI6">
    <cfRule type="expression" priority="884" dxfId="3">
      <formula>AND(IF(OR($Q6=1,$Q6=2),1,0),IF($X6&lt;=20,1,0))</formula>
    </cfRule>
    <cfRule type="expression" priority="885" dxfId="2">
      <formula>AND(IF($Q6=2,1,0),IF($X6&lt;30,1,0))</formula>
    </cfRule>
    <cfRule type="expression" priority="886" dxfId="1">
      <formula>AND(IF($Q6=3,1,0),IF($X6&lt;30,1,0))</formula>
    </cfRule>
    <cfRule type="expression" priority="887" dxfId="0">
      <formula>AND(IF($Q6=3,1,IF($Q6=4,1,0)),IF($F6&lt;=85,1,0))</formula>
    </cfRule>
  </conditionalFormatting>
  <conditionalFormatting sqref="AV7">
    <cfRule type="expression" priority="882" dxfId="23">
      <formula>AV7="X"</formula>
    </cfRule>
    <cfRule type="expression" priority="883" dxfId="22">
      <formula>AV7="후보"</formula>
    </cfRule>
  </conditionalFormatting>
  <conditionalFormatting sqref="AC7 N7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AV8">
    <cfRule type="expression" priority="877" dxfId="23">
      <formula>AV8="X"</formula>
    </cfRule>
    <cfRule type="expression" priority="878" dxfId="22">
      <formula>AV8="후보"</formula>
    </cfRule>
  </conditionalFormatting>
  <conditionalFormatting sqref="AC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8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X8">
    <cfRule type="expression" priority="864" dxfId="3">
      <formula>AND(IF(OR($Q8=1,$Q8=2),1,0),IF($X8&lt;=20,1,0))</formula>
    </cfRule>
    <cfRule type="expression" priority="865" dxfId="2">
      <formula>AND(IF($Q8=2,1,0),IF($X8&lt;30,1,0))</formula>
    </cfRule>
    <cfRule type="expression" priority="866" dxfId="1">
      <formula>AND(IF($Q8=3,1,0),IF($X8&lt;30,1,0))</formula>
    </cfRule>
    <cfRule type="expression" priority="867" dxfId="0">
      <formula>AND(IF($Q8=3,1,IF($Q8=4,1,0)),IF($F8&lt;=85,1,0))</formula>
    </cfRule>
  </conditionalFormatting>
  <conditionalFormatting sqref="AI8">
    <cfRule type="expression" priority="860" dxfId="3">
      <formula>AND(IF(OR($Q8=1,$Q8=2),1,0),IF($X8&lt;=20,1,0))</formula>
    </cfRule>
    <cfRule type="expression" priority="861" dxfId="2">
      <formula>AND(IF($Q8=2,1,0),IF($X8&lt;30,1,0))</formula>
    </cfRule>
    <cfRule type="expression" priority="862" dxfId="1">
      <formula>AND(IF($Q8=3,1,0),IF($X8&lt;30,1,0))</formula>
    </cfRule>
    <cfRule type="expression" priority="863" dxfId="0">
      <formula>AND(IF($Q8=3,1,IF($Q8=4,1,0)),IF($F8&lt;=85,1,0))</formula>
    </cfRule>
  </conditionalFormatting>
  <conditionalFormatting sqref="AV9">
    <cfRule type="expression" priority="858" dxfId="23">
      <formula>AV9="X"</formula>
    </cfRule>
    <cfRule type="expression" priority="859" dxfId="22">
      <formula>AV9="후보"</formula>
    </cfRule>
  </conditionalFormatting>
  <conditionalFormatting sqref="AC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9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X9">
    <cfRule type="expression" priority="845" dxfId="3">
      <formula>AND(IF(OR($Q9=1,$Q9=2),1,0),IF($X9&lt;=20,1,0))</formula>
    </cfRule>
    <cfRule type="expression" priority="846" dxfId="2">
      <formula>AND(IF($Q9=2,1,0),IF($X9&lt;30,1,0))</formula>
    </cfRule>
    <cfRule type="expression" priority="847" dxfId="1">
      <formula>AND(IF($Q9=3,1,0),IF($X9&lt;30,1,0))</formula>
    </cfRule>
    <cfRule type="expression" priority="848" dxfId="0">
      <formula>AND(IF($Q9=3,1,IF($Q9=4,1,0)),IF($F9&lt;=85,1,0))</formula>
    </cfRule>
  </conditionalFormatting>
  <conditionalFormatting sqref="AI9">
    <cfRule type="expression" priority="841" dxfId="3">
      <formula>AND(IF(OR($Q9=1,$Q9=2),1,0),IF($X9&lt;=20,1,0))</formula>
    </cfRule>
    <cfRule type="expression" priority="842" dxfId="2">
      <formula>AND(IF($Q9=2,1,0),IF($X9&lt;30,1,0))</formula>
    </cfRule>
    <cfRule type="expression" priority="843" dxfId="1">
      <formula>AND(IF($Q9=3,1,0),IF($X9&lt;30,1,0))</formula>
    </cfRule>
    <cfRule type="expression" priority="844" dxfId="0">
      <formula>AND(IF($Q9=3,1,IF($Q9=4,1,0)),IF($F9&lt;=85,1,0))</formula>
    </cfRule>
  </conditionalFormatting>
  <conditionalFormatting sqref="AV10">
    <cfRule type="expression" priority="839" dxfId="23">
      <formula>AV10="X"</formula>
    </cfRule>
    <cfRule type="expression" priority="840" dxfId="22">
      <formula>AV10="후보"</formula>
    </cfRule>
  </conditionalFormatting>
  <conditionalFormatting sqref="AC1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0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0">
    <cfRule type="expression" priority="830" dxfId="3">
      <formula>AND(IF(OR($Q10=1,$Q10=2),1,0),IF($X10&lt;=20,1,0))</formula>
    </cfRule>
    <cfRule type="expression" priority="831" dxfId="2">
      <formula>AND(IF($Q10=2,1,0),IF($X10&lt;30,1,0))</formula>
    </cfRule>
    <cfRule type="expression" priority="832" dxfId="1">
      <formula>AND(IF($Q10=3,1,0),IF($X10&lt;30,1,0))</formula>
    </cfRule>
    <cfRule type="expression" priority="833" dxfId="0">
      <formula>AND(IF($Q10=3,1,IF($Q10=4,1,0)),IF($F10&lt;=85,1,0))</formula>
    </cfRule>
  </conditionalFormatting>
  <conditionalFormatting sqref="X10">
    <cfRule type="expression" priority="826" dxfId="3">
      <formula>AND(IF(OR($Q10=1,$Q10=2),1,0),IF($X10&lt;=20,1,0))</formula>
    </cfRule>
    <cfRule type="expression" priority="827" dxfId="2">
      <formula>AND(IF($Q10=2,1,0),IF($X10&lt;30,1,0))</formula>
    </cfRule>
    <cfRule type="expression" priority="828" dxfId="1">
      <formula>AND(IF($Q10=3,1,0),IF($X10&lt;30,1,0))</formula>
    </cfRule>
    <cfRule type="expression" priority="829" dxfId="0">
      <formula>AND(IF($Q10=3,1,IF($Q10=4,1,0)),IF($F10&lt;=85,1,0))</formula>
    </cfRule>
  </conditionalFormatting>
  <conditionalFormatting sqref="AI10">
    <cfRule type="expression" priority="822" dxfId="3">
      <formula>AND(IF(OR($Q10=1,$Q10=2),1,0),IF($X10&lt;=20,1,0))</formula>
    </cfRule>
    <cfRule type="expression" priority="823" dxfId="2">
      <formula>AND(IF($Q10=2,1,0),IF($X10&lt;30,1,0))</formula>
    </cfRule>
    <cfRule type="expression" priority="824" dxfId="1">
      <formula>AND(IF($Q10=3,1,0),IF($X10&lt;30,1,0))</formula>
    </cfRule>
    <cfRule type="expression" priority="825" dxfId="0">
      <formula>AND(IF($Q10=3,1,IF($Q10=4,1,0)),IF($F10&lt;=85,1,0))</formula>
    </cfRule>
  </conditionalFormatting>
  <conditionalFormatting sqref="AV11">
    <cfRule type="expression" priority="820" dxfId="23">
      <formula>AV11="X"</formula>
    </cfRule>
    <cfRule type="expression" priority="821" dxfId="22">
      <formula>AV11="후보"</formula>
    </cfRule>
  </conditionalFormatting>
  <conditionalFormatting sqref="AC11 N1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AV12">
    <cfRule type="expression" priority="815" dxfId="23">
      <formula>AV12="X"</formula>
    </cfRule>
    <cfRule type="expression" priority="816" dxfId="22">
      <formula>AV12="후보"</formula>
    </cfRule>
  </conditionalFormatting>
  <conditionalFormatting sqref="AC1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N1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E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X12">
    <cfRule type="expression" priority="802" dxfId="3">
      <formula>AND(IF(OR($Q12=1,$Q12=2),1,0),IF($X12&lt;=20,1,0))</formula>
    </cfRule>
    <cfRule type="expression" priority="803" dxfId="2">
      <formula>AND(IF($Q12=2,1,0),IF($X12&lt;30,1,0))</formula>
    </cfRule>
    <cfRule type="expression" priority="804" dxfId="1">
      <formula>AND(IF($Q12=3,1,0),IF($X12&lt;30,1,0))</formula>
    </cfRule>
    <cfRule type="expression" priority="805" dxfId="0">
      <formula>AND(IF($Q12=3,1,IF($Q12=4,1,0)),IF($F12&lt;=85,1,0))</formula>
    </cfRule>
  </conditionalFormatting>
  <conditionalFormatting sqref="AI12">
    <cfRule type="expression" priority="798" dxfId="3">
      <formula>AND(IF(OR($Q12=1,$Q12=2),1,0),IF($X12&lt;=20,1,0))</formula>
    </cfRule>
    <cfRule type="expression" priority="799" dxfId="2">
      <formula>AND(IF($Q12=2,1,0),IF($X12&lt;30,1,0))</formula>
    </cfRule>
    <cfRule type="expression" priority="800" dxfId="1">
      <formula>AND(IF($Q12=3,1,0),IF($X12&lt;30,1,0))</formula>
    </cfRule>
    <cfRule type="expression" priority="801" dxfId="0">
      <formula>AND(IF($Q12=3,1,IF($Q12=4,1,0)),IF($F12&lt;=85,1,0))</formula>
    </cfRule>
  </conditionalFormatting>
  <conditionalFormatting sqref="AV13">
    <cfRule type="expression" priority="796" dxfId="23">
      <formula>AV13="X"</formula>
    </cfRule>
    <cfRule type="expression" priority="797" dxfId="22">
      <formula>AV13="후보"</formula>
    </cfRule>
  </conditionalFormatting>
  <conditionalFormatting sqref="AC1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X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I13">
    <cfRule type="expression" priority="779" dxfId="3">
      <formula>AND(IF(OR($Q13=1,$Q13=2),1,0),IF($X13&lt;=20,1,0))</formula>
    </cfRule>
    <cfRule type="expression" priority="780" dxfId="2">
      <formula>AND(IF($Q13=2,1,0),IF($X13&lt;30,1,0))</formula>
    </cfRule>
    <cfRule type="expression" priority="781" dxfId="1">
      <formula>AND(IF($Q13=3,1,0),IF($X13&lt;30,1,0))</formula>
    </cfRule>
    <cfRule type="expression" priority="782" dxfId="0">
      <formula>AND(IF($Q13=3,1,IF($Q13=4,1,0)),IF($F13&lt;=85,1,0))</formula>
    </cfRule>
  </conditionalFormatting>
  <conditionalFormatting sqref="AV14">
    <cfRule type="expression" priority="777" dxfId="23">
      <formula>AV14="X"</formula>
    </cfRule>
    <cfRule type="expression" priority="778" dxfId="22">
      <formula>AV14="후보"</formula>
    </cfRule>
  </conditionalFormatting>
  <conditionalFormatting sqref="AC1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4">
    <cfRule type="expression" priority="768" dxfId="3">
      <formula>AND(IF(OR($Q14=1,$Q14=2),1,0),IF($X14&lt;=20,1,0))</formula>
    </cfRule>
    <cfRule type="expression" priority="769" dxfId="2">
      <formula>AND(IF($Q14=2,1,0),IF($X14&lt;30,1,0))</formula>
    </cfRule>
    <cfRule type="expression" priority="770" dxfId="1">
      <formula>AND(IF($Q14=3,1,0),IF($X14&lt;30,1,0))</formula>
    </cfRule>
    <cfRule type="expression" priority="771" dxfId="0">
      <formula>AND(IF($Q14=3,1,IF($Q14=4,1,0)),IF($F14&lt;=85,1,0))</formula>
    </cfRule>
  </conditionalFormatting>
  <conditionalFormatting sqref="X14">
    <cfRule type="expression" priority="764" dxfId="3">
      <formula>AND(IF(OR($Q14=1,$Q14=2),1,0),IF($X14&lt;=20,1,0))</formula>
    </cfRule>
    <cfRule type="expression" priority="765" dxfId="2">
      <formula>AND(IF($Q14=2,1,0),IF($X14&lt;30,1,0))</formula>
    </cfRule>
    <cfRule type="expression" priority="766" dxfId="1">
      <formula>AND(IF($Q14=3,1,0),IF($X14&lt;30,1,0))</formula>
    </cfRule>
    <cfRule type="expression" priority="767" dxfId="0">
      <formula>AND(IF($Q14=3,1,IF($Q14=4,1,0)),IF($F14&lt;=85,1,0))</formula>
    </cfRule>
  </conditionalFormatting>
  <conditionalFormatting sqref="AI14">
    <cfRule type="expression" priority="760" dxfId="3">
      <formula>AND(IF(OR($Q14=1,$Q14=2),1,0),IF($X14&lt;=20,1,0))</formula>
    </cfRule>
    <cfRule type="expression" priority="761" dxfId="2">
      <formula>AND(IF($Q14=2,1,0),IF($X14&lt;30,1,0))</formula>
    </cfRule>
    <cfRule type="expression" priority="762" dxfId="1">
      <formula>AND(IF($Q14=3,1,0),IF($X14&lt;30,1,0))</formula>
    </cfRule>
    <cfRule type="expression" priority="763" dxfId="0">
      <formula>AND(IF($Q14=3,1,IF($Q14=4,1,0)),IF($F14&lt;=85,1,0))</formula>
    </cfRule>
  </conditionalFormatting>
  <conditionalFormatting sqref="AV15">
    <cfRule type="expression" priority="758" dxfId="23">
      <formula>AV15="X"</formula>
    </cfRule>
    <cfRule type="expression" priority="759" dxfId="22">
      <formula>AV15="후보"</formula>
    </cfRule>
  </conditionalFormatting>
  <conditionalFormatting sqref="AC1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5">
    <cfRule type="expression" priority="749" dxfId="3">
      <formula>AND(IF(OR($Q15=1,$Q15=2),1,0),IF($X15&lt;=20,1,0))</formula>
    </cfRule>
    <cfRule type="expression" priority="750" dxfId="2">
      <formula>AND(IF($Q15=2,1,0),IF($X15&lt;30,1,0))</formula>
    </cfRule>
    <cfRule type="expression" priority="751" dxfId="1">
      <formula>AND(IF($Q15=3,1,0),IF($X15&lt;30,1,0))</formula>
    </cfRule>
    <cfRule type="expression" priority="752" dxfId="0">
      <formula>AND(IF($Q15=3,1,IF($Q15=4,1,0)),IF($F15&lt;=85,1,0))</formula>
    </cfRule>
  </conditionalFormatting>
  <conditionalFormatting sqref="X15">
    <cfRule type="expression" priority="745" dxfId="3">
      <formula>AND(IF(OR($Q15=1,$Q15=2),1,0),IF($X15&lt;=20,1,0))</formula>
    </cfRule>
    <cfRule type="expression" priority="746" dxfId="2">
      <formula>AND(IF($Q15=2,1,0),IF($X15&lt;30,1,0))</formula>
    </cfRule>
    <cfRule type="expression" priority="747" dxfId="1">
      <formula>AND(IF($Q15=3,1,0),IF($X15&lt;30,1,0))</formula>
    </cfRule>
    <cfRule type="expression" priority="748" dxfId="0">
      <formula>AND(IF($Q15=3,1,IF($Q15=4,1,0)),IF($F15&lt;=85,1,0))</formula>
    </cfRule>
  </conditionalFormatting>
  <conditionalFormatting sqref="AI15">
    <cfRule type="expression" priority="741" dxfId="3">
      <formula>AND(IF(OR($Q15=1,$Q15=2),1,0),IF($X15&lt;=20,1,0))</formula>
    </cfRule>
    <cfRule type="expression" priority="742" dxfId="2">
      <formula>AND(IF($Q15=2,1,0),IF($X15&lt;30,1,0))</formula>
    </cfRule>
    <cfRule type="expression" priority="743" dxfId="1">
      <formula>AND(IF($Q15=3,1,0),IF($X15&lt;30,1,0))</formula>
    </cfRule>
    <cfRule type="expression" priority="744" dxfId="0">
      <formula>AND(IF($Q15=3,1,IF($Q15=4,1,0)),IF($F15&lt;=85,1,0))</formula>
    </cfRule>
  </conditionalFormatting>
  <conditionalFormatting sqref="AV16">
    <cfRule type="expression" priority="739" dxfId="23">
      <formula>AV16="X"</formula>
    </cfRule>
    <cfRule type="expression" priority="740" dxfId="22">
      <formula>AV16="후보"</formula>
    </cfRule>
  </conditionalFormatting>
  <conditionalFormatting sqref="AC16 N1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7">
    <cfRule type="expression" priority="734" dxfId="23">
      <formula>AV17="X"</formula>
    </cfRule>
    <cfRule type="expression" priority="735" dxfId="22">
      <formula>AV17="후보"</formula>
    </cfRule>
  </conditionalFormatting>
  <conditionalFormatting sqref="AC17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7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X17">
    <cfRule type="expression" priority="721" dxfId="3">
      <formula>AND(IF(OR($Q17=1,$Q17=2),1,0),IF($X17&lt;=20,1,0))</formula>
    </cfRule>
    <cfRule type="expression" priority="722" dxfId="2">
      <formula>AND(IF($Q17=2,1,0),IF($X17&lt;30,1,0))</formula>
    </cfRule>
    <cfRule type="expression" priority="723" dxfId="1">
      <formula>AND(IF($Q17=3,1,0),IF($X17&lt;30,1,0))</formula>
    </cfRule>
    <cfRule type="expression" priority="724" dxfId="0">
      <formula>AND(IF($Q17=3,1,IF($Q17=4,1,0)),IF($F17&lt;=85,1,0))</formula>
    </cfRule>
  </conditionalFormatting>
  <conditionalFormatting sqref="AI17">
    <cfRule type="expression" priority="717" dxfId="3">
      <formula>AND(IF(OR($Q17=1,$Q17=2),1,0),IF($X17&lt;=20,1,0))</formula>
    </cfRule>
    <cfRule type="expression" priority="718" dxfId="2">
      <formula>AND(IF($Q17=2,1,0),IF($X17&lt;30,1,0))</formula>
    </cfRule>
    <cfRule type="expression" priority="719" dxfId="1">
      <formula>AND(IF($Q17=3,1,0),IF($X17&lt;30,1,0))</formula>
    </cfRule>
    <cfRule type="expression" priority="720" dxfId="0">
      <formula>AND(IF($Q17=3,1,IF($Q17=4,1,0)),IF($F17&lt;=85,1,0))</formula>
    </cfRule>
  </conditionalFormatting>
  <conditionalFormatting sqref="AV18">
    <cfRule type="expression" priority="715" dxfId="23">
      <formula>AV18="X"</formula>
    </cfRule>
    <cfRule type="expression" priority="716" dxfId="22">
      <formula>AV18="후보"</formula>
    </cfRule>
  </conditionalFormatting>
  <conditionalFormatting sqref="AC1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X18">
    <cfRule type="expression" priority="702" dxfId="3">
      <formula>AND(IF(OR($Q18=1,$Q18=2),1,0),IF($X18&lt;=20,1,0))</formula>
    </cfRule>
    <cfRule type="expression" priority="703" dxfId="2">
      <formula>AND(IF($Q18=2,1,0),IF($X18&lt;30,1,0))</formula>
    </cfRule>
    <cfRule type="expression" priority="704" dxfId="1">
      <formula>AND(IF($Q18=3,1,0),IF($X18&lt;30,1,0))</formula>
    </cfRule>
    <cfRule type="expression" priority="705" dxfId="0">
      <formula>AND(IF($Q18=3,1,IF($Q18=4,1,0)),IF($F18&lt;=85,1,0))</formula>
    </cfRule>
  </conditionalFormatting>
  <conditionalFormatting sqref="AI18">
    <cfRule type="expression" priority="698" dxfId="3">
      <formula>AND(IF(OR($Q18=1,$Q18=2),1,0),IF($X18&lt;=20,1,0))</formula>
    </cfRule>
    <cfRule type="expression" priority="699" dxfId="2">
      <formula>AND(IF($Q18=2,1,0),IF($X18&lt;30,1,0))</formula>
    </cfRule>
    <cfRule type="expression" priority="700" dxfId="1">
      <formula>AND(IF($Q18=3,1,0),IF($X18&lt;30,1,0))</formula>
    </cfRule>
    <cfRule type="expression" priority="701" dxfId="0">
      <formula>AND(IF($Q18=3,1,IF($Q18=4,1,0)),IF($F18&lt;=85,1,0))</formula>
    </cfRule>
  </conditionalFormatting>
  <conditionalFormatting sqref="AV19">
    <cfRule type="expression" priority="696" dxfId="23">
      <formula>AV19="X"</formula>
    </cfRule>
    <cfRule type="expression" priority="697" dxfId="22">
      <formula>AV19="후보"</formula>
    </cfRule>
  </conditionalFormatting>
  <conditionalFormatting sqref="AC1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9">
    <cfRule type="expression" priority="687" dxfId="3">
      <formula>AND(IF(OR($Q19=1,$Q19=2),1,0),IF($X19&lt;=20,1,0))</formula>
    </cfRule>
    <cfRule type="expression" priority="688" dxfId="2">
      <formula>AND(IF($Q19=2,1,0),IF($X19&lt;30,1,0))</formula>
    </cfRule>
    <cfRule type="expression" priority="689" dxfId="1">
      <formula>AND(IF($Q19=3,1,0),IF($X19&lt;30,1,0))</formula>
    </cfRule>
    <cfRule type="expression" priority="690" dxfId="0">
      <formula>AND(IF($Q19=3,1,IF($Q19=4,1,0)),IF($F19&lt;=85,1,0))</formula>
    </cfRule>
  </conditionalFormatting>
  <conditionalFormatting sqref="X19">
    <cfRule type="expression" priority="683" dxfId="3">
      <formula>AND(IF(OR($Q19=1,$Q19=2),1,0),IF($X19&lt;=20,1,0))</formula>
    </cfRule>
    <cfRule type="expression" priority="684" dxfId="2">
      <formula>AND(IF($Q19=2,1,0),IF($X19&lt;30,1,0))</formula>
    </cfRule>
    <cfRule type="expression" priority="685" dxfId="1">
      <formula>AND(IF($Q19=3,1,0),IF($X19&lt;30,1,0))</formula>
    </cfRule>
    <cfRule type="expression" priority="686" dxfId="0">
      <formula>AND(IF($Q19=3,1,IF($Q19=4,1,0)),IF($F19&lt;=85,1,0))</formula>
    </cfRule>
  </conditionalFormatting>
  <conditionalFormatting sqref="AI19">
    <cfRule type="expression" priority="679" dxfId="3">
      <formula>AND(IF(OR($Q19=1,$Q19=2),1,0),IF($X19&lt;=20,1,0))</formula>
    </cfRule>
    <cfRule type="expression" priority="680" dxfId="2">
      <formula>AND(IF($Q19=2,1,0),IF($X19&lt;30,1,0))</formula>
    </cfRule>
    <cfRule type="expression" priority="681" dxfId="1">
      <formula>AND(IF($Q19=3,1,0),IF($X19&lt;30,1,0))</formula>
    </cfRule>
    <cfRule type="expression" priority="682" dxfId="0">
      <formula>AND(IF($Q19=3,1,IF($Q19=4,1,0)),IF($F19&lt;=85,1,0))</formula>
    </cfRule>
  </conditionalFormatting>
  <conditionalFormatting sqref="AV20">
    <cfRule type="expression" priority="677" dxfId="23">
      <formula>AV20="X"</formula>
    </cfRule>
    <cfRule type="expression" priority="678" dxfId="22">
      <formula>AV20="후보"</formula>
    </cfRule>
  </conditionalFormatting>
  <conditionalFormatting sqref="AC20 N2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21">
    <cfRule type="expression" priority="672" dxfId="23">
      <formula>AV21="X"</formula>
    </cfRule>
    <cfRule type="expression" priority="673" dxfId="22">
      <formula>AV21="후보"</formula>
    </cfRule>
  </conditionalFormatting>
  <conditionalFormatting sqref="AC21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X21">
    <cfRule type="expression" priority="659" dxfId="3">
      <formula>AND(IF(OR($Q21=1,$Q21=2),1,0),IF($X21&lt;=20,1,0))</formula>
    </cfRule>
    <cfRule type="expression" priority="660" dxfId="2">
      <formula>AND(IF($Q21=2,1,0),IF($X21&lt;30,1,0))</formula>
    </cfRule>
    <cfRule type="expression" priority="661" dxfId="1">
      <formula>AND(IF($Q21=3,1,0),IF($X21&lt;30,1,0))</formula>
    </cfRule>
    <cfRule type="expression" priority="662" dxfId="0">
      <formula>AND(IF($Q21=3,1,IF($Q21=4,1,0)),IF($F21&lt;=85,1,0))</formula>
    </cfRule>
  </conditionalFormatting>
  <conditionalFormatting sqref="AI21">
    <cfRule type="expression" priority="655" dxfId="3">
      <formula>AND(IF(OR($Q21=1,$Q21=2),1,0),IF($X21&lt;=20,1,0))</formula>
    </cfRule>
    <cfRule type="expression" priority="656" dxfId="2">
      <formula>AND(IF($Q21=2,1,0),IF($X21&lt;30,1,0))</formula>
    </cfRule>
    <cfRule type="expression" priority="657" dxfId="1">
      <formula>AND(IF($Q21=3,1,0),IF($X21&lt;30,1,0))</formula>
    </cfRule>
    <cfRule type="expression" priority="658" dxfId="0">
      <formula>AND(IF($Q21=3,1,IF($Q21=4,1,0)),IF($F21&lt;=85,1,0))</formula>
    </cfRule>
  </conditionalFormatting>
  <conditionalFormatting sqref="AV22">
    <cfRule type="expression" priority="653" dxfId="23">
      <formula>AV22="X"</formula>
    </cfRule>
    <cfRule type="expression" priority="654" dxfId="22">
      <formula>AV22="후보"</formula>
    </cfRule>
  </conditionalFormatting>
  <conditionalFormatting sqref="AC22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X22">
    <cfRule type="expression" priority="640" dxfId="3">
      <formula>AND(IF(OR($Q22=1,$Q22=2),1,0),IF($X22&lt;=20,1,0))</formula>
    </cfRule>
    <cfRule type="expression" priority="641" dxfId="2">
      <formula>AND(IF($Q22=2,1,0),IF($X22&lt;30,1,0))</formula>
    </cfRule>
    <cfRule type="expression" priority="642" dxfId="1">
      <formula>AND(IF($Q22=3,1,0),IF($X22&lt;30,1,0))</formula>
    </cfRule>
    <cfRule type="expression" priority="643" dxfId="0">
      <formula>AND(IF($Q22=3,1,IF($Q22=4,1,0)),IF($F22&lt;=85,1,0))</formula>
    </cfRule>
  </conditionalFormatting>
  <conditionalFormatting sqref="AI22">
    <cfRule type="expression" priority="636" dxfId="3">
      <formula>AND(IF(OR($Q22=1,$Q22=2),1,0),IF($X22&lt;=20,1,0))</formula>
    </cfRule>
    <cfRule type="expression" priority="637" dxfId="2">
      <formula>AND(IF($Q22=2,1,0),IF($X22&lt;30,1,0))</formula>
    </cfRule>
    <cfRule type="expression" priority="638" dxfId="1">
      <formula>AND(IF($Q22=3,1,0),IF($X22&lt;30,1,0))</formula>
    </cfRule>
    <cfRule type="expression" priority="639" dxfId="0">
      <formula>AND(IF($Q22=3,1,IF($Q22=4,1,0)),IF($F22&lt;=85,1,0))</formula>
    </cfRule>
  </conditionalFormatting>
  <conditionalFormatting sqref="AV23">
    <cfRule type="expression" priority="634" dxfId="23">
      <formula>AV23="X"</formula>
    </cfRule>
    <cfRule type="expression" priority="635" dxfId="22">
      <formula>AV23="후보"</formula>
    </cfRule>
  </conditionalFormatting>
  <conditionalFormatting sqref="AC23 N23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24">
    <cfRule type="expression" priority="629" dxfId="23">
      <formula>AV24="X"</formula>
    </cfRule>
    <cfRule type="expression" priority="630" dxfId="22">
      <formula>AV24="후보"</formula>
    </cfRule>
  </conditionalFormatting>
  <conditionalFormatting sqref="AC24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4">
    <cfRule type="expression" priority="620" dxfId="3">
      <formula>AND(IF(OR($Q24=1,$Q24=2),1,0),IF($X24&lt;=20,1,0))</formula>
    </cfRule>
    <cfRule type="expression" priority="621" dxfId="2">
      <formula>AND(IF($Q24=2,1,0),IF($X24&lt;30,1,0))</formula>
    </cfRule>
    <cfRule type="expression" priority="622" dxfId="1">
      <formula>AND(IF($Q24=3,1,0),IF($X24&lt;30,1,0))</formula>
    </cfRule>
    <cfRule type="expression" priority="623" dxfId="0">
      <formula>AND(IF($Q24=3,1,IF($Q24=4,1,0)),IF($F24&lt;=85,1,0))</formula>
    </cfRule>
  </conditionalFormatting>
  <conditionalFormatting sqref="X24">
    <cfRule type="expression" priority="616" dxfId="3">
      <formula>AND(IF(OR($Q24=1,$Q24=2),1,0),IF($X24&lt;=20,1,0))</formula>
    </cfRule>
    <cfRule type="expression" priority="617" dxfId="2">
      <formula>AND(IF($Q24=2,1,0),IF($X24&lt;30,1,0))</formula>
    </cfRule>
    <cfRule type="expression" priority="618" dxfId="1">
      <formula>AND(IF($Q24=3,1,0),IF($X24&lt;30,1,0))</formula>
    </cfRule>
    <cfRule type="expression" priority="619" dxfId="0">
      <formula>AND(IF($Q24=3,1,IF($Q24=4,1,0)),IF($F24&lt;=85,1,0))</formula>
    </cfRule>
  </conditionalFormatting>
  <conditionalFormatting sqref="AI24">
    <cfRule type="expression" priority="612" dxfId="3">
      <formula>AND(IF(OR($Q24=1,$Q24=2),1,0),IF($X24&lt;=20,1,0))</formula>
    </cfRule>
    <cfRule type="expression" priority="613" dxfId="2">
      <formula>AND(IF($Q24=2,1,0),IF($X24&lt;30,1,0))</formula>
    </cfRule>
    <cfRule type="expression" priority="614" dxfId="1">
      <formula>AND(IF($Q24=3,1,0),IF($X24&lt;30,1,0))</formula>
    </cfRule>
    <cfRule type="expression" priority="615" dxfId="0">
      <formula>AND(IF($Q24=3,1,IF($Q24=4,1,0)),IF($F24&lt;=85,1,0))</formula>
    </cfRule>
  </conditionalFormatting>
  <conditionalFormatting sqref="AV25">
    <cfRule type="expression" priority="610" dxfId="23">
      <formula>AV25="X"</formula>
    </cfRule>
    <cfRule type="expression" priority="611" dxfId="22">
      <formula>AV25="후보"</formula>
    </cfRule>
  </conditionalFormatting>
  <conditionalFormatting sqref="AC2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5">
    <cfRule type="expression" priority="601" dxfId="3">
      <formula>AND(IF(OR($Q25=1,$Q25=2),1,0),IF($X25&lt;=20,1,0))</formula>
    </cfRule>
    <cfRule type="expression" priority="602" dxfId="2">
      <formula>AND(IF($Q25=2,1,0),IF($X25&lt;30,1,0))</formula>
    </cfRule>
    <cfRule type="expression" priority="603" dxfId="1">
      <formula>AND(IF($Q25=3,1,0),IF($X25&lt;30,1,0))</formula>
    </cfRule>
    <cfRule type="expression" priority="604" dxfId="0">
      <formula>AND(IF($Q25=3,1,IF($Q25=4,1,0)),IF($F25&lt;=85,1,0))</formula>
    </cfRule>
  </conditionalFormatting>
  <conditionalFormatting sqref="X25">
    <cfRule type="expression" priority="597" dxfId="3">
      <formula>AND(IF(OR($Q25=1,$Q25=2),1,0),IF($X25&lt;=20,1,0))</formula>
    </cfRule>
    <cfRule type="expression" priority="598" dxfId="2">
      <formula>AND(IF($Q25=2,1,0),IF($X25&lt;30,1,0))</formula>
    </cfRule>
    <cfRule type="expression" priority="599" dxfId="1">
      <formula>AND(IF($Q25=3,1,0),IF($X25&lt;30,1,0))</formula>
    </cfRule>
    <cfRule type="expression" priority="600" dxfId="0">
      <formula>AND(IF($Q25=3,1,IF($Q25=4,1,0)),IF($F25&lt;=85,1,0))</formula>
    </cfRule>
  </conditionalFormatting>
  <conditionalFormatting sqref="AI25">
    <cfRule type="expression" priority="593" dxfId="3">
      <formula>AND(IF(OR($Q25=1,$Q25=2),1,0),IF($X25&lt;=20,1,0))</formula>
    </cfRule>
    <cfRule type="expression" priority="594" dxfId="2">
      <formula>AND(IF($Q25=2,1,0),IF($X25&lt;30,1,0))</formula>
    </cfRule>
    <cfRule type="expression" priority="595" dxfId="1">
      <formula>AND(IF($Q25=3,1,0),IF($X25&lt;30,1,0))</formula>
    </cfRule>
    <cfRule type="expression" priority="596" dxfId="0">
      <formula>AND(IF($Q25=3,1,IF($Q25=4,1,0)),IF($F25&lt;=85,1,0))</formula>
    </cfRule>
  </conditionalFormatting>
  <conditionalFormatting sqref="AV26">
    <cfRule type="expression" priority="591" dxfId="23">
      <formula>AV26="X"</formula>
    </cfRule>
    <cfRule type="expression" priority="592" dxfId="22">
      <formula>AV26="후보"</formula>
    </cfRule>
  </conditionalFormatting>
  <conditionalFormatting sqref="AC26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E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X26">
    <cfRule type="expression" priority="578" dxfId="3">
      <formula>AND(IF(OR($Q26=1,$Q26=2),1,0),IF($X26&lt;=20,1,0))</formula>
    </cfRule>
    <cfRule type="expression" priority="579" dxfId="2">
      <formula>AND(IF($Q26=2,1,0),IF($X26&lt;30,1,0))</formula>
    </cfRule>
    <cfRule type="expression" priority="580" dxfId="1">
      <formula>AND(IF($Q26=3,1,0),IF($X26&lt;30,1,0))</formula>
    </cfRule>
    <cfRule type="expression" priority="581" dxfId="0">
      <formula>AND(IF($Q26=3,1,IF($Q26=4,1,0)),IF($F26&lt;=85,1,0))</formula>
    </cfRule>
  </conditionalFormatting>
  <conditionalFormatting sqref="AI26">
    <cfRule type="expression" priority="574" dxfId="3">
      <formula>AND(IF(OR($Q26=1,$Q26=2),1,0),IF($X26&lt;=20,1,0))</formula>
    </cfRule>
    <cfRule type="expression" priority="575" dxfId="2">
      <formula>AND(IF($Q26=2,1,0),IF($X26&lt;30,1,0))</formula>
    </cfRule>
    <cfRule type="expression" priority="576" dxfId="1">
      <formula>AND(IF($Q26=3,1,0),IF($X26&lt;30,1,0))</formula>
    </cfRule>
    <cfRule type="expression" priority="577" dxfId="0">
      <formula>AND(IF($Q26=3,1,IF($Q26=4,1,0)),IF($F26&lt;=85,1,0))</formula>
    </cfRule>
  </conditionalFormatting>
  <conditionalFormatting sqref="AV27">
    <cfRule type="expression" priority="572" dxfId="23">
      <formula>AV27="X"</formula>
    </cfRule>
    <cfRule type="expression" priority="573" dxfId="22">
      <formula>AV27="후보"</formula>
    </cfRule>
  </conditionalFormatting>
  <conditionalFormatting sqref="AC27 N27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AV28">
    <cfRule type="expression" priority="567" dxfId="23">
      <formula>AV28="X"</formula>
    </cfRule>
    <cfRule type="expression" priority="568" dxfId="22">
      <formula>AV28="후보"</formula>
    </cfRule>
  </conditionalFormatting>
  <conditionalFormatting sqref="AC28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8">
    <cfRule type="expression" priority="558" dxfId="3">
      <formula>AND(IF(OR($Q28=1,$Q28=2),1,0),IF($X28&lt;=20,1,0))</formula>
    </cfRule>
    <cfRule type="expression" priority="559" dxfId="2">
      <formula>AND(IF($Q28=2,1,0),IF($X28&lt;30,1,0))</formula>
    </cfRule>
    <cfRule type="expression" priority="560" dxfId="1">
      <formula>AND(IF($Q28=3,1,0),IF($X28&lt;30,1,0))</formula>
    </cfRule>
    <cfRule type="expression" priority="561" dxfId="0">
      <formula>AND(IF($Q28=3,1,IF($Q28=4,1,0)),IF($F28&lt;=85,1,0))</formula>
    </cfRule>
  </conditionalFormatting>
  <conditionalFormatting sqref="X28">
    <cfRule type="expression" priority="554" dxfId="3">
      <formula>AND(IF(OR($Q28=1,$Q28=2),1,0),IF($X28&lt;=20,1,0))</formula>
    </cfRule>
    <cfRule type="expression" priority="555" dxfId="2">
      <formula>AND(IF($Q28=2,1,0),IF($X28&lt;30,1,0))</formula>
    </cfRule>
    <cfRule type="expression" priority="556" dxfId="1">
      <formula>AND(IF($Q28=3,1,0),IF($X28&lt;30,1,0))</formula>
    </cfRule>
    <cfRule type="expression" priority="557" dxfId="0">
      <formula>AND(IF($Q28=3,1,IF($Q28=4,1,0)),IF($F28&lt;=85,1,0))</formula>
    </cfRule>
  </conditionalFormatting>
  <conditionalFormatting sqref="AI28">
    <cfRule type="expression" priority="550" dxfId="3">
      <formula>AND(IF(OR($Q28=1,$Q28=2),1,0),IF($X28&lt;=20,1,0))</formula>
    </cfRule>
    <cfRule type="expression" priority="551" dxfId="2">
      <formula>AND(IF($Q28=2,1,0),IF($X28&lt;30,1,0))</formula>
    </cfRule>
    <cfRule type="expression" priority="552" dxfId="1">
      <formula>AND(IF($Q28=3,1,0),IF($X28&lt;30,1,0))</formula>
    </cfRule>
    <cfRule type="expression" priority="553" dxfId="0">
      <formula>AND(IF($Q28=3,1,IF($Q28=4,1,0)),IF($F28&lt;=85,1,0))</formula>
    </cfRule>
  </conditionalFormatting>
  <conditionalFormatting sqref="AV29">
    <cfRule type="expression" priority="548" dxfId="23">
      <formula>AV29="X"</formula>
    </cfRule>
    <cfRule type="expression" priority="549" dxfId="22">
      <formula>AV29="후보"</formula>
    </cfRule>
  </conditionalFormatting>
  <conditionalFormatting sqref="AC29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29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E29">
    <cfRule type="expression" priority="539" dxfId="3">
      <formula>AND(IF(OR($Q29=1,$Q29=2),1,0),IF($X29&lt;=20,1,0))</formula>
    </cfRule>
    <cfRule type="expression" priority="540" dxfId="2">
      <formula>AND(IF($Q29=2,1,0),IF($X29&lt;30,1,0))</formula>
    </cfRule>
    <cfRule type="expression" priority="541" dxfId="1">
      <formula>AND(IF($Q29=3,1,0),IF($X29&lt;30,1,0))</formula>
    </cfRule>
    <cfRule type="expression" priority="542" dxfId="0">
      <formula>AND(IF($Q29=3,1,IF($Q29=4,1,0)),IF($F29&lt;=85,1,0))</formula>
    </cfRule>
  </conditionalFormatting>
  <conditionalFormatting sqref="X29">
    <cfRule type="expression" priority="535" dxfId="3">
      <formula>AND(IF(OR($Q29=1,$Q29=2),1,0),IF($X29&lt;=20,1,0))</formula>
    </cfRule>
    <cfRule type="expression" priority="536" dxfId="2">
      <formula>AND(IF($Q29=2,1,0),IF($X29&lt;30,1,0))</formula>
    </cfRule>
    <cfRule type="expression" priority="537" dxfId="1">
      <formula>AND(IF($Q29=3,1,0),IF($X29&lt;30,1,0))</formula>
    </cfRule>
    <cfRule type="expression" priority="538" dxfId="0">
      <formula>AND(IF($Q29=3,1,IF($Q29=4,1,0)),IF($F29&lt;=85,1,0))</formula>
    </cfRule>
  </conditionalFormatting>
  <conditionalFormatting sqref="AI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AV30">
    <cfRule type="expression" priority="529" dxfId="23">
      <formula>AV30="X"</formula>
    </cfRule>
    <cfRule type="expression" priority="530" dxfId="22">
      <formula>AV30="후보"</formula>
    </cfRule>
  </conditionalFormatting>
  <conditionalFormatting sqref="AC30">
    <cfRule type="cellIs" priority="526" operator="greaterThan" dxfId="17">
      <formula>0.9</formula>
    </cfRule>
    <cfRule type="cellIs" priority="527" operator="greaterThan" dxfId="16">
      <formula>0.85</formula>
    </cfRule>
  </conditionalFormatting>
  <conditionalFormatting sqref="N30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E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X30">
    <cfRule type="expression" priority="516" dxfId="3">
      <formula>AND(IF(OR($Q30=1,$Q30=2),1,0),IF($X30&lt;=20,1,0))</formula>
    </cfRule>
    <cfRule type="expression" priority="517" dxfId="2">
      <formula>AND(IF($Q30=2,1,0),IF($X30&lt;30,1,0))</formula>
    </cfRule>
    <cfRule type="expression" priority="518" dxfId="1">
      <formula>AND(IF($Q30=3,1,0),IF($X30&lt;30,1,0))</formula>
    </cfRule>
    <cfRule type="expression" priority="519" dxfId="0">
      <formula>AND(IF($Q30=3,1,IF($Q30=4,1,0)),IF($F30&lt;=85,1,0))</formula>
    </cfRule>
  </conditionalFormatting>
  <conditionalFormatting sqref="AI30">
    <cfRule type="expression" priority="512" dxfId="3">
      <formula>AND(IF(OR($Q30=1,$Q30=2),1,0),IF($X30&lt;=20,1,0))</formula>
    </cfRule>
    <cfRule type="expression" priority="513" dxfId="2">
      <formula>AND(IF($Q30=2,1,0),IF($X30&lt;30,1,0))</formula>
    </cfRule>
    <cfRule type="expression" priority="514" dxfId="1">
      <formula>AND(IF($Q30=3,1,0),IF($X30&lt;30,1,0))</formula>
    </cfRule>
    <cfRule type="expression" priority="515" dxfId="0">
      <formula>AND(IF($Q30=3,1,IF($Q30=4,1,0)),IF($F30&lt;=85,1,0))</formula>
    </cfRule>
  </conditionalFormatting>
  <conditionalFormatting sqref="AV31">
    <cfRule type="expression" priority="510" dxfId="23">
      <formula>AV31="X"</formula>
    </cfRule>
    <cfRule type="expression" priority="511" dxfId="22">
      <formula>AV31="후보"</formula>
    </cfRule>
  </conditionalFormatting>
  <conditionalFormatting sqref="AC31">
    <cfRule type="cellIs" priority="507" operator="greaterThan" dxfId="17">
      <formula>0.9</formula>
    </cfRule>
    <cfRule type="cellIs" priority="508" operator="greaterThan" dxfId="16">
      <formula>0.85</formula>
    </cfRule>
  </conditionalFormatting>
  <conditionalFormatting sqref="N3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E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X31">
    <cfRule type="expression" priority="497" dxfId="3">
      <formula>AND(IF(OR($Q31=1,$Q31=2),1,0),IF($X31&lt;=20,1,0))</formula>
    </cfRule>
    <cfRule type="expression" priority="498" dxfId="2">
      <formula>AND(IF($Q31=2,1,0),IF($X31&lt;30,1,0))</formula>
    </cfRule>
    <cfRule type="expression" priority="499" dxfId="1">
      <formula>AND(IF($Q31=3,1,0),IF($X31&lt;30,1,0))</formula>
    </cfRule>
    <cfRule type="expression" priority="500" dxfId="0">
      <formula>AND(IF($Q31=3,1,IF($Q31=4,1,0)),IF($F31&lt;=85,1,0))</formula>
    </cfRule>
  </conditionalFormatting>
  <conditionalFormatting sqref="AI31">
    <cfRule type="expression" priority="493" dxfId="3">
      <formula>AND(IF(OR($Q31=1,$Q31=2),1,0),IF($X31&lt;=20,1,0))</formula>
    </cfRule>
    <cfRule type="expression" priority="494" dxfId="2">
      <formula>AND(IF($Q31=2,1,0),IF($X31&lt;30,1,0))</formula>
    </cfRule>
    <cfRule type="expression" priority="495" dxfId="1">
      <formula>AND(IF($Q31=3,1,0),IF($X31&lt;30,1,0))</formula>
    </cfRule>
    <cfRule type="expression" priority="496" dxfId="0">
      <formula>AND(IF($Q31=3,1,IF($Q31=4,1,0)),IF($F31&lt;=85,1,0))</formula>
    </cfRule>
  </conditionalFormatting>
  <conditionalFormatting sqref="AV32">
    <cfRule type="expression" priority="491" dxfId="23">
      <formula>AV32="X"</formula>
    </cfRule>
    <cfRule type="expression" priority="492" dxfId="22">
      <formula>AV32="후보"</formula>
    </cfRule>
  </conditionalFormatting>
  <conditionalFormatting sqref="AC32 N32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AV33">
    <cfRule type="expression" priority="486" dxfId="23">
      <formula>AV33="X"</formula>
    </cfRule>
    <cfRule type="expression" priority="487" dxfId="22">
      <formula>AV33="후보"</formula>
    </cfRule>
  </conditionalFormatting>
  <conditionalFormatting sqref="AC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3">
    <cfRule type="expression" priority="477" dxfId="3">
      <formula>AND(IF(OR($Q33=1,$Q33=2),1,0),IF($X33&lt;=20,1,0))</formula>
    </cfRule>
    <cfRule type="expression" priority="478" dxfId="2">
      <formula>AND(IF($Q33=2,1,0),IF($X33&lt;30,1,0))</formula>
    </cfRule>
    <cfRule type="expression" priority="479" dxfId="1">
      <formula>AND(IF($Q33=3,1,0),IF($X33&lt;30,1,0))</formula>
    </cfRule>
    <cfRule type="expression" priority="480" dxfId="0">
      <formula>AND(IF($Q33=3,1,IF($Q33=4,1,0)),IF($F33&lt;=85,1,0))</formula>
    </cfRule>
  </conditionalFormatting>
  <conditionalFormatting sqref="X33">
    <cfRule type="expression" priority="473" dxfId="3">
      <formula>AND(IF(OR($Q33=1,$Q33=2),1,0),IF($X33&lt;=20,1,0))</formula>
    </cfRule>
    <cfRule type="expression" priority="474" dxfId="2">
      <formula>AND(IF($Q33=2,1,0),IF($X33&lt;30,1,0))</formula>
    </cfRule>
    <cfRule type="expression" priority="475" dxfId="1">
      <formula>AND(IF($Q33=3,1,0),IF($X33&lt;30,1,0))</formula>
    </cfRule>
    <cfRule type="expression" priority="476" dxfId="0">
      <formula>AND(IF($Q33=3,1,IF($Q33=4,1,0)),IF($F33&lt;=85,1,0))</formula>
    </cfRule>
  </conditionalFormatting>
  <conditionalFormatting sqref="AI33">
    <cfRule type="expression" priority="469" dxfId="3">
      <formula>AND(IF(OR($Q33=1,$Q33=2),1,0),IF($X33&lt;=20,1,0))</formula>
    </cfRule>
    <cfRule type="expression" priority="470" dxfId="2">
      <formula>AND(IF($Q33=2,1,0),IF($X33&lt;30,1,0))</formula>
    </cfRule>
    <cfRule type="expression" priority="471" dxfId="1">
      <formula>AND(IF($Q33=3,1,0),IF($X33&lt;30,1,0))</formula>
    </cfRule>
    <cfRule type="expression" priority="472" dxfId="0">
      <formula>AND(IF($Q33=3,1,IF($Q33=4,1,0)),IF($F33&lt;=85,1,0))</formula>
    </cfRule>
  </conditionalFormatting>
  <conditionalFormatting sqref="AV34">
    <cfRule type="expression" priority="467" dxfId="23">
      <formula>AV34="X"</formula>
    </cfRule>
    <cfRule type="expression" priority="468" dxfId="22">
      <formula>AV34="후보"</formula>
    </cfRule>
  </conditionalFormatting>
  <conditionalFormatting sqref="AC34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3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X34">
    <cfRule type="expression" priority="454" dxfId="3">
      <formula>AND(IF(OR($Q34=1,$Q34=2),1,0),IF($X34&lt;=20,1,0))</formula>
    </cfRule>
    <cfRule type="expression" priority="455" dxfId="2">
      <formula>AND(IF($Q34=2,1,0),IF($X34&lt;30,1,0))</formula>
    </cfRule>
    <cfRule type="expression" priority="456" dxfId="1">
      <formula>AND(IF($Q34=3,1,0),IF($X34&lt;30,1,0))</formula>
    </cfRule>
    <cfRule type="expression" priority="457" dxfId="0">
      <formula>AND(IF($Q34=3,1,IF($Q34=4,1,0)),IF($F34&lt;=85,1,0))</formula>
    </cfRule>
  </conditionalFormatting>
  <conditionalFormatting sqref="AI34">
    <cfRule type="expression" priority="450" dxfId="3">
      <formula>AND(IF(OR($Q34=1,$Q34=2),1,0),IF($X34&lt;=20,1,0))</formula>
    </cfRule>
    <cfRule type="expression" priority="451" dxfId="2">
      <formula>AND(IF($Q34=2,1,0),IF($X34&lt;30,1,0))</formula>
    </cfRule>
    <cfRule type="expression" priority="452" dxfId="1">
      <formula>AND(IF($Q34=3,1,0),IF($X34&lt;30,1,0))</formula>
    </cfRule>
    <cfRule type="expression" priority="453" dxfId="0">
      <formula>AND(IF($Q34=3,1,IF($Q34=4,1,0)),IF($F34&lt;=85,1,0))</formula>
    </cfRule>
  </conditionalFormatting>
  <conditionalFormatting sqref="AV35">
    <cfRule type="expression" priority="448" dxfId="23">
      <formula>AV35="X"</formula>
    </cfRule>
    <cfRule type="expression" priority="449" dxfId="22">
      <formula>AV35="후보"</formula>
    </cfRule>
  </conditionalFormatting>
  <conditionalFormatting sqref="AC35 N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36">
    <cfRule type="expression" priority="443" dxfId="23">
      <formula>AV36="X"</formula>
    </cfRule>
    <cfRule type="expression" priority="444" dxfId="22">
      <formula>AV36="후보"</formula>
    </cfRule>
  </conditionalFormatting>
  <conditionalFormatting sqref="AC36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36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36">
    <cfRule type="expression" priority="434" dxfId="3">
      <formula>AND(IF(OR($Q36=1,$Q36=2),1,0),IF($X36&lt;=20,1,0))</formula>
    </cfRule>
    <cfRule type="expression" priority="435" dxfId="2">
      <formula>AND(IF($Q36=2,1,0),IF($X36&lt;30,1,0))</formula>
    </cfRule>
    <cfRule type="expression" priority="436" dxfId="1">
      <formula>AND(IF($Q36=3,1,0),IF($X36&lt;30,1,0))</formula>
    </cfRule>
    <cfRule type="expression" priority="437" dxfId="0">
      <formula>AND(IF($Q36=3,1,IF($Q36=4,1,0)),IF($F36&lt;=85,1,0))</formula>
    </cfRule>
  </conditionalFormatting>
  <conditionalFormatting sqref="X36">
    <cfRule type="expression" priority="430" dxfId="3">
      <formula>AND(IF(OR($Q36=1,$Q36=2),1,0),IF($X36&lt;=20,1,0))</formula>
    </cfRule>
    <cfRule type="expression" priority="431" dxfId="2">
      <formula>AND(IF($Q36=2,1,0),IF($X36&lt;30,1,0))</formula>
    </cfRule>
    <cfRule type="expression" priority="432" dxfId="1">
      <formula>AND(IF($Q36=3,1,0),IF($X36&lt;30,1,0))</formula>
    </cfRule>
    <cfRule type="expression" priority="433" dxfId="0">
      <formula>AND(IF($Q36=3,1,IF($Q36=4,1,0)),IF($F36&lt;=85,1,0))</formula>
    </cfRule>
  </conditionalFormatting>
  <conditionalFormatting sqref="AI36">
    <cfRule type="expression" priority="426" dxfId="3">
      <formula>AND(IF(OR($Q36=1,$Q36=2),1,0),IF($X36&lt;=20,1,0))</formula>
    </cfRule>
    <cfRule type="expression" priority="427" dxfId="2">
      <formula>AND(IF($Q36=2,1,0),IF($X36&lt;30,1,0))</formula>
    </cfRule>
    <cfRule type="expression" priority="428" dxfId="1">
      <formula>AND(IF($Q36=3,1,0),IF($X36&lt;30,1,0))</formula>
    </cfRule>
    <cfRule type="expression" priority="429" dxfId="0">
      <formula>AND(IF($Q36=3,1,IF($Q36=4,1,0)),IF($F36&lt;=85,1,0))</formula>
    </cfRule>
  </conditionalFormatting>
  <conditionalFormatting sqref="AV37">
    <cfRule type="expression" priority="424" dxfId="23">
      <formula>AV37="X"</formula>
    </cfRule>
    <cfRule type="expression" priority="425" dxfId="22">
      <formula>AV37="후보"</formula>
    </cfRule>
  </conditionalFormatting>
  <conditionalFormatting sqref="AC37 N37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38">
    <cfRule type="expression" priority="419" dxfId="23">
      <formula>AV38="X"</formula>
    </cfRule>
    <cfRule type="expression" priority="420" dxfId="22">
      <formula>AV38="후보"</formula>
    </cfRule>
  </conditionalFormatting>
  <conditionalFormatting sqref="AC38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8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X38">
    <cfRule type="expression" priority="406" dxfId="3">
      <formula>AND(IF(OR($Q38=1,$Q38=2),1,0),IF($X38&lt;=20,1,0))</formula>
    </cfRule>
    <cfRule type="expression" priority="407" dxfId="2">
      <formula>AND(IF($Q38=2,1,0),IF($X38&lt;30,1,0))</formula>
    </cfRule>
    <cfRule type="expression" priority="408" dxfId="1">
      <formula>AND(IF($Q38=3,1,0),IF($X38&lt;30,1,0))</formula>
    </cfRule>
    <cfRule type="expression" priority="409" dxfId="0">
      <formula>AND(IF($Q38=3,1,IF($Q38=4,1,0)),IF($F38&lt;=85,1,0))</formula>
    </cfRule>
  </conditionalFormatting>
  <conditionalFormatting sqref="AI38">
    <cfRule type="expression" priority="402" dxfId="3">
      <formula>AND(IF(OR($Q38=1,$Q38=2),1,0),IF($X38&lt;=20,1,0))</formula>
    </cfRule>
    <cfRule type="expression" priority="403" dxfId="2">
      <formula>AND(IF($Q38=2,1,0),IF($X38&lt;30,1,0))</formula>
    </cfRule>
    <cfRule type="expression" priority="404" dxfId="1">
      <formula>AND(IF($Q38=3,1,0),IF($X38&lt;30,1,0))</formula>
    </cfRule>
    <cfRule type="expression" priority="405" dxfId="0">
      <formula>AND(IF($Q38=3,1,IF($Q38=4,1,0)),IF($F38&lt;=85,1,0))</formula>
    </cfRule>
  </conditionalFormatting>
  <conditionalFormatting sqref="AV39">
    <cfRule type="expression" priority="400" dxfId="23">
      <formula>AV39="X"</formula>
    </cfRule>
    <cfRule type="expression" priority="401" dxfId="22">
      <formula>AV39="후보"</formula>
    </cfRule>
  </conditionalFormatting>
  <conditionalFormatting sqref="AC39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9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X39">
    <cfRule type="expression" priority="387" dxfId="3">
      <formula>AND(IF(OR($Q39=1,$Q39=2),1,0),IF($X39&lt;=20,1,0))</formula>
    </cfRule>
    <cfRule type="expression" priority="388" dxfId="2">
      <formula>AND(IF($Q39=2,1,0),IF($X39&lt;30,1,0))</formula>
    </cfRule>
    <cfRule type="expression" priority="389" dxfId="1">
      <formula>AND(IF($Q39=3,1,0),IF($X39&lt;30,1,0))</formula>
    </cfRule>
    <cfRule type="expression" priority="390" dxfId="0">
      <formula>AND(IF($Q39=3,1,IF($Q39=4,1,0)),IF($F39&lt;=85,1,0))</formula>
    </cfRule>
  </conditionalFormatting>
  <conditionalFormatting sqref="AI39">
    <cfRule type="expression" priority="383" dxfId="3">
      <formula>AND(IF(OR($Q39=1,$Q39=2),1,0),IF($X39&lt;=20,1,0))</formula>
    </cfRule>
    <cfRule type="expression" priority="384" dxfId="2">
      <formula>AND(IF($Q39=2,1,0),IF($X39&lt;30,1,0))</formula>
    </cfRule>
    <cfRule type="expression" priority="385" dxfId="1">
      <formula>AND(IF($Q39=3,1,0),IF($X39&lt;30,1,0))</formula>
    </cfRule>
    <cfRule type="expression" priority="386" dxfId="0">
      <formula>AND(IF($Q39=3,1,IF($Q39=4,1,0)),IF($F39&lt;=85,1,0))</formula>
    </cfRule>
  </conditionalFormatting>
  <conditionalFormatting sqref="AV40">
    <cfRule type="expression" priority="381" dxfId="23">
      <formula>AV40="X"</formula>
    </cfRule>
    <cfRule type="expression" priority="382" dxfId="22">
      <formula>AV40="후보"</formula>
    </cfRule>
  </conditionalFormatting>
  <conditionalFormatting sqref="AC40 N40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41">
    <cfRule type="expression" priority="376" dxfId="23">
      <formula>AV41="X"</formula>
    </cfRule>
    <cfRule type="expression" priority="377" dxfId="22">
      <formula>AV41="후보"</formula>
    </cfRule>
  </conditionalFormatting>
  <conditionalFormatting sqref="AC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1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X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I41">
    <cfRule type="expression" priority="359" dxfId="3">
      <formula>AND(IF(OR($Q41=1,$Q41=2),1,0),IF($X41&lt;=20,1,0))</formula>
    </cfRule>
    <cfRule type="expression" priority="360" dxfId="2">
      <formula>AND(IF($Q41=2,1,0),IF($X41&lt;30,1,0))</formula>
    </cfRule>
    <cfRule type="expression" priority="361" dxfId="1">
      <formula>AND(IF($Q41=3,1,0),IF($X41&lt;30,1,0))</formula>
    </cfRule>
    <cfRule type="expression" priority="362" dxfId="0">
      <formula>AND(IF($Q41=3,1,IF($Q41=4,1,0)),IF($F41&lt;=85,1,0))</formula>
    </cfRule>
  </conditionalFormatting>
  <conditionalFormatting sqref="AV42">
    <cfRule type="expression" priority="357" dxfId="23">
      <formula>AV42="X"</formula>
    </cfRule>
    <cfRule type="expression" priority="358" dxfId="22">
      <formula>AV42="후보"</formula>
    </cfRule>
  </conditionalFormatting>
  <conditionalFormatting sqref="AC42 N42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43">
    <cfRule type="expression" priority="352" dxfId="23">
      <formula>AV43="X"</formula>
    </cfRule>
    <cfRule type="expression" priority="353" dxfId="22">
      <formula>AV43="후보"</formula>
    </cfRule>
  </conditionalFormatting>
  <conditionalFormatting sqref="AC4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4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43">
    <cfRule type="expression" priority="343" dxfId="3">
      <formula>AND(IF(OR($Q43=1,$Q43=2),1,0),IF($X43&lt;=20,1,0))</formula>
    </cfRule>
    <cfRule type="expression" priority="344" dxfId="2">
      <formula>AND(IF($Q43=2,1,0),IF($X43&lt;30,1,0))</formula>
    </cfRule>
    <cfRule type="expression" priority="345" dxfId="1">
      <formula>AND(IF($Q43=3,1,0),IF($X43&lt;30,1,0))</formula>
    </cfRule>
    <cfRule type="expression" priority="346" dxfId="0">
      <formula>AND(IF($Q43=3,1,IF($Q43=4,1,0)),IF($F43&lt;=85,1,0))</formula>
    </cfRule>
  </conditionalFormatting>
  <conditionalFormatting sqref="X43">
    <cfRule type="expression" priority="339" dxfId="3">
      <formula>AND(IF(OR($Q43=1,$Q43=2),1,0),IF($X43&lt;=20,1,0))</formula>
    </cfRule>
    <cfRule type="expression" priority="340" dxfId="2">
      <formula>AND(IF($Q43=2,1,0),IF($X43&lt;30,1,0))</formula>
    </cfRule>
    <cfRule type="expression" priority="341" dxfId="1">
      <formula>AND(IF($Q43=3,1,0),IF($X43&lt;30,1,0))</formula>
    </cfRule>
    <cfRule type="expression" priority="342" dxfId="0">
      <formula>AND(IF($Q43=3,1,IF($Q43=4,1,0)),IF($F43&lt;=85,1,0))</formula>
    </cfRule>
  </conditionalFormatting>
  <conditionalFormatting sqref="AI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AV44">
    <cfRule type="expression" priority="333" dxfId="23">
      <formula>AV44="X"</formula>
    </cfRule>
    <cfRule type="expression" priority="334" dxfId="22">
      <formula>AV44="후보"</formula>
    </cfRule>
  </conditionalFormatting>
  <conditionalFormatting sqref="AC44 N4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45">
    <cfRule type="expression" priority="328" dxfId="23">
      <formula>AV45="X"</formula>
    </cfRule>
    <cfRule type="expression" priority="329" dxfId="22">
      <formula>AV45="후보"</formula>
    </cfRule>
  </conditionalFormatting>
  <conditionalFormatting sqref="AC4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X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I45">
    <cfRule type="expression" priority="311" dxfId="3">
      <formula>AND(IF(OR($Q45=1,$Q45=2),1,0),IF($X45&lt;=20,1,0))</formula>
    </cfRule>
    <cfRule type="expression" priority="312" dxfId="2">
      <formula>AND(IF($Q45=2,1,0),IF($X45&lt;30,1,0))</formula>
    </cfRule>
    <cfRule type="expression" priority="313" dxfId="1">
      <formula>AND(IF($Q45=3,1,0),IF($X45&lt;30,1,0))</formula>
    </cfRule>
    <cfRule type="expression" priority="314" dxfId="0">
      <formula>AND(IF($Q45=3,1,IF($Q45=4,1,0)),IF($F45&lt;=85,1,0))</formula>
    </cfRule>
  </conditionalFormatting>
  <conditionalFormatting sqref="AV46">
    <cfRule type="expression" priority="309" dxfId="23">
      <formula>AV46="X"</formula>
    </cfRule>
    <cfRule type="expression" priority="310" dxfId="22">
      <formula>AV46="후보"</formula>
    </cfRule>
  </conditionalFormatting>
  <conditionalFormatting sqref="AC46 N4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47">
    <cfRule type="expression" priority="304" dxfId="23">
      <formula>AV47="X"</formula>
    </cfRule>
    <cfRule type="expression" priority="305" dxfId="22">
      <formula>AV47="후보"</formula>
    </cfRule>
  </conditionalFormatting>
  <conditionalFormatting sqref="AC4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23">
      <formula>AV48="X"</formula>
    </cfRule>
    <cfRule type="expression" priority="286" dxfId="22">
      <formula>AV48="후보"</formula>
    </cfRule>
  </conditionalFormatting>
  <conditionalFormatting sqref="AC4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8">
    <cfRule type="expression" priority="276" dxfId="3">
      <formula>AND(IF(OR($Q48=1,$Q48=2),1,0),IF($X48&lt;=20,1,0))</formula>
    </cfRule>
    <cfRule type="expression" priority="277" dxfId="2">
      <formula>AND(IF($Q48=2,1,0),IF($X48&lt;30,1,0))</formula>
    </cfRule>
    <cfRule type="expression" priority="278" dxfId="1">
      <formula>AND(IF($Q48=3,1,0),IF($X48&lt;30,1,0))</formula>
    </cfRule>
    <cfRule type="expression" priority="279" dxfId="0">
      <formula>AND(IF($Q48=3,1,IF($Q48=4,1,0)),IF($F48&lt;=85,1,0))</formula>
    </cfRule>
  </conditionalFormatting>
  <conditionalFormatting sqref="X48">
    <cfRule type="expression" priority="272" dxfId="3">
      <formula>AND(IF(OR($Q48=1,$Q48=2),1,0),IF($X48&lt;=20,1,0))</formula>
    </cfRule>
    <cfRule type="expression" priority="273" dxfId="2">
      <formula>AND(IF($Q48=2,1,0),IF($X48&lt;30,1,0))</formula>
    </cfRule>
    <cfRule type="expression" priority="274" dxfId="1">
      <formula>AND(IF($Q48=3,1,0),IF($X48&lt;30,1,0))</formula>
    </cfRule>
    <cfRule type="expression" priority="275" dxfId="0">
      <formula>AND(IF($Q48=3,1,IF($Q48=4,1,0)),IF($F48&lt;=85,1,0))</formula>
    </cfRule>
  </conditionalFormatting>
  <conditionalFormatting sqref="AI48">
    <cfRule type="expression" priority="268" dxfId="3">
      <formula>AND(IF(OR($Q48=1,$Q48=2),1,0),IF($X48&lt;=20,1,0))</formula>
    </cfRule>
    <cfRule type="expression" priority="269" dxfId="2">
      <formula>AND(IF($Q48=2,1,0),IF($X48&lt;30,1,0))</formula>
    </cfRule>
    <cfRule type="expression" priority="270" dxfId="1">
      <formula>AND(IF($Q48=3,1,0),IF($X48&lt;30,1,0))</formula>
    </cfRule>
    <cfRule type="expression" priority="271" dxfId="0">
      <formula>AND(IF($Q48=3,1,IF($Q48=4,1,0)),IF($F48&lt;=85,1,0))</formula>
    </cfRule>
  </conditionalFormatting>
  <conditionalFormatting sqref="AV49">
    <cfRule type="expression" priority="266" dxfId="23">
      <formula>AV49="X"</formula>
    </cfRule>
    <cfRule type="expression" priority="267" dxfId="22">
      <formula>AV49="후보"</formula>
    </cfRule>
  </conditionalFormatting>
  <conditionalFormatting sqref="AC4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9">
    <cfRule type="expression" priority="257" dxfId="3">
      <formula>AND(IF(OR($Q49=1,$Q49=2),1,0),IF($X49&lt;=20,1,0))</formula>
    </cfRule>
    <cfRule type="expression" priority="258" dxfId="2">
      <formula>AND(IF($Q49=2,1,0),IF($X49&lt;30,1,0))</formula>
    </cfRule>
    <cfRule type="expression" priority="259" dxfId="1">
      <formula>AND(IF($Q49=3,1,0),IF($X49&lt;30,1,0))</formula>
    </cfRule>
    <cfRule type="expression" priority="260" dxfId="0">
      <formula>AND(IF($Q49=3,1,IF($Q49=4,1,0)),IF($F49&lt;=85,1,0))</formula>
    </cfRule>
  </conditionalFormatting>
  <conditionalFormatting sqref="X49">
    <cfRule type="expression" priority="253" dxfId="3">
      <formula>AND(IF(OR($Q49=1,$Q49=2),1,0),IF($X49&lt;=20,1,0))</formula>
    </cfRule>
    <cfRule type="expression" priority="254" dxfId="2">
      <formula>AND(IF($Q49=2,1,0),IF($X49&lt;30,1,0))</formula>
    </cfRule>
    <cfRule type="expression" priority="255" dxfId="1">
      <formula>AND(IF($Q49=3,1,0),IF($X49&lt;30,1,0))</formula>
    </cfRule>
    <cfRule type="expression" priority="256" dxfId="0">
      <formula>AND(IF($Q49=3,1,IF($Q49=4,1,0)),IF($F49&lt;=85,1,0))</formula>
    </cfRule>
  </conditionalFormatting>
  <conditionalFormatting sqref="AI49">
    <cfRule type="expression" priority="249" dxfId="3">
      <formula>AND(IF(OR($Q49=1,$Q49=2),1,0),IF($X49&lt;=20,1,0))</formula>
    </cfRule>
    <cfRule type="expression" priority="250" dxfId="2">
      <formula>AND(IF($Q49=2,1,0),IF($X49&lt;30,1,0))</formula>
    </cfRule>
    <cfRule type="expression" priority="251" dxfId="1">
      <formula>AND(IF($Q49=3,1,0),IF($X49&lt;30,1,0))</formula>
    </cfRule>
    <cfRule type="expression" priority="252" dxfId="0">
      <formula>AND(IF($Q49=3,1,IF($Q49=4,1,0)),IF($F49&lt;=85,1,0))</formula>
    </cfRule>
  </conditionalFormatting>
  <conditionalFormatting sqref="AV50">
    <cfRule type="expression" priority="247" dxfId="23">
      <formula>AV50="X"</formula>
    </cfRule>
    <cfRule type="expression" priority="248" dxfId="22">
      <formula>AV50="후보"</formula>
    </cfRule>
  </conditionalFormatting>
  <conditionalFormatting sqref="AC5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0">
    <cfRule type="expression" priority="238" dxfId="3">
      <formula>AND(IF(OR($Q50=1,$Q50=2),1,0),IF($X50&lt;=20,1,0))</formula>
    </cfRule>
    <cfRule type="expression" priority="239" dxfId="2">
      <formula>AND(IF($Q50=2,1,0),IF($X50&lt;30,1,0))</formula>
    </cfRule>
    <cfRule type="expression" priority="240" dxfId="1">
      <formula>AND(IF($Q50=3,1,0),IF($X50&lt;30,1,0))</formula>
    </cfRule>
    <cfRule type="expression" priority="241" dxfId="0">
      <formula>AND(IF($Q50=3,1,IF($Q50=4,1,0)),IF($F50&lt;=85,1,0))</formula>
    </cfRule>
  </conditionalFormatting>
  <conditionalFormatting sqref="X50">
    <cfRule type="expression" priority="234" dxfId="3">
      <formula>AND(IF(OR($Q50=1,$Q50=2),1,0),IF($X50&lt;=20,1,0))</formula>
    </cfRule>
    <cfRule type="expression" priority="235" dxfId="2">
      <formula>AND(IF($Q50=2,1,0),IF($X50&lt;30,1,0))</formula>
    </cfRule>
    <cfRule type="expression" priority="236" dxfId="1">
      <formula>AND(IF($Q50=3,1,0),IF($X50&lt;30,1,0))</formula>
    </cfRule>
    <cfRule type="expression" priority="237" dxfId="0">
      <formula>AND(IF($Q50=3,1,IF($Q50=4,1,0)),IF($F50&lt;=85,1,0))</formula>
    </cfRule>
  </conditionalFormatting>
  <conditionalFormatting sqref="AI50">
    <cfRule type="expression" priority="230" dxfId="3">
      <formula>AND(IF(OR($Q50=1,$Q50=2),1,0),IF($X50&lt;=20,1,0))</formula>
    </cfRule>
    <cfRule type="expression" priority="231" dxfId="2">
      <formula>AND(IF($Q50=2,1,0),IF($X50&lt;30,1,0))</formula>
    </cfRule>
    <cfRule type="expression" priority="232" dxfId="1">
      <formula>AND(IF($Q50=3,1,0),IF($X50&lt;30,1,0))</formula>
    </cfRule>
    <cfRule type="expression" priority="233" dxfId="0">
      <formula>AND(IF($Q50=3,1,IF($Q50=4,1,0)),IF($F50&lt;=85,1,0))</formula>
    </cfRule>
  </conditionalFormatting>
  <conditionalFormatting sqref="AV51">
    <cfRule type="expression" priority="228" dxfId="23">
      <formula>AV51="X"</formula>
    </cfRule>
    <cfRule type="expression" priority="229" dxfId="22">
      <formula>AV51="후보"</formula>
    </cfRule>
  </conditionalFormatting>
  <conditionalFormatting sqref="AC51 N5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2">
    <cfRule type="expression" priority="223" dxfId="23">
      <formula>AV52="X"</formula>
    </cfRule>
    <cfRule type="expression" priority="224" dxfId="22">
      <formula>AV52="후보"</formula>
    </cfRule>
  </conditionalFormatting>
  <conditionalFormatting sqref="AC5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2">
    <cfRule type="expression" priority="214" dxfId="3">
      <formula>AND(IF(OR($Q52=1,$Q52=2),1,0),IF($X52&lt;=20,1,0))</formula>
    </cfRule>
    <cfRule type="expression" priority="215" dxfId="2">
      <formula>AND(IF($Q52=2,1,0),IF($X52&lt;30,1,0))</formula>
    </cfRule>
    <cfRule type="expression" priority="216" dxfId="1">
      <formula>AND(IF($Q52=3,1,0),IF($X52&lt;30,1,0))</formula>
    </cfRule>
    <cfRule type="expression" priority="217" dxfId="0">
      <formula>AND(IF($Q52=3,1,IF($Q52=4,1,0)),IF($F52&lt;=85,1,0))</formula>
    </cfRule>
  </conditionalFormatting>
  <conditionalFormatting sqref="X52">
    <cfRule type="expression" priority="210" dxfId="3">
      <formula>AND(IF(OR($Q52=1,$Q52=2),1,0),IF($X52&lt;=20,1,0))</formula>
    </cfRule>
    <cfRule type="expression" priority="211" dxfId="2">
      <formula>AND(IF($Q52=2,1,0),IF($X52&lt;30,1,0))</formula>
    </cfRule>
    <cfRule type="expression" priority="212" dxfId="1">
      <formula>AND(IF($Q52=3,1,0),IF($X52&lt;30,1,0))</formula>
    </cfRule>
    <cfRule type="expression" priority="213" dxfId="0">
      <formula>AND(IF($Q52=3,1,IF($Q52=4,1,0)),IF($F52&lt;=85,1,0))</formula>
    </cfRule>
  </conditionalFormatting>
  <conditionalFormatting sqref="AI52">
    <cfRule type="expression" priority="206" dxfId="3">
      <formula>AND(IF(OR($Q52=1,$Q52=2),1,0),IF($X52&lt;=20,1,0))</formula>
    </cfRule>
    <cfRule type="expression" priority="207" dxfId="2">
      <formula>AND(IF($Q52=2,1,0),IF($X52&lt;30,1,0))</formula>
    </cfRule>
    <cfRule type="expression" priority="208" dxfId="1">
      <formula>AND(IF($Q52=3,1,0),IF($X52&lt;30,1,0))</formula>
    </cfRule>
    <cfRule type="expression" priority="209" dxfId="0">
      <formula>AND(IF($Q52=3,1,IF($Q52=4,1,0)),IF($F52&lt;=85,1,0))</formula>
    </cfRule>
  </conditionalFormatting>
  <conditionalFormatting sqref="AV53">
    <cfRule type="expression" priority="204" dxfId="23">
      <formula>AV53="X"</formula>
    </cfRule>
    <cfRule type="expression" priority="205" dxfId="22">
      <formula>AV53="후보"</formula>
    </cfRule>
  </conditionalFormatting>
  <conditionalFormatting sqref="AC5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3">
    <cfRule type="expression" priority="195" dxfId="3">
      <formula>AND(IF(OR($Q53=1,$Q53=2),1,0),IF($X53&lt;=20,1,0))</formula>
    </cfRule>
    <cfRule type="expression" priority="196" dxfId="2">
      <formula>AND(IF($Q53=2,1,0),IF($X53&lt;30,1,0))</formula>
    </cfRule>
    <cfRule type="expression" priority="197" dxfId="1">
      <formula>AND(IF($Q53=3,1,0),IF($X53&lt;30,1,0))</formula>
    </cfRule>
    <cfRule type="expression" priority="198" dxfId="0">
      <formula>AND(IF($Q53=3,1,IF($Q53=4,1,0)),IF($F53&lt;=85,1,0))</formula>
    </cfRule>
  </conditionalFormatting>
  <conditionalFormatting sqref="X53">
    <cfRule type="expression" priority="191" dxfId="3">
      <formula>AND(IF(OR($Q53=1,$Q53=2),1,0),IF($X53&lt;=20,1,0))</formula>
    </cfRule>
    <cfRule type="expression" priority="192" dxfId="2">
      <formula>AND(IF($Q53=2,1,0),IF($X53&lt;30,1,0))</formula>
    </cfRule>
    <cfRule type="expression" priority="193" dxfId="1">
      <formula>AND(IF($Q53=3,1,0),IF($X53&lt;30,1,0))</formula>
    </cfRule>
    <cfRule type="expression" priority="194" dxfId="0">
      <formula>AND(IF($Q53=3,1,IF($Q53=4,1,0)),IF($F53&lt;=85,1,0))</formula>
    </cfRule>
  </conditionalFormatting>
  <conditionalFormatting sqref="AI53">
    <cfRule type="expression" priority="187" dxfId="3">
      <formula>AND(IF(OR($Q53=1,$Q53=2),1,0),IF($X53&lt;=20,1,0))</formula>
    </cfRule>
    <cfRule type="expression" priority="188" dxfId="2">
      <formula>AND(IF($Q53=2,1,0),IF($X53&lt;30,1,0))</formula>
    </cfRule>
    <cfRule type="expression" priority="189" dxfId="1">
      <formula>AND(IF($Q53=3,1,0),IF($X53&lt;30,1,0))</formula>
    </cfRule>
    <cfRule type="expression" priority="190" dxfId="0">
      <formula>AND(IF($Q53=3,1,IF($Q53=4,1,0)),IF($F53&lt;=85,1,0))</formula>
    </cfRule>
  </conditionalFormatting>
  <conditionalFormatting sqref="AV54">
    <cfRule type="expression" priority="185" dxfId="23">
      <formula>AV54="X"</formula>
    </cfRule>
    <cfRule type="expression" priority="186" dxfId="22">
      <formula>AV54="후보"</formula>
    </cfRule>
  </conditionalFormatting>
  <conditionalFormatting sqref="AC5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4">
    <cfRule type="expression" priority="176" dxfId="3">
      <formula>AND(IF(OR($Q54=1,$Q54=2),1,0),IF($X54&lt;=20,1,0))</formula>
    </cfRule>
    <cfRule type="expression" priority="177" dxfId="2">
      <formula>AND(IF($Q54=2,1,0),IF($X54&lt;30,1,0))</formula>
    </cfRule>
    <cfRule type="expression" priority="178" dxfId="1">
      <formula>AND(IF($Q54=3,1,0),IF($X54&lt;30,1,0))</formula>
    </cfRule>
    <cfRule type="expression" priority="179" dxfId="0">
      <formula>AND(IF($Q54=3,1,IF($Q54=4,1,0)),IF($F54&lt;=85,1,0))</formula>
    </cfRule>
  </conditionalFormatting>
  <conditionalFormatting sqref="X54">
    <cfRule type="expression" priority="172" dxfId="3">
      <formula>AND(IF(OR($Q54=1,$Q54=2),1,0),IF($X54&lt;=20,1,0))</formula>
    </cfRule>
    <cfRule type="expression" priority="173" dxfId="2">
      <formula>AND(IF($Q54=2,1,0),IF($X54&lt;30,1,0))</formula>
    </cfRule>
    <cfRule type="expression" priority="174" dxfId="1">
      <formula>AND(IF($Q54=3,1,0),IF($X54&lt;30,1,0))</formula>
    </cfRule>
    <cfRule type="expression" priority="175" dxfId="0">
      <formula>AND(IF($Q54=3,1,IF($Q54=4,1,0)),IF($F54&lt;=85,1,0))</formula>
    </cfRule>
  </conditionalFormatting>
  <conditionalFormatting sqref="AI54">
    <cfRule type="expression" priority="168" dxfId="3">
      <formula>AND(IF(OR($Q54=1,$Q54=2),1,0),IF($X54&lt;=20,1,0))</formula>
    </cfRule>
    <cfRule type="expression" priority="169" dxfId="2">
      <formula>AND(IF($Q54=2,1,0),IF($X54&lt;30,1,0))</formula>
    </cfRule>
    <cfRule type="expression" priority="170" dxfId="1">
      <formula>AND(IF($Q54=3,1,0),IF($X54&lt;30,1,0))</formula>
    </cfRule>
    <cfRule type="expression" priority="171" dxfId="0">
      <formula>AND(IF($Q54=3,1,IF($Q54=4,1,0)),IF($F54&lt;=85,1,0))</formula>
    </cfRule>
  </conditionalFormatting>
  <conditionalFormatting sqref="AV55">
    <cfRule type="expression" priority="166" dxfId="23">
      <formula>AV55="X"</formula>
    </cfRule>
    <cfRule type="expression" priority="167" dxfId="22">
      <formula>AV55="후보"</formula>
    </cfRule>
  </conditionalFormatting>
  <conditionalFormatting sqref="AC55 N5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23">
      <formula>AV57="X"</formula>
    </cfRule>
    <cfRule type="expression" priority="143" dxfId="22">
      <formula>AV57="후보"</formula>
    </cfRule>
  </conditionalFormatting>
  <conditionalFormatting sqref="AC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23">
      <formula>AV58="X"</formula>
    </cfRule>
    <cfRule type="expression" priority="124" dxfId="22">
      <formula>AV58="후보"</formula>
    </cfRule>
  </conditionalFormatting>
  <conditionalFormatting sqref="AC5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23">
      <formula>AV59="X"</formula>
    </cfRule>
    <cfRule type="expression" priority="105" dxfId="22">
      <formula>AV59="후보"</formula>
    </cfRule>
  </conditionalFormatting>
  <conditionalFormatting sqref="AC5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X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I59">
    <cfRule type="expression" priority="87" dxfId="3">
      <formula>AND(IF(OR($Q59=1,$Q59=2),1,0),IF($X59&lt;=20,1,0))</formula>
    </cfRule>
    <cfRule type="expression" priority="88" dxfId="2">
      <formula>AND(IF($Q59=2,1,0),IF($X59&lt;30,1,0))</formula>
    </cfRule>
    <cfRule type="expression" priority="89" dxfId="1">
      <formula>AND(IF($Q59=3,1,0),IF($X59&lt;30,1,0))</formula>
    </cfRule>
    <cfRule type="expression" priority="90" dxfId="0">
      <formula>AND(IF($Q59=3,1,IF($Q59=4,1,0)),IF($F59&lt;=85,1,0))</formula>
    </cfRule>
  </conditionalFormatting>
  <conditionalFormatting sqref="AV60">
    <cfRule type="expression" priority="85" dxfId="23">
      <formula>AV60="X"</formula>
    </cfRule>
    <cfRule type="expression" priority="86" dxfId="22">
      <formula>AV60="후보"</formula>
    </cfRule>
  </conditionalFormatting>
  <conditionalFormatting sqref="AC6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0">
    <cfRule type="expression" priority="76" dxfId="3">
      <formula>AND(IF(OR($Q60=1,$Q60=2),1,0),IF($X60&lt;=20,1,0))</formula>
    </cfRule>
    <cfRule type="expression" priority="77" dxfId="2">
      <formula>AND(IF($Q60=2,1,0),IF($X60&lt;30,1,0))</formula>
    </cfRule>
    <cfRule type="expression" priority="78" dxfId="1">
      <formula>AND(IF($Q60=3,1,0),IF($X60&lt;30,1,0))</formula>
    </cfRule>
    <cfRule type="expression" priority="79" dxfId="0">
      <formula>AND(IF($Q60=3,1,IF($Q60=4,1,0)),IF($F60&lt;=85,1,0))</formula>
    </cfRule>
  </conditionalFormatting>
  <conditionalFormatting sqref="X60">
    <cfRule type="expression" priority="72" dxfId="3">
      <formula>AND(IF(OR($Q60=1,$Q60=2),1,0),IF($X60&lt;=20,1,0))</formula>
    </cfRule>
    <cfRule type="expression" priority="73" dxfId="2">
      <formula>AND(IF($Q60=2,1,0),IF($X60&lt;30,1,0))</formula>
    </cfRule>
    <cfRule type="expression" priority="74" dxfId="1">
      <formula>AND(IF($Q60=3,1,0),IF($X60&lt;30,1,0))</formula>
    </cfRule>
    <cfRule type="expression" priority="75" dxfId="0">
      <formula>AND(IF($Q60=3,1,IF($Q60=4,1,0)),IF($F60&lt;=85,1,0))</formula>
    </cfRule>
  </conditionalFormatting>
  <conditionalFormatting sqref="AI60">
    <cfRule type="expression" priority="68" dxfId="3">
      <formula>AND(IF(OR($Q60=1,$Q60=2),1,0),IF($X60&lt;=20,1,0))</formula>
    </cfRule>
    <cfRule type="expression" priority="69" dxfId="2">
      <formula>AND(IF($Q60=2,1,0),IF($X60&lt;30,1,0))</formula>
    </cfRule>
    <cfRule type="expression" priority="70" dxfId="1">
      <formula>AND(IF($Q60=3,1,0),IF($X60&lt;30,1,0))</formula>
    </cfRule>
    <cfRule type="expression" priority="71" dxfId="0">
      <formula>AND(IF($Q60=3,1,IF($Q60=4,1,0)),IF($F60&lt;=85,1,0))</formula>
    </cfRule>
  </conditionalFormatting>
  <conditionalFormatting sqref="AV61">
    <cfRule type="expression" priority="66" dxfId="23">
      <formula>AV61="X"</formula>
    </cfRule>
    <cfRule type="expression" priority="67" dxfId="22">
      <formula>AV61="후보"</formula>
    </cfRule>
  </conditionalFormatting>
  <conditionalFormatting sqref="AC6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1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1">
    <cfRule type="expression" priority="57" dxfId="3">
      <formula>AND(IF(OR($Q61=1,$Q61=2),1,0),IF($X61&lt;=20,1,0))</formula>
    </cfRule>
    <cfRule type="expression" priority="58" dxfId="2">
      <formula>AND(IF($Q61=2,1,0),IF($X61&lt;30,1,0))</formula>
    </cfRule>
    <cfRule type="expression" priority="59" dxfId="1">
      <formula>AND(IF($Q61=3,1,0),IF($X61&lt;30,1,0))</formula>
    </cfRule>
    <cfRule type="expression" priority="60" dxfId="0">
      <formula>AND(IF($Q61=3,1,IF($Q61=4,1,0)),IF($F61&lt;=85,1,0))</formula>
    </cfRule>
  </conditionalFormatting>
  <conditionalFormatting sqref="X61">
    <cfRule type="expression" priority="53" dxfId="3">
      <formula>AND(IF(OR($Q61=1,$Q61=2),1,0),IF($X61&lt;=20,1,0))</formula>
    </cfRule>
    <cfRule type="expression" priority="54" dxfId="2">
      <formula>AND(IF($Q61=2,1,0),IF($X61&lt;30,1,0))</formula>
    </cfRule>
    <cfRule type="expression" priority="55" dxfId="1">
      <formula>AND(IF($Q61=3,1,0),IF($X61&lt;30,1,0))</formula>
    </cfRule>
    <cfRule type="expression" priority="56" dxfId="0">
      <formula>AND(IF($Q61=3,1,IF($Q61=4,1,0)),IF($F61&lt;=85,1,0))</formula>
    </cfRule>
  </conditionalFormatting>
  <conditionalFormatting sqref="AI61">
    <cfRule type="expression" priority="49" dxfId="3">
      <formula>AND(IF(OR($Q61=1,$Q61=2),1,0),IF($X61&lt;=20,1,0))</formula>
    </cfRule>
    <cfRule type="expression" priority="50" dxfId="2">
      <formula>AND(IF($Q61=2,1,0),IF($X61&lt;30,1,0))</formula>
    </cfRule>
    <cfRule type="expression" priority="51" dxfId="1">
      <formula>AND(IF($Q61=3,1,0),IF($X61&lt;30,1,0))</formula>
    </cfRule>
    <cfRule type="expression" priority="52" dxfId="0">
      <formula>AND(IF($Q61=3,1,IF($Q61=4,1,0)),IF($F61&lt;=85,1,0))</formula>
    </cfRule>
  </conditionalFormatting>
  <conditionalFormatting sqref="AV62">
    <cfRule type="expression" priority="47" dxfId="23">
      <formula>AV62="X"</formula>
    </cfRule>
    <cfRule type="expression" priority="48" dxfId="22">
      <formula>AV62="후보"</formula>
    </cfRule>
  </conditionalFormatting>
  <conditionalFormatting sqref="AC62 N62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63">
    <cfRule type="expression" priority="42" dxfId="23">
      <formula>AV63="X"</formula>
    </cfRule>
    <cfRule type="expression" priority="43" dxfId="22">
      <formula>AV63="후보"</formula>
    </cfRule>
  </conditionalFormatting>
  <conditionalFormatting sqref="AC6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6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63">
    <cfRule type="expression" priority="33" dxfId="3">
      <formula>AND(IF(OR($Q63=1,$Q63=2),1,0),IF($X63&lt;=20,1,0))</formula>
    </cfRule>
    <cfRule type="expression" priority="34" dxfId="2">
      <formula>AND(IF($Q63=2,1,0),IF($X63&lt;30,1,0))</formula>
    </cfRule>
    <cfRule type="expression" priority="35" dxfId="1">
      <formula>AND(IF($Q63=3,1,0),IF($X63&lt;30,1,0))</formula>
    </cfRule>
    <cfRule type="expression" priority="36" dxfId="0">
      <formula>AND(IF($Q63=3,1,IF($Q63=4,1,0)),IF($F63&lt;=85,1,0))</formula>
    </cfRule>
  </conditionalFormatting>
  <conditionalFormatting sqref="X63">
    <cfRule type="expression" priority="29" dxfId="3">
      <formula>AND(IF(OR($Q63=1,$Q63=2),1,0),IF($X63&lt;=20,1,0))</formula>
    </cfRule>
    <cfRule type="expression" priority="30" dxfId="2">
      <formula>AND(IF($Q63=2,1,0),IF($X63&lt;30,1,0))</formula>
    </cfRule>
    <cfRule type="expression" priority="31" dxfId="1">
      <formula>AND(IF($Q63=3,1,0),IF($X63&lt;30,1,0))</formula>
    </cfRule>
    <cfRule type="expression" priority="32" dxfId="0">
      <formula>AND(IF($Q63=3,1,IF($Q63=4,1,0)),IF($F63&lt;=85,1,0))</formula>
    </cfRule>
  </conditionalFormatting>
  <conditionalFormatting sqref="AI63">
    <cfRule type="expression" priority="25" dxfId="3">
      <formula>AND(IF(OR($Q63=1,$Q63=2),1,0),IF($X63&lt;=20,1,0))</formula>
    </cfRule>
    <cfRule type="expression" priority="26" dxfId="2">
      <formula>AND(IF($Q63=2,1,0),IF($X63&lt;30,1,0))</formula>
    </cfRule>
    <cfRule type="expression" priority="27" dxfId="1">
      <formula>AND(IF($Q63=3,1,0),IF($X63&lt;30,1,0))</formula>
    </cfRule>
    <cfRule type="expression" priority="28" dxfId="0">
      <formula>AND(IF($Q63=3,1,IF($Q63=4,1,0)),IF($F63&lt;=85,1,0))</formula>
    </cfRule>
  </conditionalFormatting>
  <conditionalFormatting sqref="AV64">
    <cfRule type="expression" priority="23" dxfId="23">
      <formula>AV64="X"</formula>
    </cfRule>
    <cfRule type="expression" priority="24" dxfId="22">
      <formula>AV64="후보"</formula>
    </cfRule>
  </conditionalFormatting>
  <conditionalFormatting sqref="AC64 N6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대성동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우성</t>
        </is>
      </c>
      <c r="B6" s="10" t="inlineStr">
        <is>
          <t>'91.10.</t>
        </is>
      </c>
      <c r="C6" s="134" t="n">
        <v>554</v>
      </c>
      <c r="D6" s="132" t="n">
        <v>111.4</v>
      </c>
      <c r="E6" s="133" t="n">
        <v>34</v>
      </c>
      <c r="F6" s="132" t="n">
        <v>85</v>
      </c>
      <c r="G6" s="17" t="n">
        <v>26</v>
      </c>
      <c r="H6" s="134" t="n">
        <v>390</v>
      </c>
      <c r="I6" s="135" t="n">
        <v>15800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우성</t>
        </is>
      </c>
      <c r="B7" s="10" t="inlineStr">
        <is>
          <t>'91.10.</t>
        </is>
      </c>
      <c r="C7" s="134" t="n">
        <v>554</v>
      </c>
      <c r="D7" s="132" t="n">
        <v>153.7</v>
      </c>
      <c r="E7" s="133" t="n">
        <v>46</v>
      </c>
      <c r="F7" s="132" t="n">
        <v>127.2</v>
      </c>
      <c r="G7" s="17" t="n">
        <v>38</v>
      </c>
      <c r="H7" s="134" t="n">
        <v>112</v>
      </c>
      <c r="I7" s="135" t="n">
        <v>25000</v>
      </c>
      <c r="J7" s="135" t="inlineStr">
        <is>
          <t>5</t>
        </is>
      </c>
      <c r="K7" s="135" t="n">
        <v>22000</v>
      </c>
      <c r="L7" s="135" t="inlineStr">
        <is>
          <t>5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153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우성</t>
        </is>
      </c>
      <c r="B8" s="10" t="inlineStr">
        <is>
          <t>'91.10.</t>
        </is>
      </c>
      <c r="C8" s="134" t="n">
        <v>554</v>
      </c>
      <c r="D8" s="132" t="n">
        <v>197.6</v>
      </c>
      <c r="E8" s="133" t="n">
        <v>60</v>
      </c>
      <c r="F8" s="132" t="n">
        <v>156.6</v>
      </c>
      <c r="G8" s="17" t="n">
        <v>47</v>
      </c>
      <c r="H8" s="134" t="n">
        <v>52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197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문화동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문화센트럴칸타빌</t>
        </is>
      </c>
      <c r="B6" s="10" t="inlineStr">
        <is>
          <t>'18.12.</t>
        </is>
      </c>
      <c r="C6" s="134" t="n">
        <v>630</v>
      </c>
      <c r="D6" s="132" t="n">
        <v>113.3</v>
      </c>
      <c r="E6" s="133" t="n">
        <v>34</v>
      </c>
      <c r="F6" s="132" t="n">
        <v>84.90000000000001</v>
      </c>
      <c r="G6" s="17" t="n">
        <v>26</v>
      </c>
      <c r="H6" s="134" t="n">
        <v>96</v>
      </c>
      <c r="I6" s="135" t="n">
        <v>43000</v>
      </c>
      <c r="J6" s="135" t="inlineStr">
        <is>
          <t>28</t>
        </is>
      </c>
      <c r="K6" s="135" t="n">
        <v>27000</v>
      </c>
      <c r="L6" s="135" t="inlineStr">
        <is>
          <t>고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113C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문화센트럴칸타빌</t>
        </is>
      </c>
      <c r="B7" s="10" t="inlineStr">
        <is>
          <t>'18.12.</t>
        </is>
      </c>
      <c r="C7" s="134" t="n">
        <v>630</v>
      </c>
      <c r="D7" s="132" t="n">
        <v>114.6</v>
      </c>
      <c r="E7" s="133" t="n">
        <v>35</v>
      </c>
      <c r="F7" s="132" t="n">
        <v>84.7</v>
      </c>
      <c r="G7" s="17" t="n">
        <v>26</v>
      </c>
      <c r="H7" s="134" t="n">
        <v>208</v>
      </c>
      <c r="I7" s="135" t="n">
        <v>34000</v>
      </c>
      <c r="J7" s="135" t="inlineStr">
        <is>
          <t>18</t>
        </is>
      </c>
      <c r="K7" s="135" t="n">
        <v>25000</v>
      </c>
      <c r="L7" s="135" t="inlineStr">
        <is>
          <t>11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114B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문화센트럴칸타빌</t>
        </is>
      </c>
      <c r="B8" s="10" t="inlineStr">
        <is>
          <t>'18.12.</t>
        </is>
      </c>
      <c r="C8" s="134" t="n">
        <v>630</v>
      </c>
      <c r="D8" s="132" t="n">
        <v>114.6</v>
      </c>
      <c r="E8" s="133" t="n">
        <v>35</v>
      </c>
      <c r="F8" s="132" t="n">
        <v>85</v>
      </c>
      <c r="G8" s="17" t="n">
        <v>26</v>
      </c>
      <c r="H8" s="134" t="n">
        <v>204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114A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문화센트럴칸타빌</t>
        </is>
      </c>
      <c r="B9" s="10" t="inlineStr">
        <is>
          <t>'18.12.</t>
        </is>
      </c>
      <c r="C9" s="134" t="n">
        <v>630</v>
      </c>
      <c r="D9" s="132" t="n">
        <v>130.3</v>
      </c>
      <c r="E9" s="133" t="n">
        <v>39</v>
      </c>
      <c r="F9" s="132" t="n">
        <v>96.90000000000001</v>
      </c>
      <c r="G9" s="17" t="n">
        <v>29</v>
      </c>
      <c r="H9" s="134" t="n">
        <v>108</v>
      </c>
      <c r="I9" s="135" t="n">
        <v>38000</v>
      </c>
      <c r="J9" s="135" t="inlineStr">
        <is>
          <t>8</t>
        </is>
      </c>
      <c r="K9" s="135" t="n">
        <v>27000</v>
      </c>
      <c r="L9" s="135" t="inlineStr">
        <is>
          <t>7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130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문화센트럴칸타빌</t>
        </is>
      </c>
      <c r="B10" s="10" t="inlineStr">
        <is>
          <t>'18.12.</t>
        </is>
      </c>
      <c r="C10" s="134" t="n">
        <v>630</v>
      </c>
      <c r="D10" s="132" t="n">
        <v>174.3</v>
      </c>
      <c r="E10" s="133" t="n">
        <v>53</v>
      </c>
      <c r="F10" s="132" t="n">
        <v>129.1</v>
      </c>
      <c r="G10" s="17" t="n">
        <v>39</v>
      </c>
      <c r="H10" s="134" t="n">
        <v>4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3</v>
      </c>
      <c r="S10" s="119" t="inlineStr">
        <is>
          <t>계</t>
        </is>
      </c>
      <c r="T10" s="5" t="inlineStr">
        <is>
          <t>174A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문화센트럴칸타빌</t>
        </is>
      </c>
      <c r="B11" s="10" t="inlineStr">
        <is>
          <t>'18.12.</t>
        </is>
      </c>
      <c r="C11" s="134" t="n">
        <v>630</v>
      </c>
      <c r="D11" s="132" t="n">
        <v>176.6</v>
      </c>
      <c r="E11" s="133" t="n">
        <v>53</v>
      </c>
      <c r="F11" s="132" t="n">
        <v>130.3</v>
      </c>
      <c r="G11" s="17" t="n">
        <v>39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3</v>
      </c>
      <c r="S11" s="119" t="inlineStr">
        <is>
          <t>계</t>
        </is>
      </c>
      <c r="T11" s="5" t="inlineStr">
        <is>
          <t>176B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문화센트럴칸타빌</t>
        </is>
      </c>
      <c r="B12" s="10" t="inlineStr">
        <is>
          <t>'18.12.</t>
        </is>
      </c>
      <c r="C12" s="134" t="n">
        <v>630</v>
      </c>
      <c r="D12" s="132" t="n">
        <v>181.5</v>
      </c>
      <c r="E12" s="133" t="n">
        <v>55</v>
      </c>
      <c r="F12" s="132" t="n">
        <v>132.9</v>
      </c>
      <c r="G12" s="17" t="n">
        <v>40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3</v>
      </c>
      <c r="S12" s="119" t="inlineStr">
        <is>
          <t>계</t>
        </is>
      </c>
      <c r="T12" s="5" t="n">
        <v>181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문화센트럴칸타빌</t>
        </is>
      </c>
      <c r="B13" s="10" t="inlineStr">
        <is>
          <t>'18.12.</t>
        </is>
      </c>
      <c r="C13" s="134" t="n">
        <v>630</v>
      </c>
      <c r="D13" s="132" t="n">
        <v>199.7</v>
      </c>
      <c r="E13" s="133" t="n">
        <v>60</v>
      </c>
      <c r="F13" s="132" t="n">
        <v>147.5</v>
      </c>
      <c r="G13" s="17" t="n">
        <v>45</v>
      </c>
      <c r="H13" s="134" t="n">
        <v>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5</v>
      </c>
      <c r="R13" s="119" t="n">
        <v>3</v>
      </c>
      <c r="S13" s="119" t="inlineStr">
        <is>
          <t>계</t>
        </is>
      </c>
      <c r="T13" s="5" t="n">
        <v>199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청주하트리움리버파크</t>
        </is>
      </c>
      <c r="B6" s="10" t="inlineStr">
        <is>
          <t>'19.01.</t>
        </is>
      </c>
      <c r="C6" s="134" t="n">
        <v>600</v>
      </c>
      <c r="D6" s="132" t="n">
        <v>112.9</v>
      </c>
      <c r="E6" s="133" t="n">
        <v>34</v>
      </c>
      <c r="F6" s="132" t="n">
        <v>84.8</v>
      </c>
      <c r="G6" s="17" t="n">
        <v>26</v>
      </c>
      <c r="H6" s="134" t="n">
        <v>400</v>
      </c>
      <c r="I6" s="135" t="n">
        <v>38000</v>
      </c>
      <c r="J6" s="135" t="inlineStr">
        <is>
          <t>14</t>
        </is>
      </c>
      <c r="K6" s="135" t="n">
        <v>24000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청주하트리움리버파크</t>
        </is>
      </c>
      <c r="B7" s="10" t="inlineStr">
        <is>
          <t>'19.01.</t>
        </is>
      </c>
      <c r="C7" s="134" t="n">
        <v>600</v>
      </c>
      <c r="D7" s="132" t="n">
        <v>113.6</v>
      </c>
      <c r="E7" s="133" t="n">
        <v>34</v>
      </c>
      <c r="F7" s="132" t="n">
        <v>84.90000000000001</v>
      </c>
      <c r="G7" s="17" t="n">
        <v>26</v>
      </c>
      <c r="H7" s="134" t="n">
        <v>200</v>
      </c>
      <c r="I7" s="135" t="n">
        <v>38000</v>
      </c>
      <c r="J7" s="135" t="inlineStr">
        <is>
          <t>15</t>
        </is>
      </c>
      <c r="K7" s="135" t="n">
        <v>25000</v>
      </c>
      <c r="L7" s="135" t="inlineStr">
        <is>
          <t>16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113B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n"/>
      <c r="B8" s="119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7">
        <f>IF(E8="","",E8)</f>
        <v/>
      </c>
      <c r="AJ8" s="119" t="n"/>
      <c r="AK8" s="119" t="n"/>
      <c r="AL8" s="119" t="n"/>
      <c r="AM8" s="119" t="n"/>
      <c r="AN8" s="119" t="n"/>
      <c r="AO8" s="119" t="n"/>
      <c r="AP8" s="119" t="n"/>
      <c r="AQ8" s="119" t="n"/>
      <c r="AR8" s="119" t="n"/>
      <c r="AS8" s="119" t="n"/>
      <c r="AT8" s="119" t="n"/>
      <c r="AU8" s="119" t="n"/>
      <c r="AV8" s="119" t="n"/>
    </row>
    <row r="9">
      <c r="A9" s="9" t="inlineStr">
        <is>
          <t>청주센트럴자이</t>
        </is>
      </c>
      <c r="B9" s="10" t="inlineStr">
        <is>
          <t>'18.09.</t>
        </is>
      </c>
      <c r="C9" s="134" t="n">
        <v>1500</v>
      </c>
      <c r="D9" s="132" t="n">
        <v>80.59999999999999</v>
      </c>
      <c r="E9" s="133" t="n">
        <v>24</v>
      </c>
      <c r="F9" s="132" t="n">
        <v>60</v>
      </c>
      <c r="G9" s="17" t="n">
        <v>18</v>
      </c>
      <c r="H9" s="134" t="n">
        <v>135</v>
      </c>
      <c r="I9" s="135" t="n">
        <v>38000</v>
      </c>
      <c r="J9" s="135" t="inlineStr">
        <is>
          <t>18</t>
        </is>
      </c>
      <c r="K9" s="135" t="n">
        <v>29000</v>
      </c>
      <c r="L9" s="135" t="inlineStr">
        <is>
          <t>고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80A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청주센트럴자이</t>
        </is>
      </c>
      <c r="B10" s="10" t="inlineStr">
        <is>
          <t>'18.09.</t>
        </is>
      </c>
      <c r="C10" s="134" t="n">
        <v>1500</v>
      </c>
      <c r="D10" s="132" t="n">
        <v>81.09999999999999</v>
      </c>
      <c r="E10" s="133" t="n">
        <v>25</v>
      </c>
      <c r="F10" s="132" t="n">
        <v>59.8</v>
      </c>
      <c r="G10" s="17" t="n">
        <v>18</v>
      </c>
      <c r="H10" s="134" t="n">
        <v>59</v>
      </c>
      <c r="I10" s="135" t="n">
        <v>38000</v>
      </c>
      <c r="J10" s="135" t="inlineStr">
        <is>
          <t>중</t>
        </is>
      </c>
      <c r="K10" s="135" t="n">
        <v>25000</v>
      </c>
      <c r="L10" s="135" t="inlineStr">
        <is>
          <t>10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81B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청주센트럴자이</t>
        </is>
      </c>
      <c r="B11" s="10" t="inlineStr">
        <is>
          <t>'18.09.</t>
        </is>
      </c>
      <c r="C11" s="134" t="n">
        <v>1500</v>
      </c>
      <c r="D11" s="132" t="n">
        <v>98.09999999999999</v>
      </c>
      <c r="E11" s="133" t="n">
        <v>30</v>
      </c>
      <c r="F11" s="132" t="n">
        <v>73.59999999999999</v>
      </c>
      <c r="G11" s="17" t="n">
        <v>22</v>
      </c>
      <c r="H11" s="134" t="n">
        <v>166</v>
      </c>
      <c r="I11" s="135" t="n">
        <v>40000</v>
      </c>
      <c r="J11" s="135" t="inlineStr">
        <is>
          <t>21</t>
        </is>
      </c>
      <c r="K11" s="135" t="n">
        <v>27000</v>
      </c>
      <c r="L11" s="135" t="inlineStr">
        <is>
          <t>23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98A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청주센트럴자이</t>
        </is>
      </c>
      <c r="B12" s="10" t="inlineStr">
        <is>
          <t>'18.09.</t>
        </is>
      </c>
      <c r="C12" s="134" t="n">
        <v>1500</v>
      </c>
      <c r="D12" s="132" t="n">
        <v>99.09999999999999</v>
      </c>
      <c r="E12" s="133" t="n">
        <v>30</v>
      </c>
      <c r="F12" s="132" t="n">
        <v>73.59999999999999</v>
      </c>
      <c r="G12" s="17" t="n">
        <v>22</v>
      </c>
      <c r="H12" s="134" t="n">
        <v>51</v>
      </c>
      <c r="I12" s="135" t="n">
        <v>40000</v>
      </c>
      <c r="J12" s="135" t="inlineStr">
        <is>
          <t>14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99B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청주센트럴자이</t>
        </is>
      </c>
      <c r="B13" s="10" t="inlineStr">
        <is>
          <t>'18.09.</t>
        </is>
      </c>
      <c r="C13" s="134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42000</v>
      </c>
      <c r="J13" s="135" t="inlineStr">
        <is>
          <t>17</t>
        </is>
      </c>
      <c r="K13" s="135" t="n">
        <v>28000</v>
      </c>
      <c r="L13" s="135" t="inlineStr">
        <is>
          <t>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청주센트럴자이</t>
        </is>
      </c>
      <c r="B14" s="10" t="inlineStr">
        <is>
          <t>'18.09.</t>
        </is>
      </c>
      <c r="C14" s="134" t="n">
        <v>1500</v>
      </c>
      <c r="D14" s="132" t="n">
        <v>112.8</v>
      </c>
      <c r="E14" s="133" t="n">
        <v>34</v>
      </c>
      <c r="F14" s="132" t="n">
        <v>84.8</v>
      </c>
      <c r="G14" s="17" t="n">
        <v>26</v>
      </c>
      <c r="H14" s="134" t="n">
        <v>253</v>
      </c>
      <c r="I14" s="135" t="n">
        <v>45000</v>
      </c>
      <c r="J14" s="135" t="inlineStr">
        <is>
          <t>21</t>
        </is>
      </c>
      <c r="K14" s="135" t="n">
        <v>28000</v>
      </c>
      <c r="L14" s="135" t="inlineStr">
        <is>
          <t>21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112B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청주센트럴자이</t>
        </is>
      </c>
      <c r="B15" s="10" t="inlineStr">
        <is>
          <t>'18.09.</t>
        </is>
      </c>
      <c r="C15" s="134" t="n">
        <v>1500</v>
      </c>
      <c r="D15" s="132" t="n">
        <v>134.9</v>
      </c>
      <c r="E15" s="133" t="n">
        <v>41</v>
      </c>
      <c r="F15" s="132" t="n">
        <v>101.9</v>
      </c>
      <c r="G15" s="17" t="n">
        <v>31</v>
      </c>
      <c r="H15" s="134" t="n">
        <v>145</v>
      </c>
      <c r="I15" s="135" t="n">
        <v>71000</v>
      </c>
      <c r="J15" s="135" t="inlineStr">
        <is>
          <t>20</t>
        </is>
      </c>
      <c r="K15" s="135" t="n">
        <v>40000</v>
      </c>
      <c r="L15" s="135" t="inlineStr">
        <is>
          <t>12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134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청주센트럴자이</t>
        </is>
      </c>
      <c r="B16" s="10" t="inlineStr">
        <is>
          <t>'18.09.</t>
        </is>
      </c>
      <c r="C16" s="134" t="n">
        <v>1500</v>
      </c>
      <c r="D16" s="132" t="n">
        <v>146</v>
      </c>
      <c r="E16" s="133" t="n">
        <v>44</v>
      </c>
      <c r="F16" s="132" t="n">
        <v>108.5</v>
      </c>
      <c r="G16" s="17" t="n">
        <v>33</v>
      </c>
      <c r="H16" s="134" t="n">
        <v>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145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호반써밋브룩사이드</t>
        </is>
      </c>
      <c r="B18" s="10" t="inlineStr">
        <is>
          <t>'23.07.</t>
        </is>
      </c>
      <c r="C18" s="134" t="n">
        <v>1215</v>
      </c>
      <c r="D18" s="132" t="n">
        <v>100</v>
      </c>
      <c r="E18" s="133" t="n">
        <v>30</v>
      </c>
      <c r="F18" s="132" t="n">
        <v>75</v>
      </c>
      <c r="G18" s="17" t="n">
        <v>23</v>
      </c>
      <c r="H18" s="134" t="n">
        <v>351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inlineStr">
        <is>
          <t>99A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호반써밋브룩사이드</t>
        </is>
      </c>
      <c r="B19" s="10" t="inlineStr">
        <is>
          <t>'23.07.</t>
        </is>
      </c>
      <c r="C19" s="134" t="n">
        <v>1215</v>
      </c>
      <c r="D19" s="132" t="n">
        <v>100.7</v>
      </c>
      <c r="E19" s="133" t="n">
        <v>30</v>
      </c>
      <c r="F19" s="132" t="n">
        <v>74.90000000000001</v>
      </c>
      <c r="G19" s="17" t="n">
        <v>23</v>
      </c>
      <c r="H19" s="134" t="n">
        <v>48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호반써밋브룩사이드</t>
        </is>
      </c>
      <c r="B20" s="10" t="inlineStr">
        <is>
          <t>'23.07.</t>
        </is>
      </c>
      <c r="C20" s="134" t="n">
        <v>1215</v>
      </c>
      <c r="D20" s="132" t="n">
        <v>111.3</v>
      </c>
      <c r="E20" s="133" t="n">
        <v>34</v>
      </c>
      <c r="F20" s="132" t="n">
        <v>84.90000000000001</v>
      </c>
      <c r="G20" s="17" t="n">
        <v>26</v>
      </c>
      <c r="H20" s="134" t="n">
        <v>816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4</v>
      </c>
      <c r="R20" s="119" t="n">
        <v>2</v>
      </c>
      <c r="S20" s="119" t="inlineStr">
        <is>
          <t>계</t>
        </is>
      </c>
      <c r="T20" s="5" t="n">
        <v>111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중흥S-클래스더퍼스트</t>
        </is>
      </c>
      <c r="B22" s="10" t="inlineStr">
        <is>
          <t>'18.09.</t>
        </is>
      </c>
      <c r="C22" s="134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38000</v>
      </c>
      <c r="J22" s="135" t="inlineStr">
        <is>
          <t>7</t>
        </is>
      </c>
      <c r="K22" s="135" t="n">
        <v>25000</v>
      </c>
      <c r="L22" s="135" t="inlineStr">
        <is>
          <t>19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중흥S-클래스더퍼스트</t>
        </is>
      </c>
      <c r="B23" s="10" t="inlineStr">
        <is>
          <t>'18.09.</t>
        </is>
      </c>
      <c r="C23" s="134" t="n">
        <v>1595</v>
      </c>
      <c r="D23" s="132" t="n">
        <v>111.6</v>
      </c>
      <c r="E23" s="133" t="n">
        <v>34</v>
      </c>
      <c r="F23" s="132" t="n">
        <v>85</v>
      </c>
      <c r="G23" s="17" t="n">
        <v>26</v>
      </c>
      <c r="H23" s="134" t="n">
        <v>275</v>
      </c>
      <c r="I23" s="135" t="n">
        <v>38000</v>
      </c>
      <c r="J23" s="135" t="inlineStr">
        <is>
          <t>7</t>
        </is>
      </c>
      <c r="K23" s="135" t="n">
        <v>25000</v>
      </c>
      <c r="L23" s="135" t="inlineStr">
        <is>
          <t>19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중흥S-클래스더퍼스트</t>
        </is>
      </c>
      <c r="B24" s="10" t="inlineStr">
        <is>
          <t>'18.09.</t>
        </is>
      </c>
      <c r="C24" s="134" t="n">
        <v>1595</v>
      </c>
      <c r="D24" s="132" t="n">
        <v>138</v>
      </c>
      <c r="E24" s="133" t="n">
        <v>42</v>
      </c>
      <c r="F24" s="132" t="n">
        <v>105.1</v>
      </c>
      <c r="G24" s="17" t="n">
        <v>32</v>
      </c>
      <c r="H24" s="134" t="n">
        <v>102</v>
      </c>
      <c r="I24" s="135" t="n">
        <v>56000</v>
      </c>
      <c r="J24" s="135" t="inlineStr">
        <is>
          <t>중</t>
        </is>
      </c>
      <c r="K24" s="135" t="n">
        <v>38000</v>
      </c>
      <c r="L24" s="135" t="inlineStr">
        <is>
          <t>5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n">
        <v>137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중흥S-클래스더퍼스트</t>
        </is>
      </c>
      <c r="B25" s="10" t="inlineStr">
        <is>
          <t>'18.09.</t>
        </is>
      </c>
      <c r="C25" s="134" t="n">
        <v>1595</v>
      </c>
      <c r="D25" s="132" t="n">
        <v>144.7</v>
      </c>
      <c r="E25" s="133" t="n">
        <v>44</v>
      </c>
      <c r="F25" s="132" t="n">
        <v>110.2</v>
      </c>
      <c r="G25" s="17" t="n">
        <v>33</v>
      </c>
      <c r="H25" s="134" t="n">
        <v>155</v>
      </c>
      <c r="I25" s="135" t="n">
        <v>60000</v>
      </c>
      <c r="J25" s="135" t="inlineStr">
        <is>
          <t>16</t>
        </is>
      </c>
      <c r="K25" s="135" t="n">
        <v>43000</v>
      </c>
      <c r="L25" s="135" t="inlineStr">
        <is>
          <t>8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144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동남지구우미린풀하우스</t>
        </is>
      </c>
      <c r="B27" s="10" t="inlineStr">
        <is>
          <t>'20.09.</t>
        </is>
      </c>
      <c r="C27" s="134" t="n">
        <v>1016</v>
      </c>
      <c r="D27" s="132" t="n">
        <v>91.90000000000001</v>
      </c>
      <c r="E27" s="133" t="n">
        <v>28</v>
      </c>
      <c r="F27" s="132" t="n">
        <v>69.8</v>
      </c>
      <c r="G27" s="17" t="n">
        <v>21</v>
      </c>
      <c r="H27" s="134" t="n">
        <v>278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91A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동남지구우미린풀하우스</t>
        </is>
      </c>
      <c r="B28" s="10" t="inlineStr">
        <is>
          <t>'20.09.</t>
        </is>
      </c>
      <c r="C28" s="134" t="n">
        <v>1016</v>
      </c>
      <c r="D28" s="132" t="n">
        <v>93.09999999999999</v>
      </c>
      <c r="E28" s="133" t="n">
        <v>28</v>
      </c>
      <c r="F28" s="132" t="n">
        <v>69.7</v>
      </c>
      <c r="G28" s="17" t="n">
        <v>21</v>
      </c>
      <c r="H28" s="134" t="n">
        <v>111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93B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동남지구우미린풀하우스</t>
        </is>
      </c>
      <c r="B29" s="10" t="inlineStr">
        <is>
          <t>'20.09.</t>
        </is>
      </c>
      <c r="C29" s="134" t="n">
        <v>1016</v>
      </c>
      <c r="D29" s="132" t="n">
        <v>102.5</v>
      </c>
      <c r="E29" s="133" t="n">
        <v>31</v>
      </c>
      <c r="F29" s="132" t="n">
        <v>78.5</v>
      </c>
      <c r="G29" s="17" t="n">
        <v>24</v>
      </c>
      <c r="H29" s="134" t="n">
        <v>69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102A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동남지구우미린풀하우스</t>
        </is>
      </c>
      <c r="B30" s="10" t="inlineStr">
        <is>
          <t>'20.09.</t>
        </is>
      </c>
      <c r="C30" s="134" t="n">
        <v>1016</v>
      </c>
      <c r="D30" s="132" t="n">
        <v>104.1</v>
      </c>
      <c r="E30" s="133" t="n">
        <v>31</v>
      </c>
      <c r="F30" s="132" t="n">
        <v>78.8</v>
      </c>
      <c r="G30" s="17" t="n">
        <v>24</v>
      </c>
      <c r="H30" s="134" t="n">
        <v>28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104B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동남지구우미린풀하우스</t>
        </is>
      </c>
      <c r="B31" s="10" t="inlineStr">
        <is>
          <t>'20.09.</t>
        </is>
      </c>
      <c r="C31" s="134" t="n">
        <v>1016</v>
      </c>
      <c r="D31" s="132" t="n">
        <v>111.4</v>
      </c>
      <c r="E31" s="133" t="n">
        <v>34</v>
      </c>
      <c r="F31" s="132" t="n">
        <v>85</v>
      </c>
      <c r="G31" s="17" t="n">
        <v>26</v>
      </c>
      <c r="H31" s="134" t="n">
        <v>530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4</v>
      </c>
      <c r="R31" s="119" t="n">
        <v>2</v>
      </c>
      <c r="S31" s="119" t="inlineStr">
        <is>
          <t>계</t>
        </is>
      </c>
      <c r="T31" s="5" t="inlineStr">
        <is>
          <t>111A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39" dxfId="23">
      <formula>AV4="X"</formula>
    </cfRule>
    <cfRule type="expression" priority="440" dxfId="22">
      <formula>AV4="후보"</formula>
    </cfRule>
  </conditionalFormatting>
  <conditionalFormatting sqref="AC1:AC2 AC4:AC6 N4:N5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N1:N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">
    <cfRule type="expression" priority="428" dxfId="3">
      <formula>AND(IF(OR($Q6=1,$Q6=2),1,0),IF($X6&lt;=20,1,0))</formula>
    </cfRule>
    <cfRule type="expression" priority="429" dxfId="2">
      <formula>AND(IF($Q6=2,1,0),IF($X6&lt;30,1,0))</formula>
    </cfRule>
    <cfRule type="expression" priority="430" dxfId="1">
      <formula>AND(IF($Q6=3,1,0),IF($X6&lt;30,1,0))</formula>
    </cfRule>
    <cfRule type="expression" priority="431" dxfId="0">
      <formula>AND(IF($Q6=3,1,IF($Q6=4,1,0)),IF($F6&lt;=85,1,0))</formula>
    </cfRule>
  </conditionalFormatting>
  <conditionalFormatting sqref="X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AI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V7">
    <cfRule type="expression" priority="418" dxfId="23">
      <formula>AV7="X"</formula>
    </cfRule>
    <cfRule type="expression" priority="419" dxfId="22">
      <formula>AV7="후보"</formula>
    </cfRule>
  </conditionalFormatting>
  <conditionalFormatting sqref="AC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">
    <cfRule type="expression" priority="409" dxfId="3">
      <formula>AND(IF(OR($Q7=1,$Q7=2),1,0),IF($X7&lt;=20,1,0))</formula>
    </cfRule>
    <cfRule type="expression" priority="410" dxfId="2">
      <formula>AND(IF($Q7=2,1,0),IF($X7&lt;30,1,0))</formula>
    </cfRule>
    <cfRule type="expression" priority="411" dxfId="1">
      <formula>AND(IF($Q7=3,1,0),IF($X7&lt;30,1,0))</formula>
    </cfRule>
    <cfRule type="expression" priority="412" dxfId="0">
      <formula>AND(IF($Q7=3,1,IF($Q7=4,1,0)),IF($F7&lt;=85,1,0))</formula>
    </cfRule>
  </conditionalFormatting>
  <conditionalFormatting sqref="X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AI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V8">
    <cfRule type="expression" priority="399" dxfId="23">
      <formula>AV8="X"</formula>
    </cfRule>
    <cfRule type="expression" priority="400" dxfId="22">
      <formula>AV8="후보"</formula>
    </cfRule>
  </conditionalFormatting>
  <conditionalFormatting sqref="AC8 N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">
    <cfRule type="expression" priority="328" dxfId="3">
      <formula>AND(IF(OR($Q12=1,$Q12=2),1,0),IF($X12&lt;=20,1,0))</formula>
    </cfRule>
    <cfRule type="expression" priority="329" dxfId="2">
      <formula>AND(IF($Q12=2,1,0),IF($X12&lt;30,1,0))</formula>
    </cfRule>
    <cfRule type="expression" priority="330" dxfId="1">
      <formula>AND(IF($Q12=3,1,0),IF($X12&lt;30,1,0))</formula>
    </cfRule>
    <cfRule type="expression" priority="331" dxfId="0">
      <formula>AND(IF($Q12=3,1,IF($Q12=4,1,0)),IF($F12&lt;=85,1,0))</formula>
    </cfRule>
  </conditionalFormatting>
  <conditionalFormatting sqref="X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AI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V13">
    <cfRule type="expression" priority="318" dxfId="23">
      <formula>AV13="X"</formula>
    </cfRule>
    <cfRule type="expression" priority="319" dxfId="22">
      <formula>AV13="후보"</formula>
    </cfRule>
  </conditionalFormatting>
  <conditionalFormatting sqref="AC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">
    <cfRule type="expression" priority="309" dxfId="3">
      <formula>AND(IF(OR($Q13=1,$Q13=2),1,0),IF($X13&lt;=20,1,0))</formula>
    </cfRule>
    <cfRule type="expression" priority="310" dxfId="2">
      <formula>AND(IF($Q13=2,1,0),IF($X13&lt;30,1,0))</formula>
    </cfRule>
    <cfRule type="expression" priority="311" dxfId="1">
      <formula>AND(IF($Q13=3,1,0),IF($X13&lt;30,1,0))</formula>
    </cfRule>
    <cfRule type="expression" priority="312" dxfId="0">
      <formula>AND(IF($Q13=3,1,IF($Q13=4,1,0)),IF($F13&lt;=85,1,0))</formula>
    </cfRule>
  </conditionalFormatting>
  <conditionalFormatting sqref="X13">
    <cfRule type="expression" priority="305" dxfId="3">
      <formula>AND(IF(OR($Q13=1,$Q13=2),1,0),IF($X13&lt;=20,1,0))</formula>
    </cfRule>
    <cfRule type="expression" priority="306" dxfId="2">
      <formula>AND(IF($Q13=2,1,0),IF($X13&lt;30,1,0))</formula>
    </cfRule>
    <cfRule type="expression" priority="307" dxfId="1">
      <formula>AND(IF($Q13=3,1,0),IF($X13&lt;30,1,0))</formula>
    </cfRule>
    <cfRule type="expression" priority="308" dxfId="0">
      <formula>AND(IF($Q13=3,1,IF($Q13=4,1,0)),IF($F13&lt;=85,1,0))</formula>
    </cfRule>
  </conditionalFormatting>
  <conditionalFormatting sqref="AI13">
    <cfRule type="expression" priority="301" dxfId="3">
      <formula>AND(IF(OR($Q13=1,$Q13=2),1,0),IF($X13&lt;=20,1,0))</formula>
    </cfRule>
    <cfRule type="expression" priority="302" dxfId="2">
      <formula>AND(IF($Q13=2,1,0),IF($X13&lt;30,1,0))</formula>
    </cfRule>
    <cfRule type="expression" priority="303" dxfId="1">
      <formula>AND(IF($Q13=3,1,0),IF($X13&lt;30,1,0))</formula>
    </cfRule>
    <cfRule type="expression" priority="304" dxfId="0">
      <formula>AND(IF($Q13=3,1,IF($Q13=4,1,0)),IF($F13&lt;=85,1,0))</formula>
    </cfRule>
  </conditionalFormatting>
  <conditionalFormatting sqref="AV14">
    <cfRule type="expression" priority="299" dxfId="23">
      <formula>AV14="X"</formula>
    </cfRule>
    <cfRule type="expression" priority="300" dxfId="22">
      <formula>AV14="후보"</formula>
    </cfRule>
  </conditionalFormatting>
  <conditionalFormatting sqref="AC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4">
    <cfRule type="expression" priority="290" dxfId="3">
      <formula>AND(IF(OR($Q14=1,$Q14=2),1,0),IF($X14&lt;=20,1,0))</formula>
    </cfRule>
    <cfRule type="expression" priority="291" dxfId="2">
      <formula>AND(IF($Q14=2,1,0),IF($X14&lt;30,1,0))</formula>
    </cfRule>
    <cfRule type="expression" priority="292" dxfId="1">
      <formula>AND(IF($Q14=3,1,0),IF($X14&lt;30,1,0))</formula>
    </cfRule>
    <cfRule type="expression" priority="293" dxfId="0">
      <formula>AND(IF($Q14=3,1,IF($Q14=4,1,0)),IF($F14&lt;=85,1,0))</formula>
    </cfRule>
  </conditionalFormatting>
  <conditionalFormatting sqref="X14">
    <cfRule type="expression" priority="286" dxfId="3">
      <formula>AND(IF(OR($Q14=1,$Q14=2),1,0),IF($X14&lt;=20,1,0))</formula>
    </cfRule>
    <cfRule type="expression" priority="287" dxfId="2">
      <formula>AND(IF($Q14=2,1,0),IF($X14&lt;30,1,0))</formula>
    </cfRule>
    <cfRule type="expression" priority="288" dxfId="1">
      <formula>AND(IF($Q14=3,1,0),IF($X14&lt;30,1,0))</formula>
    </cfRule>
    <cfRule type="expression" priority="289" dxfId="0">
      <formula>AND(IF($Q14=3,1,IF($Q14=4,1,0)),IF($F14&lt;=85,1,0))</formula>
    </cfRule>
  </conditionalFormatting>
  <conditionalFormatting sqref="AI14">
    <cfRule type="expression" priority="282" dxfId="3">
      <formula>AND(IF(OR($Q14=1,$Q14=2),1,0),IF($X14&lt;=20,1,0))</formula>
    </cfRule>
    <cfRule type="expression" priority="283" dxfId="2">
      <formula>AND(IF($Q14=2,1,0),IF($X14&lt;30,1,0))</formula>
    </cfRule>
    <cfRule type="expression" priority="284" dxfId="1">
      <formula>AND(IF($Q14=3,1,0),IF($X14&lt;30,1,0))</formula>
    </cfRule>
    <cfRule type="expression" priority="285" dxfId="0">
      <formula>AND(IF($Q14=3,1,IF($Q14=4,1,0)),IF($F14&lt;=85,1,0))</formula>
    </cfRule>
  </conditionalFormatting>
  <conditionalFormatting sqref="AV15">
    <cfRule type="expression" priority="280" dxfId="23">
      <formula>AV15="X"</formula>
    </cfRule>
    <cfRule type="expression" priority="281" dxfId="22">
      <formula>AV15="후보"</formula>
    </cfRule>
  </conditionalFormatting>
  <conditionalFormatting sqref="AC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">
    <cfRule type="expression" priority="271" dxfId="3">
      <formula>AND(IF(OR($Q15=1,$Q15=2),1,0),IF($X15&lt;=20,1,0))</formula>
    </cfRule>
    <cfRule type="expression" priority="272" dxfId="2">
      <formula>AND(IF($Q15=2,1,0),IF($X15&lt;30,1,0))</formula>
    </cfRule>
    <cfRule type="expression" priority="273" dxfId="1">
      <formula>AND(IF($Q15=3,1,0),IF($X15&lt;30,1,0))</formula>
    </cfRule>
    <cfRule type="expression" priority="274" dxfId="0">
      <formula>AND(IF($Q15=3,1,IF($Q15=4,1,0)),IF($F15&lt;=85,1,0))</formula>
    </cfRule>
  </conditionalFormatting>
  <conditionalFormatting sqref="X15">
    <cfRule type="expression" priority="267" dxfId="3">
      <formula>AND(IF(OR($Q15=1,$Q15=2),1,0),IF($X15&lt;=20,1,0))</formula>
    </cfRule>
    <cfRule type="expression" priority="268" dxfId="2">
      <formula>AND(IF($Q15=2,1,0),IF($X15&lt;30,1,0))</formula>
    </cfRule>
    <cfRule type="expression" priority="269" dxfId="1">
      <formula>AND(IF($Q15=3,1,0),IF($X15&lt;30,1,0))</formula>
    </cfRule>
    <cfRule type="expression" priority="270" dxfId="0">
      <formula>AND(IF($Q15=3,1,IF($Q15=4,1,0)),IF($F15&lt;=85,1,0))</formula>
    </cfRule>
  </conditionalFormatting>
  <conditionalFormatting sqref="AI15">
    <cfRule type="expression" priority="263" dxfId="3">
      <formula>AND(IF(OR($Q15=1,$Q15=2),1,0),IF($X15&lt;=20,1,0))</formula>
    </cfRule>
    <cfRule type="expression" priority="264" dxfId="2">
      <formula>AND(IF($Q15=2,1,0),IF($X15&lt;30,1,0))</formula>
    </cfRule>
    <cfRule type="expression" priority="265" dxfId="1">
      <formula>AND(IF($Q15=3,1,0),IF($X15&lt;30,1,0))</formula>
    </cfRule>
    <cfRule type="expression" priority="266" dxfId="0">
      <formula>AND(IF($Q15=3,1,IF($Q15=4,1,0)),IF($F15&lt;=85,1,0))</formula>
    </cfRule>
  </conditionalFormatting>
  <conditionalFormatting sqref="AV16">
    <cfRule type="expression" priority="261" dxfId="23">
      <formula>AV16="X"</formula>
    </cfRule>
    <cfRule type="expression" priority="262" dxfId="22">
      <formula>AV16="후보"</formula>
    </cfRule>
  </conditionalFormatting>
  <conditionalFormatting sqref="AC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6">
    <cfRule type="expression" priority="252" dxfId="3">
      <formula>AND(IF(OR($Q16=1,$Q16=2),1,0),IF($X16&lt;=20,1,0))</formula>
    </cfRule>
    <cfRule type="expression" priority="253" dxfId="2">
      <formula>AND(IF($Q16=2,1,0),IF($X16&lt;30,1,0))</formula>
    </cfRule>
    <cfRule type="expression" priority="254" dxfId="1">
      <formula>AND(IF($Q16=3,1,0),IF($X16&lt;30,1,0))</formula>
    </cfRule>
    <cfRule type="expression" priority="255" dxfId="0">
      <formula>AND(IF($Q16=3,1,IF($Q16=4,1,0)),IF($F16&lt;=85,1,0))</formula>
    </cfRule>
  </conditionalFormatting>
  <conditionalFormatting sqref="X16">
    <cfRule type="expression" priority="248" dxfId="3">
      <formula>AND(IF(OR($Q16=1,$Q16=2),1,0),IF($X16&lt;=20,1,0))</formula>
    </cfRule>
    <cfRule type="expression" priority="249" dxfId="2">
      <formula>AND(IF($Q16=2,1,0),IF($X16&lt;30,1,0))</formula>
    </cfRule>
    <cfRule type="expression" priority="250" dxfId="1">
      <formula>AND(IF($Q16=3,1,0),IF($X16&lt;30,1,0))</formula>
    </cfRule>
    <cfRule type="expression" priority="251" dxfId="0">
      <formula>AND(IF($Q16=3,1,IF($Q16=4,1,0)),IF($F16&lt;=85,1,0))</formula>
    </cfRule>
  </conditionalFormatting>
  <conditionalFormatting sqref="AI16">
    <cfRule type="expression" priority="244" dxfId="3">
      <formula>AND(IF(OR($Q16=1,$Q16=2),1,0),IF($X16&lt;=20,1,0))</formula>
    </cfRule>
    <cfRule type="expression" priority="245" dxfId="2">
      <formula>AND(IF($Q16=2,1,0),IF($X16&lt;30,1,0))</formula>
    </cfRule>
    <cfRule type="expression" priority="246" dxfId="1">
      <formula>AND(IF($Q16=3,1,0),IF($X16&lt;30,1,0))</formula>
    </cfRule>
    <cfRule type="expression" priority="247" dxfId="0">
      <formula>AND(IF($Q16=3,1,IF($Q16=4,1,0)),IF($F16&lt;=85,1,0))</formula>
    </cfRule>
  </conditionalFormatting>
  <conditionalFormatting sqref="AV17">
    <cfRule type="expression" priority="242" dxfId="23">
      <formula>AV17="X"</formula>
    </cfRule>
    <cfRule type="expression" priority="243" dxfId="22">
      <formula>AV17="후보"</formula>
    </cfRule>
  </conditionalFormatting>
  <conditionalFormatting sqref="AC17 N1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9">
    <cfRule type="expression" priority="209" dxfId="3">
      <formula>AND(IF(OR($Q19=1,$Q19=2),1,0),IF($X19&lt;=20,1,0))</formula>
    </cfRule>
    <cfRule type="expression" priority="210" dxfId="2">
      <formula>AND(IF($Q19=2,1,0),IF($X19&lt;30,1,0))</formula>
    </cfRule>
    <cfRule type="expression" priority="211" dxfId="1">
      <formula>AND(IF($Q19=3,1,0),IF($X19&lt;30,1,0))</formula>
    </cfRule>
    <cfRule type="expression" priority="212" dxfId="0">
      <formula>AND(IF($Q19=3,1,IF($Q19=4,1,0)),IF($F19&lt;=85,1,0))</formula>
    </cfRule>
  </conditionalFormatting>
  <conditionalFormatting sqref="X19">
    <cfRule type="expression" priority="205" dxfId="3">
      <formula>AND(IF(OR($Q19=1,$Q19=2),1,0),IF($X19&lt;=20,1,0))</formula>
    </cfRule>
    <cfRule type="expression" priority="206" dxfId="2">
      <formula>AND(IF($Q19=2,1,0),IF($X19&lt;30,1,0))</formula>
    </cfRule>
    <cfRule type="expression" priority="207" dxfId="1">
      <formula>AND(IF($Q19=3,1,0),IF($X19&lt;30,1,0))</formula>
    </cfRule>
    <cfRule type="expression" priority="208" dxfId="0">
      <formula>AND(IF($Q19=3,1,IF($Q19=4,1,0)),IF($F19&lt;=85,1,0))</formula>
    </cfRule>
  </conditionalFormatting>
  <conditionalFormatting sqref="AI19">
    <cfRule type="expression" priority="201" dxfId="3">
      <formula>AND(IF(OR($Q19=1,$Q19=2),1,0),IF($X19&lt;=20,1,0))</formula>
    </cfRule>
    <cfRule type="expression" priority="202" dxfId="2">
      <formula>AND(IF($Q19=2,1,0),IF($X19&lt;30,1,0))</formula>
    </cfRule>
    <cfRule type="expression" priority="203" dxfId="1">
      <formula>AND(IF($Q19=3,1,0),IF($X19&lt;30,1,0))</formula>
    </cfRule>
    <cfRule type="expression" priority="204" dxfId="0">
      <formula>AND(IF($Q19=3,1,IF($Q19=4,1,0)),IF($F19&lt;=85,1,0))</formula>
    </cfRule>
  </conditionalFormatting>
  <conditionalFormatting sqref="AV20">
    <cfRule type="expression" priority="199" dxfId="23">
      <formula>AV20="X"</formula>
    </cfRule>
    <cfRule type="expression" priority="200" dxfId="22">
      <formula>AV20="후보"</formula>
    </cfRule>
  </conditionalFormatting>
  <conditionalFormatting sqref="AC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0">
    <cfRule type="expression" priority="190" dxfId="3">
      <formula>AND(IF(OR($Q20=1,$Q20=2),1,0),IF($X20&lt;=20,1,0))</formula>
    </cfRule>
    <cfRule type="expression" priority="191" dxfId="2">
      <formula>AND(IF($Q20=2,1,0),IF($X20&lt;30,1,0))</formula>
    </cfRule>
    <cfRule type="expression" priority="192" dxfId="1">
      <formula>AND(IF($Q20=3,1,0),IF($X20&lt;30,1,0))</formula>
    </cfRule>
    <cfRule type="expression" priority="193" dxfId="0">
      <formula>AND(IF($Q20=3,1,IF($Q20=4,1,0)),IF($F20&lt;=85,1,0))</formula>
    </cfRule>
  </conditionalFormatting>
  <conditionalFormatting sqref="X20">
    <cfRule type="expression" priority="186" dxfId="3">
      <formula>AND(IF(OR($Q20=1,$Q20=2),1,0),IF($X20&lt;=20,1,0))</formula>
    </cfRule>
    <cfRule type="expression" priority="187" dxfId="2">
      <formula>AND(IF($Q20=2,1,0),IF($X20&lt;30,1,0))</formula>
    </cfRule>
    <cfRule type="expression" priority="188" dxfId="1">
      <formula>AND(IF($Q20=3,1,0),IF($X20&lt;30,1,0))</formula>
    </cfRule>
    <cfRule type="expression" priority="189" dxfId="0">
      <formula>AND(IF($Q20=3,1,IF($Q20=4,1,0)),IF($F20&lt;=85,1,0))</formula>
    </cfRule>
  </conditionalFormatting>
  <conditionalFormatting sqref="AI20">
    <cfRule type="expression" priority="182" dxfId="3">
      <formula>AND(IF(OR($Q20=1,$Q20=2),1,0),IF($X20&lt;=20,1,0))</formula>
    </cfRule>
    <cfRule type="expression" priority="183" dxfId="2">
      <formula>AND(IF($Q20=2,1,0),IF($X20&lt;30,1,0))</formula>
    </cfRule>
    <cfRule type="expression" priority="184" dxfId="1">
      <formula>AND(IF($Q20=3,1,0),IF($X20&lt;30,1,0))</formula>
    </cfRule>
    <cfRule type="expression" priority="185" dxfId="0">
      <formula>AND(IF($Q20=3,1,IF($Q20=4,1,0)),IF($F20&lt;=85,1,0))</formula>
    </cfRule>
  </conditionalFormatting>
  <conditionalFormatting sqref="AV21">
    <cfRule type="expression" priority="180" dxfId="23">
      <formula>AV21="X"</formula>
    </cfRule>
    <cfRule type="expression" priority="181" dxfId="22">
      <formula>AV21="후보"</formula>
    </cfRule>
  </conditionalFormatting>
  <conditionalFormatting sqref="AC21 N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4">
    <cfRule type="expression" priority="128" dxfId="3">
      <formula>AND(IF(OR($Q24=1,$Q24=2),1,0),IF($X24&lt;=20,1,0))</formula>
    </cfRule>
    <cfRule type="expression" priority="129" dxfId="2">
      <formula>AND(IF($Q24=2,1,0),IF($X24&lt;30,1,0))</formula>
    </cfRule>
    <cfRule type="expression" priority="130" dxfId="1">
      <formula>AND(IF($Q24=3,1,0),IF($X24&lt;30,1,0))</formula>
    </cfRule>
    <cfRule type="expression" priority="131" dxfId="0">
      <formula>AND(IF($Q24=3,1,IF($Q24=4,1,0)),IF($F24&lt;=85,1,0))</formula>
    </cfRule>
  </conditionalFormatting>
  <conditionalFormatting sqref="X24">
    <cfRule type="expression" priority="124" dxfId="3">
      <formula>AND(IF(OR($Q24=1,$Q24=2),1,0),IF($X24&lt;=20,1,0))</formula>
    </cfRule>
    <cfRule type="expression" priority="125" dxfId="2">
      <formula>AND(IF($Q24=2,1,0),IF($X24&lt;30,1,0))</formula>
    </cfRule>
    <cfRule type="expression" priority="126" dxfId="1">
      <formula>AND(IF($Q24=3,1,0),IF($X24&lt;30,1,0))</formula>
    </cfRule>
    <cfRule type="expression" priority="127" dxfId="0">
      <formula>AND(IF($Q24=3,1,IF($Q24=4,1,0)),IF($F24&lt;=85,1,0))</formula>
    </cfRule>
  </conditionalFormatting>
  <conditionalFormatting sqref="AI24">
    <cfRule type="expression" priority="120" dxfId="3">
      <formula>AND(IF(OR($Q24=1,$Q24=2),1,0),IF($X24&lt;=20,1,0))</formula>
    </cfRule>
    <cfRule type="expression" priority="121" dxfId="2">
      <formula>AND(IF($Q24=2,1,0),IF($X24&lt;30,1,0))</formula>
    </cfRule>
    <cfRule type="expression" priority="122" dxfId="1">
      <formula>AND(IF($Q24=3,1,0),IF($X24&lt;30,1,0))</formula>
    </cfRule>
    <cfRule type="expression" priority="123" dxfId="0">
      <formula>AND(IF($Q24=3,1,IF($Q24=4,1,0)),IF($F24&lt;=85,1,0))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 N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북문로3가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북문로한신휴플러스</t>
        </is>
      </c>
      <c r="B6" s="10" t="inlineStr">
        <is>
          <t>'13.06.</t>
        </is>
      </c>
      <c r="C6" s="134" t="n">
        <v>286</v>
      </c>
      <c r="D6" s="132" t="n">
        <v>98.7</v>
      </c>
      <c r="E6" s="133" t="n">
        <v>30</v>
      </c>
      <c r="F6" s="132" t="n">
        <v>73.8</v>
      </c>
      <c r="G6" s="17" t="n">
        <v>22</v>
      </c>
      <c r="H6" s="134" t="n">
        <v>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북문로한신휴플러스</t>
        </is>
      </c>
      <c r="B7" s="10" t="inlineStr">
        <is>
          <t>'13.06.</t>
        </is>
      </c>
      <c r="C7" s="134" t="n">
        <v>286</v>
      </c>
      <c r="D7" s="132" t="n">
        <v>107.2</v>
      </c>
      <c r="E7" s="133" t="n">
        <v>32</v>
      </c>
      <c r="F7" s="132" t="n">
        <v>74.8</v>
      </c>
      <c r="G7" s="17" t="n">
        <v>23</v>
      </c>
      <c r="H7" s="134" t="n">
        <v>26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북문로한신휴플러스</t>
        </is>
      </c>
      <c r="B8" s="10" t="inlineStr">
        <is>
          <t>'13.06.</t>
        </is>
      </c>
      <c r="C8" s="134" t="n">
        <v>286</v>
      </c>
      <c r="D8" s="132" t="n">
        <v>112.6</v>
      </c>
      <c r="E8" s="133" t="n">
        <v>34</v>
      </c>
      <c r="F8" s="132" t="n">
        <v>85</v>
      </c>
      <c r="G8" s="17" t="n">
        <v>26</v>
      </c>
      <c r="H8" s="134" t="n">
        <v>112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112A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북문로한신휴플러스</t>
        </is>
      </c>
      <c r="B9" s="10" t="inlineStr">
        <is>
          <t>'13.06.</t>
        </is>
      </c>
      <c r="C9" s="134" t="n">
        <v>286</v>
      </c>
      <c r="D9" s="132" t="n">
        <v>112.7</v>
      </c>
      <c r="E9" s="133" t="n">
        <v>34</v>
      </c>
      <c r="F9" s="132" t="n">
        <v>85</v>
      </c>
      <c r="G9" s="17" t="n">
        <v>26</v>
      </c>
      <c r="H9" s="134" t="n">
        <v>22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112C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북문로한신휴플러스</t>
        </is>
      </c>
      <c r="B10" s="10" t="inlineStr">
        <is>
          <t>'13.06.</t>
        </is>
      </c>
      <c r="C10" s="134" t="n">
        <v>286</v>
      </c>
      <c r="D10" s="132" t="n">
        <v>113.5</v>
      </c>
      <c r="E10" s="133" t="n">
        <v>34</v>
      </c>
      <c r="F10" s="132" t="n">
        <v>85</v>
      </c>
      <c r="G10" s="17" t="n">
        <v>26</v>
      </c>
      <c r="H10" s="134" t="n">
        <v>68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113B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북문로한신휴플러스</t>
        </is>
      </c>
      <c r="B11" s="10" t="inlineStr">
        <is>
          <t>'13.06.</t>
        </is>
      </c>
      <c r="C11" s="134" t="n">
        <v>286</v>
      </c>
      <c r="D11" s="132" t="n">
        <v>178.8</v>
      </c>
      <c r="E11" s="133" t="n">
        <v>54</v>
      </c>
      <c r="F11" s="132" t="n">
        <v>133.2</v>
      </c>
      <c r="G11" s="17" t="n">
        <v>40</v>
      </c>
      <c r="H11" s="134" t="n">
        <v>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178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북문로한신휴플러스</t>
        </is>
      </c>
      <c r="B12" s="10" t="inlineStr">
        <is>
          <t>'13.06.</t>
        </is>
      </c>
      <c r="C12" s="134" t="n">
        <v>286</v>
      </c>
      <c r="D12" s="132" t="n">
        <v>199.7</v>
      </c>
      <c r="E12" s="133" t="n">
        <v>60</v>
      </c>
      <c r="F12" s="132" t="n">
        <v>148.8</v>
      </c>
      <c r="G12" s="17" t="n">
        <v>45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199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청주행정타운코아루휴티스</t>
        </is>
      </c>
      <c r="B14" s="10" t="inlineStr">
        <is>
          <t>'20.12.</t>
        </is>
      </c>
      <c r="C14" s="134" t="n">
        <v>530</v>
      </c>
      <c r="D14" s="132" t="n">
        <v>114</v>
      </c>
      <c r="E14" s="133" t="n">
        <v>34</v>
      </c>
      <c r="F14" s="132" t="n">
        <v>84.7</v>
      </c>
      <c r="G14" s="17" t="n">
        <v>26</v>
      </c>
      <c r="H14" s="134" t="n">
        <v>266</v>
      </c>
      <c r="I14" s="135" t="n">
        <v>36000</v>
      </c>
      <c r="J14" s="135" t="inlineStr">
        <is>
          <t>중</t>
        </is>
      </c>
      <c r="K14" s="135" t="n">
        <v>23000</v>
      </c>
      <c r="L14" s="135" t="inlineStr">
        <is>
          <t>12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114B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청주행정타운코아루휴티스</t>
        </is>
      </c>
      <c r="B15" s="10" t="inlineStr">
        <is>
          <t>'20.12.</t>
        </is>
      </c>
      <c r="C15" s="134" t="n">
        <v>530</v>
      </c>
      <c r="D15" s="132" t="n">
        <v>116.2</v>
      </c>
      <c r="E15" s="133" t="n">
        <v>35</v>
      </c>
      <c r="F15" s="132" t="n">
        <v>85</v>
      </c>
      <c r="G15" s="17" t="n">
        <v>26</v>
      </c>
      <c r="H15" s="134" t="n">
        <v>264</v>
      </c>
      <c r="I15" s="135" t="n">
        <v>35000</v>
      </c>
      <c r="J15" s="135" t="inlineStr">
        <is>
          <t>중</t>
        </is>
      </c>
      <c r="K15" s="135" t="n">
        <v>25000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inlineStr">
        <is>
          <t>116A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신라송림</t>
        </is>
      </c>
      <c r="B6" s="10" t="inlineStr">
        <is>
          <t>'95.12.</t>
        </is>
      </c>
      <c r="C6" s="134" t="n">
        <v>393</v>
      </c>
      <c r="D6" s="132" t="n">
        <v>62.2</v>
      </c>
      <c r="E6" s="133" t="n">
        <v>19</v>
      </c>
      <c r="F6" s="132" t="n">
        <v>44.6</v>
      </c>
      <c r="G6" s="17" t="n">
        <v>13</v>
      </c>
      <c r="H6" s="134" t="n">
        <v>13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2</v>
      </c>
      <c r="R6" s="119" t="n">
        <v>1</v>
      </c>
      <c r="S6" s="119" t="inlineStr">
        <is>
          <t>복</t>
        </is>
      </c>
      <c r="T6" s="5" t="n">
        <v>62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신라송림</t>
        </is>
      </c>
      <c r="B7" s="10" t="inlineStr">
        <is>
          <t>'95.12.</t>
        </is>
      </c>
      <c r="C7" s="134" t="n">
        <v>393</v>
      </c>
      <c r="D7" s="132" t="n">
        <v>76</v>
      </c>
      <c r="E7" s="133" t="n">
        <v>23</v>
      </c>
      <c r="F7" s="132" t="n">
        <v>59.9</v>
      </c>
      <c r="G7" s="17" t="n">
        <v>18</v>
      </c>
      <c r="H7" s="134" t="n">
        <v>60</v>
      </c>
      <c r="I7" s="135" t="n">
        <v>12500</v>
      </c>
      <c r="J7" s="135" t="inlineStr">
        <is>
          <t>8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2</v>
      </c>
      <c r="R7" s="119" t="n">
        <v>1</v>
      </c>
      <c r="S7" s="119" t="inlineStr">
        <is>
          <t>복</t>
        </is>
      </c>
      <c r="T7" s="5" t="n">
        <v>76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신라송림</t>
        </is>
      </c>
      <c r="B8" s="10" t="inlineStr">
        <is>
          <t>'95.12.</t>
        </is>
      </c>
      <c r="C8" s="134" t="n">
        <v>393</v>
      </c>
      <c r="D8" s="132" t="n">
        <v>83.3</v>
      </c>
      <c r="E8" s="133" t="n">
        <v>25</v>
      </c>
      <c r="F8" s="132" t="n">
        <v>59.8</v>
      </c>
      <c r="G8" s="17" t="n">
        <v>18</v>
      </c>
      <c r="H8" s="134" t="n">
        <v>90</v>
      </c>
      <c r="I8" s="135" t="n">
        <v>11500</v>
      </c>
      <c r="J8" s="135" t="inlineStr">
        <is>
          <t>고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계</t>
        </is>
      </c>
      <c r="T8" s="5" t="n">
        <v>83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신라송림</t>
        </is>
      </c>
      <c r="B9" s="10" t="inlineStr">
        <is>
          <t>'95.12.</t>
        </is>
      </c>
      <c r="C9" s="134" t="n">
        <v>393</v>
      </c>
      <c r="D9" s="132" t="n">
        <v>91.3</v>
      </c>
      <c r="E9" s="133" t="n">
        <v>28</v>
      </c>
      <c r="F9" s="132" t="n">
        <v>73.2</v>
      </c>
      <c r="G9" s="17" t="n">
        <v>22</v>
      </c>
      <c r="H9" s="134" t="n">
        <v>10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91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신라송림</t>
        </is>
      </c>
      <c r="B10" s="10" t="inlineStr">
        <is>
          <t>'95.12.</t>
        </is>
      </c>
      <c r="C10" s="134" t="n">
        <v>393</v>
      </c>
      <c r="D10" s="132" t="n">
        <v>103.6</v>
      </c>
      <c r="E10" s="133" t="n">
        <v>31</v>
      </c>
      <c r="F10" s="132" t="n">
        <v>84.7</v>
      </c>
      <c r="G10" s="17" t="n">
        <v>26</v>
      </c>
      <c r="H10" s="134" t="n">
        <v>203</v>
      </c>
      <c r="I10" s="135" t="n">
        <v>16300</v>
      </c>
      <c r="J10" s="135" t="inlineStr">
        <is>
          <t>13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신라송림</t>
        </is>
      </c>
      <c r="B11" s="10" t="inlineStr">
        <is>
          <t>'95.12.</t>
        </is>
      </c>
      <c r="C11" s="134" t="n">
        <v>393</v>
      </c>
      <c r="D11" s="132" t="n">
        <v>105.7</v>
      </c>
      <c r="E11" s="133" t="n">
        <v>32</v>
      </c>
      <c r="F11" s="132" t="n">
        <v>84.7</v>
      </c>
      <c r="G11" s="17" t="n">
        <v>26</v>
      </c>
      <c r="H11" s="134" t="n">
        <v>17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105B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n"/>
      <c r="B12" s="119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8" t="n"/>
      <c r="U12" s="9" t="n"/>
      <c r="W12" s="70">
        <f>$A$4&amp;" "&amp;A13&amp;"("&amp;B13&amp;","&amp;C13&amp;"^)"</f>
        <v/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H12" s="20">
        <f>IF(A12="","",A12)</f>
        <v/>
      </c>
      <c r="AI12" s="157">
        <f>IF(E12="","",E12)</f>
        <v/>
      </c>
      <c r="AJ12" s="119" t="n"/>
      <c r="AK12" s="119" t="n"/>
      <c r="AL12" s="119" t="n"/>
      <c r="AM12" s="119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19" t="n"/>
    </row>
    <row r="13">
      <c r="A13" s="9" t="inlineStr">
        <is>
          <t>영운삼일</t>
        </is>
      </c>
      <c r="B13" s="10" t="inlineStr">
        <is>
          <t>'92.08.</t>
        </is>
      </c>
      <c r="C13" s="134" t="n">
        <v>228</v>
      </c>
      <c r="D13" s="132" t="n">
        <v>66.7</v>
      </c>
      <c r="E13" s="133" t="n">
        <v>20</v>
      </c>
      <c r="F13" s="132" t="n">
        <v>53.3</v>
      </c>
      <c r="G13" s="17" t="n">
        <v>16</v>
      </c>
      <c r="H13" s="134" t="n">
        <v>14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66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영운삼일</t>
        </is>
      </c>
      <c r="B14" s="10" t="inlineStr">
        <is>
          <t>'92.08.</t>
        </is>
      </c>
      <c r="C14" s="134" t="n">
        <v>228</v>
      </c>
      <c r="D14" s="132" t="n">
        <v>72.8</v>
      </c>
      <c r="E14" s="133" t="n">
        <v>22</v>
      </c>
      <c r="F14" s="132" t="n">
        <v>59.1</v>
      </c>
      <c r="G14" s="17" t="n">
        <v>18</v>
      </c>
      <c r="H14" s="134" t="n">
        <v>78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영운삼일</t>
        </is>
      </c>
      <c r="B15" s="10" t="inlineStr">
        <is>
          <t>'92.08.</t>
        </is>
      </c>
      <c r="C15" s="134" t="n">
        <v>228</v>
      </c>
      <c r="D15" s="132" t="n">
        <v>101.8</v>
      </c>
      <c r="E15" s="133" t="n">
        <v>31</v>
      </c>
      <c r="F15" s="132" t="n">
        <v>84.2</v>
      </c>
      <c r="G15" s="17" t="n">
        <v>25</v>
      </c>
      <c r="H15" s="134" t="n">
        <v>28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영운삼일</t>
        </is>
      </c>
      <c r="B16" s="10" t="inlineStr">
        <is>
          <t>'92.08.</t>
        </is>
      </c>
      <c r="C16" s="134" t="n">
        <v>228</v>
      </c>
      <c r="D16" s="132" t="n">
        <v>106</v>
      </c>
      <c r="E16" s="133" t="n">
        <v>32</v>
      </c>
      <c r="F16" s="132" t="n">
        <v>84.09999999999999</v>
      </c>
      <c r="G16" s="17" t="n">
        <v>25</v>
      </c>
      <c r="H16" s="134" t="n">
        <v>108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106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영운한진신세대</t>
        </is>
      </c>
      <c r="B18" s="10" t="inlineStr">
        <is>
          <t>'97.09.</t>
        </is>
      </c>
      <c r="C18" s="134" t="n">
        <v>272</v>
      </c>
      <c r="D18" s="132" t="n">
        <v>58.1</v>
      </c>
      <c r="E18" s="133" t="n">
        <v>18</v>
      </c>
      <c r="F18" s="132" t="n">
        <v>43.2</v>
      </c>
      <c r="G18" s="17" t="n">
        <v>13</v>
      </c>
      <c r="H18" s="134" t="n">
        <v>272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1</v>
      </c>
      <c r="R18" s="119" t="n">
        <v>1</v>
      </c>
      <c r="S18" s="119" t="inlineStr">
        <is>
          <t>복</t>
        </is>
      </c>
      <c r="T18" s="5" t="n">
        <v>58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미림</t>
        </is>
      </c>
      <c r="B20" s="10" t="inlineStr">
        <is>
          <t>'91.08.</t>
        </is>
      </c>
      <c r="C20" s="134" t="n">
        <v>250</v>
      </c>
      <c r="D20" s="132" t="n">
        <v>71.5</v>
      </c>
      <c r="E20" s="133" t="n">
        <v>22</v>
      </c>
      <c r="F20" s="132" t="n">
        <v>50</v>
      </c>
      <c r="G20" s="17" t="n">
        <v>15</v>
      </c>
      <c r="H20" s="134" t="n">
        <v>250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1</v>
      </c>
      <c r="S20" s="119" t="inlineStr">
        <is>
          <t>계</t>
        </is>
      </c>
      <c r="T20" s="5" t="n">
        <v>71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태암수정</t>
        </is>
      </c>
      <c r="B22" s="10" t="inlineStr">
        <is>
          <t>'95.11.</t>
        </is>
      </c>
      <c r="C22" s="134" t="n">
        <v>486</v>
      </c>
      <c r="D22" s="132" t="n">
        <v>46.3</v>
      </c>
      <c r="E22" s="133" t="n">
        <v>14</v>
      </c>
      <c r="F22" s="132" t="n">
        <v>38.7</v>
      </c>
      <c r="G22" s="17" t="n">
        <v>12</v>
      </c>
      <c r="H22" s="134" t="n">
        <v>72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1</v>
      </c>
      <c r="R22" s="119" t="n">
        <v>1</v>
      </c>
      <c r="S22" s="119" t="inlineStr">
        <is>
          <t>계</t>
        </is>
      </c>
      <c r="T22" s="5" t="n">
        <v>46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태암수정</t>
        </is>
      </c>
      <c r="B23" s="10" t="inlineStr">
        <is>
          <t>'95.11.</t>
        </is>
      </c>
      <c r="C23" s="134" t="n">
        <v>486</v>
      </c>
      <c r="D23" s="132" t="n">
        <v>50.5</v>
      </c>
      <c r="E23" s="133" t="n">
        <v>15</v>
      </c>
      <c r="F23" s="132" t="n">
        <v>42.2</v>
      </c>
      <c r="G23" s="17" t="n">
        <v>13</v>
      </c>
      <c r="H23" s="134" t="n">
        <v>336</v>
      </c>
      <c r="I23" s="135" t="n">
        <v>6000</v>
      </c>
      <c r="J23" s="135" t="inlineStr">
        <is>
          <t>고</t>
        </is>
      </c>
      <c r="K23" s="135" t="n">
        <v>5000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1</v>
      </c>
      <c r="R23" s="119" t="n">
        <v>1</v>
      </c>
      <c r="S23" s="119" t="inlineStr">
        <is>
          <t>계</t>
        </is>
      </c>
      <c r="T23" s="5" t="n">
        <v>50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태암수정</t>
        </is>
      </c>
      <c r="B24" s="10" t="inlineStr">
        <is>
          <t>'95.11.</t>
        </is>
      </c>
      <c r="C24" s="134" t="n">
        <v>486</v>
      </c>
      <c r="D24" s="132" t="n">
        <v>64.7</v>
      </c>
      <c r="E24" s="133" t="n">
        <v>20</v>
      </c>
      <c r="F24" s="132" t="n">
        <v>54.1</v>
      </c>
      <c r="G24" s="17" t="n">
        <v>16</v>
      </c>
      <c r="H24" s="134" t="n">
        <v>78</v>
      </c>
      <c r="I24" s="135" t="n">
        <v>7500</v>
      </c>
      <c r="J24" s="135" t="inlineStr">
        <is>
          <t>7</t>
        </is>
      </c>
      <c r="K24" s="135" t="n">
        <v>7000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계</t>
        </is>
      </c>
      <c r="T24" s="5" t="n">
        <v>64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파모스라움</t>
        </is>
      </c>
      <c r="B26" s="10" t="inlineStr">
        <is>
          <t>'18.10.</t>
        </is>
      </c>
      <c r="C26" s="134" t="n">
        <v>246</v>
      </c>
      <c r="D26" s="132" t="n">
        <v>86.7</v>
      </c>
      <c r="E26" s="133" t="n">
        <v>26</v>
      </c>
      <c r="F26" s="132" t="n">
        <v>59.6</v>
      </c>
      <c r="G26" s="17" t="n">
        <v>18</v>
      </c>
      <c r="H26" s="134" t="n">
        <v>51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86C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inlineStr">
        <is>
          <t>파모스라움</t>
        </is>
      </c>
      <c r="B27" s="10" t="inlineStr">
        <is>
          <t>'18.10.</t>
        </is>
      </c>
      <c r="C27" s="134" t="n">
        <v>246</v>
      </c>
      <c r="D27" s="132" t="n">
        <v>86.3</v>
      </c>
      <c r="E27" s="133" t="n">
        <v>26</v>
      </c>
      <c r="F27" s="132" t="n">
        <v>59.5</v>
      </c>
      <c r="G27" s="17" t="n">
        <v>18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86B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파모스라움</t>
        </is>
      </c>
      <c r="B28" s="10" t="inlineStr">
        <is>
          <t>'18.10.</t>
        </is>
      </c>
      <c r="C28" s="134" t="n">
        <v>246</v>
      </c>
      <c r="D28" s="132" t="n">
        <v>86.7</v>
      </c>
      <c r="E28" s="133" t="n">
        <v>26</v>
      </c>
      <c r="F28" s="132" t="n">
        <v>59.4</v>
      </c>
      <c r="G28" s="17" t="n">
        <v>18</v>
      </c>
      <c r="H28" s="134" t="n">
        <v>9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86F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파모스라움</t>
        </is>
      </c>
      <c r="B29" s="10" t="inlineStr">
        <is>
          <t>'18.10.</t>
        </is>
      </c>
      <c r="C29" s="134" t="n">
        <v>246</v>
      </c>
      <c r="D29" s="132" t="n">
        <v>87.09999999999999</v>
      </c>
      <c r="E29" s="133" t="n">
        <v>26</v>
      </c>
      <c r="F29" s="132" t="n">
        <v>59.4</v>
      </c>
      <c r="G29" s="17" t="n">
        <v>18</v>
      </c>
      <c r="H29" s="134" t="n">
        <v>142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87A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파모스라움</t>
        </is>
      </c>
      <c r="B30" s="10" t="inlineStr">
        <is>
          <t>'18.10.</t>
        </is>
      </c>
      <c r="C30" s="134" t="n">
        <v>246</v>
      </c>
      <c r="D30" s="132" t="n">
        <v>87</v>
      </c>
      <c r="E30" s="133" t="n">
        <v>26</v>
      </c>
      <c r="F30" s="132" t="n">
        <v>59.7</v>
      </c>
      <c r="G30" s="17" t="n">
        <v>18</v>
      </c>
      <c r="H30" s="134" t="n">
        <v>13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87E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n"/>
      <c r="B31" s="119" t="n"/>
      <c r="C31" s="6" t="n"/>
      <c r="D31" s="9" t="n"/>
      <c r="E31" s="14" t="n"/>
      <c r="F31" s="132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7" t="n"/>
      <c r="P31" s="137" t="n"/>
      <c r="Q31" s="133" t="n"/>
      <c r="R31" s="133" t="n"/>
      <c r="S31" s="9" t="n"/>
      <c r="T31" s="48" t="n"/>
      <c r="U31" s="9" t="n"/>
      <c r="W31" s="70">
        <f>$A$4&amp;" "&amp;A32&amp;"("&amp;B32&amp;","&amp;C32&amp;"^)"</f>
        <v/>
      </c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H31" s="20">
        <f>IF(A31="","",A31)</f>
        <v/>
      </c>
      <c r="AI31" s="157">
        <f>IF(E31="","",E31)</f>
        <v/>
      </c>
      <c r="AJ31" s="119" t="n"/>
      <c r="AK31" s="119" t="n"/>
      <c r="AL31" s="119" t="n"/>
      <c r="AM31" s="119" t="n"/>
      <c r="AN31" s="119" t="n"/>
      <c r="AO31" s="119" t="n"/>
      <c r="AP31" s="119" t="n"/>
      <c r="AQ31" s="119" t="n"/>
      <c r="AR31" s="119" t="n"/>
      <c r="AS31" s="119" t="n"/>
      <c r="AT31" s="119" t="n"/>
      <c r="AU31" s="119" t="n"/>
      <c r="AV31" s="119" t="n"/>
    </row>
    <row r="32">
      <c r="A32" s="9" t="inlineStr">
        <is>
          <t>영운두산하이츠타운(두산독신자)</t>
        </is>
      </c>
      <c r="B32" s="10" t="inlineStr">
        <is>
          <t>'92.06.</t>
        </is>
      </c>
      <c r="C32" s="134" t="n">
        <v>296</v>
      </c>
      <c r="D32" s="132" t="n">
        <v>35</v>
      </c>
      <c r="E32" s="133" t="n">
        <v>11</v>
      </c>
      <c r="F32" s="132" t="n">
        <v>22.9</v>
      </c>
      <c r="G32" s="17" t="n">
        <v>7</v>
      </c>
      <c r="H32" s="134" t="n">
        <v>296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1</v>
      </c>
      <c r="R32" s="119" t="n">
        <v>1</v>
      </c>
      <c r="S32" s="119" t="inlineStr">
        <is>
          <t>계</t>
        </is>
      </c>
      <c r="T32" s="5" t="n">
        <v>35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30" dxfId="23">
      <formula>AV4="X"</formula>
    </cfRule>
    <cfRule type="expression" priority="431" dxfId="22">
      <formula>AV4="후보"</formula>
    </cfRule>
  </conditionalFormatting>
  <conditionalFormatting sqref="AC1:AC2 AC4:AC6 N4:N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:N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X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I6">
    <cfRule type="expression" priority="411" dxfId="3">
      <formula>AND(IF(OR($Q6=1,$Q6=2),1,0),IF($X6&lt;=20,1,0))</formula>
    </cfRule>
    <cfRule type="expression" priority="412" dxfId="2">
      <formula>AND(IF($Q6=2,1,0),IF($X6&lt;30,1,0))</formula>
    </cfRule>
    <cfRule type="expression" priority="413" dxfId="1">
      <formula>AND(IF($Q6=3,1,0),IF($X6&lt;30,1,0))</formula>
    </cfRule>
    <cfRule type="expression" priority="414" dxfId="0">
      <formula>AND(IF($Q6=3,1,IF($Q6=4,1,0)),IF($F6&lt;=85,1,0))</formula>
    </cfRule>
  </conditionalFormatting>
  <conditionalFormatting sqref="AV7">
    <cfRule type="expression" priority="409" dxfId="23">
      <formula>AV7="X"</formula>
    </cfRule>
    <cfRule type="expression" priority="410" dxfId="22">
      <formula>AV7="후보"</formula>
    </cfRule>
  </conditionalFormatting>
  <conditionalFormatting sqref="AC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X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I7">
    <cfRule type="expression" priority="392" dxfId="3">
      <formula>AND(IF(OR($Q7=1,$Q7=2),1,0),IF($X7&lt;=20,1,0))</formula>
    </cfRule>
    <cfRule type="expression" priority="393" dxfId="2">
      <formula>AND(IF($Q7=2,1,0),IF($X7&lt;30,1,0))</formula>
    </cfRule>
    <cfRule type="expression" priority="394" dxfId="1">
      <formula>AND(IF($Q7=3,1,0),IF($X7&lt;30,1,0))</formula>
    </cfRule>
    <cfRule type="expression" priority="395" dxfId="0">
      <formula>AND(IF($Q7=3,1,IF($Q7=4,1,0)),IF($F7&lt;=85,1,0))</formula>
    </cfRule>
  </conditionalFormatting>
  <conditionalFormatting sqref="AV8">
    <cfRule type="expression" priority="390" dxfId="23">
      <formula>AV8="X"</formula>
    </cfRule>
    <cfRule type="expression" priority="391" dxfId="22">
      <formula>AV8="후보"</formula>
    </cfRule>
  </conditionalFormatting>
  <conditionalFormatting sqref="AC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X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I8">
    <cfRule type="expression" priority="373" dxfId="3">
      <formula>AND(IF(OR($Q8=1,$Q8=2),1,0),IF($X8&lt;=20,1,0))</formula>
    </cfRule>
    <cfRule type="expression" priority="374" dxfId="2">
      <formula>AND(IF($Q8=2,1,0),IF($X8&lt;30,1,0))</formula>
    </cfRule>
    <cfRule type="expression" priority="375" dxfId="1">
      <formula>AND(IF($Q8=3,1,0),IF($X8&lt;30,1,0))</formula>
    </cfRule>
    <cfRule type="expression" priority="376" dxfId="0">
      <formula>AND(IF($Q8=3,1,IF($Q8=4,1,0)),IF($F8&lt;=85,1,0))</formula>
    </cfRule>
  </conditionalFormatting>
  <conditionalFormatting sqref="AV9">
    <cfRule type="expression" priority="371" dxfId="23">
      <formula>AV9="X"</formula>
    </cfRule>
    <cfRule type="expression" priority="372" dxfId="22">
      <formula>AV9="후보"</formula>
    </cfRule>
  </conditionalFormatting>
  <conditionalFormatting sqref="AC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9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23">
      <formula>AV10="X"</formula>
    </cfRule>
    <cfRule type="expression" priority="353" dxfId="22">
      <formula>AV10="후보"</formula>
    </cfRule>
  </conditionalFormatting>
  <conditionalFormatting sqref="AC10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0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23">
      <formula>AV11="X"</formula>
    </cfRule>
    <cfRule type="expression" priority="334" dxfId="22">
      <formula>AV11="후보"</formula>
    </cfRule>
  </conditionalFormatting>
  <conditionalFormatting sqref="AC1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23">
      <formula>AV12="X"</formula>
    </cfRule>
    <cfRule type="expression" priority="315" dxfId="22">
      <formula>AV12="후보"</formula>
    </cfRule>
  </conditionalFormatting>
  <conditionalFormatting sqref="AC12 N1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X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I14">
    <cfRule type="expression" priority="273" dxfId="3">
      <formula>AND(IF(OR($Q14=1,$Q14=2),1,0),IF($X14&lt;=20,1,0))</formula>
    </cfRule>
    <cfRule type="expression" priority="274" dxfId="2">
      <formula>AND(IF($Q14=2,1,0),IF($X14&lt;30,1,0))</formula>
    </cfRule>
    <cfRule type="expression" priority="275" dxfId="1">
      <formula>AND(IF($Q14=3,1,0),IF($X14&lt;30,1,0))</formula>
    </cfRule>
    <cfRule type="expression" priority="276" dxfId="0">
      <formula>AND(IF($Q14=3,1,IF($Q14=4,1,0)),IF($F14&lt;=85,1,0))</formula>
    </cfRule>
  </conditionalFormatting>
  <conditionalFormatting sqref="AV15">
    <cfRule type="expression" priority="271" dxfId="23">
      <formula>AV15="X"</formula>
    </cfRule>
    <cfRule type="expression" priority="272" dxfId="22">
      <formula>AV15="후보"</formula>
    </cfRule>
  </conditionalFormatting>
  <conditionalFormatting sqref="AC1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X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I15">
    <cfRule type="expression" priority="254" dxfId="3">
      <formula>AND(IF(OR($Q15=1,$Q15=2),1,0),IF($X15&lt;=20,1,0))</formula>
    </cfRule>
    <cfRule type="expression" priority="255" dxfId="2">
      <formula>AND(IF($Q15=2,1,0),IF($X15&lt;30,1,0))</formula>
    </cfRule>
    <cfRule type="expression" priority="256" dxfId="1">
      <formula>AND(IF($Q15=3,1,0),IF($X15&lt;30,1,0))</formula>
    </cfRule>
    <cfRule type="expression" priority="257" dxfId="0">
      <formula>AND(IF($Q15=3,1,IF($Q15=4,1,0)),IF($F15&lt;=85,1,0))</formula>
    </cfRule>
  </conditionalFormatting>
  <conditionalFormatting sqref="AV16">
    <cfRule type="expression" priority="252" dxfId="23">
      <formula>AV16="X"</formula>
    </cfRule>
    <cfRule type="expression" priority="253" dxfId="22">
      <formula>AV16="후보"</formula>
    </cfRule>
  </conditionalFormatting>
  <conditionalFormatting sqref="AC1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23">
      <formula>AV17="X"</formula>
    </cfRule>
    <cfRule type="expression" priority="234" dxfId="22">
      <formula>AV17="후보"</formula>
    </cfRule>
  </conditionalFormatting>
  <conditionalFormatting sqref="AC17 N17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8">
    <cfRule type="expression" priority="228" dxfId="23">
      <formula>AV18="X"</formula>
    </cfRule>
    <cfRule type="expression" priority="229" dxfId="22">
      <formula>AV18="후보"</formula>
    </cfRule>
  </conditionalFormatting>
  <conditionalFormatting sqref="AC1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23">
      <formula>AV19="X"</formula>
    </cfRule>
    <cfRule type="expression" priority="210" dxfId="22">
      <formula>AV19="후보"</formula>
    </cfRule>
  </conditionalFormatting>
  <conditionalFormatting sqref="AC19 N1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 N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2">
    <cfRule type="expression" priority="180" dxfId="23">
      <formula>AV22="X"</formula>
    </cfRule>
    <cfRule type="expression" priority="181" dxfId="22">
      <formula>AV22="후보"</formula>
    </cfRule>
  </conditionalFormatting>
  <conditionalFormatting sqref="AC2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23">
      <formula>AV23="X"</formula>
    </cfRule>
    <cfRule type="expression" priority="162" dxfId="22">
      <formula>AV23="후보"</formula>
    </cfRule>
  </conditionalFormatting>
  <conditionalFormatting sqref="AC2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23">
      <formula>AV24="X"</formula>
    </cfRule>
    <cfRule type="expression" priority="143" dxfId="22">
      <formula>AV24="후보"</formula>
    </cfRule>
  </conditionalFormatting>
  <conditionalFormatting sqref="AC2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23">
      <formula>AV25="X"</formula>
    </cfRule>
    <cfRule type="expression" priority="124" dxfId="22">
      <formula>AV25="후보"</formula>
    </cfRule>
  </conditionalFormatting>
  <conditionalFormatting sqref="AC25 N2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6">
    <cfRule type="expression" priority="118" dxfId="23">
      <formula>AV26="X"</formula>
    </cfRule>
    <cfRule type="expression" priority="119" dxfId="22">
      <formula>AV26="후보"</formula>
    </cfRule>
  </conditionalFormatting>
  <conditionalFormatting sqref="AC2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23">
      <formula>AV27="X"</formula>
    </cfRule>
    <cfRule type="expression" priority="100" dxfId="22">
      <formula>AV27="후보"</formula>
    </cfRule>
  </conditionalFormatting>
  <conditionalFormatting sqref="AC2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0">
    <cfRule type="expression" priority="33" dxfId="3">
      <formula>AND(IF(OR($Q30=1,$Q30=2),1,0),IF($X30&lt;=20,1,0))</formula>
    </cfRule>
    <cfRule type="expression" priority="34" dxfId="2">
      <formula>AND(IF($Q30=2,1,0),IF($X30&lt;30,1,0))</formula>
    </cfRule>
    <cfRule type="expression" priority="35" dxfId="1">
      <formula>AND(IF($Q30=3,1,0),IF($X30&lt;30,1,0))</formula>
    </cfRule>
    <cfRule type="expression" priority="36" dxfId="0">
      <formula>AND(IF($Q30=3,1,IF($Q30=4,1,0)),IF($F30&lt;=85,1,0))</formula>
    </cfRule>
  </conditionalFormatting>
  <conditionalFormatting sqref="X30">
    <cfRule type="expression" priority="29" dxfId="3">
      <formula>AND(IF(OR($Q30=1,$Q30=2),1,0),IF($X30&lt;=20,1,0))</formula>
    </cfRule>
    <cfRule type="expression" priority="30" dxfId="2">
      <formula>AND(IF($Q30=2,1,0),IF($X30&lt;30,1,0))</formula>
    </cfRule>
    <cfRule type="expression" priority="31" dxfId="1">
      <formula>AND(IF($Q30=3,1,0),IF($X30&lt;30,1,0))</formula>
    </cfRule>
    <cfRule type="expression" priority="32" dxfId="0">
      <formula>AND(IF($Q30=3,1,IF($Q30=4,1,0)),IF($F30&lt;=85,1,0))</formula>
    </cfRule>
  </conditionalFormatting>
  <conditionalFormatting sqref="AI30">
    <cfRule type="expression" priority="25" dxfId="3">
      <formula>AND(IF(OR($Q30=1,$Q30=2),1,0),IF($X30&lt;=20,1,0))</formula>
    </cfRule>
    <cfRule type="expression" priority="26" dxfId="2">
      <formula>AND(IF($Q30=2,1,0),IF($X30&lt;30,1,0))</formula>
    </cfRule>
    <cfRule type="expression" priority="27" dxfId="1">
      <formula>AND(IF($Q30=3,1,0),IF($X30&lt;30,1,0))</formula>
    </cfRule>
    <cfRule type="expression" priority="28" dxfId="0">
      <formula>AND(IF($Q30=3,1,IF($Q30=4,1,0)),IF($F30&lt;=85,1,0))</formula>
    </cfRule>
  </conditionalFormatting>
  <conditionalFormatting sqref="AV31">
    <cfRule type="expression" priority="23" dxfId="23">
      <formula>AV31="X"</formula>
    </cfRule>
    <cfRule type="expression" priority="24" dxfId="22">
      <formula>AV31="후보"</formula>
    </cfRule>
  </conditionalFormatting>
  <conditionalFormatting sqref="AC31 N3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가좌마을5단지부영</t>
        </is>
      </c>
      <c r="B6" s="10" t="inlineStr">
        <is>
          <t>'04.06.</t>
        </is>
      </c>
      <c r="C6" s="134" t="n">
        <v>437</v>
      </c>
      <c r="D6" s="132" t="n">
        <v>113.6</v>
      </c>
      <c r="E6" s="133" t="n">
        <v>34</v>
      </c>
      <c r="F6" s="132" t="n">
        <v>85</v>
      </c>
      <c r="G6" s="17" t="n">
        <v>26</v>
      </c>
      <c r="H6" s="134" t="n">
        <v>437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가좌마을용담세영첼시빌</t>
        </is>
      </c>
      <c r="B8" s="10" t="inlineStr">
        <is>
          <t>'05.01.</t>
        </is>
      </c>
      <c r="C8" s="134" t="n">
        <v>568</v>
      </c>
      <c r="D8" s="132" t="n">
        <v>119.4</v>
      </c>
      <c r="E8" s="133" t="n">
        <v>36</v>
      </c>
      <c r="F8" s="132" t="n">
        <v>85</v>
      </c>
      <c r="G8" s="17" t="n">
        <v>26</v>
      </c>
      <c r="H8" s="134" t="n">
        <v>388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119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가좌마을용담세영첼시빌</t>
        </is>
      </c>
      <c r="B9" s="10" t="inlineStr">
        <is>
          <t>'05.01.</t>
        </is>
      </c>
      <c r="C9" s="134" t="n">
        <v>568</v>
      </c>
      <c r="D9" s="132" t="n">
        <v>156</v>
      </c>
      <c r="E9" s="133" t="n">
        <v>47</v>
      </c>
      <c r="F9" s="132" t="n">
        <v>131.3</v>
      </c>
      <c r="G9" s="17" t="n">
        <v>40</v>
      </c>
      <c r="H9" s="134" t="n">
        <v>120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155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가좌마을용담세영첼시빌</t>
        </is>
      </c>
      <c r="B10" s="10" t="inlineStr">
        <is>
          <t>'05.01.</t>
        </is>
      </c>
      <c r="C10" s="134" t="n">
        <v>568</v>
      </c>
      <c r="D10" s="132" t="n">
        <v>184.5</v>
      </c>
      <c r="E10" s="133" t="n">
        <v>56</v>
      </c>
      <c r="F10" s="132" t="n">
        <v>157</v>
      </c>
      <c r="G10" s="17" t="n">
        <v>48</v>
      </c>
      <c r="H10" s="134" t="n">
        <v>60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184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가좌마을부영그린타운1차</t>
        </is>
      </c>
      <c r="B12" s="10" t="inlineStr">
        <is>
          <t>'03.07.</t>
        </is>
      </c>
      <c r="C12" s="134" t="n">
        <v>380</v>
      </c>
      <c r="D12" s="132" t="n">
        <v>106</v>
      </c>
      <c r="E12" s="133" t="n">
        <v>32</v>
      </c>
      <c r="F12" s="132" t="n">
        <v>85</v>
      </c>
      <c r="G12" s="17" t="n">
        <v>26</v>
      </c>
      <c r="H12" s="134" t="n">
        <v>380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n">
        <v>106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용담가좌마을e-편한세상</t>
        </is>
      </c>
      <c r="B14" s="10" t="inlineStr">
        <is>
          <t>'04.10.</t>
        </is>
      </c>
      <c r="C14" s="134" t="n">
        <v>421</v>
      </c>
      <c r="D14" s="132" t="n">
        <v>130.1</v>
      </c>
      <c r="E14" s="133" t="n">
        <v>39</v>
      </c>
      <c r="F14" s="132" t="n">
        <v>107.3</v>
      </c>
      <c r="G14" s="17" t="n">
        <v>32</v>
      </c>
      <c r="H14" s="134" t="n">
        <v>174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130A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용담가좌마을e-편한세상</t>
        </is>
      </c>
      <c r="B15" s="10" t="inlineStr">
        <is>
          <t>'04.10.</t>
        </is>
      </c>
      <c r="C15" s="134" t="n">
        <v>421</v>
      </c>
      <c r="D15" s="132" t="n">
        <v>130.5</v>
      </c>
      <c r="E15" s="133" t="n">
        <v>39</v>
      </c>
      <c r="F15" s="132" t="n">
        <v>107.6</v>
      </c>
      <c r="G15" s="17" t="n">
        <v>33</v>
      </c>
      <c r="H15" s="134" t="n">
        <v>13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용담가좌마을e-편한세상</t>
        </is>
      </c>
      <c r="B16" s="10" t="inlineStr">
        <is>
          <t>'04.10.</t>
        </is>
      </c>
      <c r="C16" s="134" t="n">
        <v>421</v>
      </c>
      <c r="D16" s="132" t="n">
        <v>161.7</v>
      </c>
      <c r="E16" s="133" t="n">
        <v>49</v>
      </c>
      <c r="F16" s="132" t="n">
        <v>139.2</v>
      </c>
      <c r="G16" s="17" t="n">
        <v>42</v>
      </c>
      <c r="H16" s="134" t="n">
        <v>176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161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용담가좌마을e-편한세상</t>
        </is>
      </c>
      <c r="B17" s="10" t="inlineStr">
        <is>
          <t>'04.10.</t>
        </is>
      </c>
      <c r="C17" s="134" t="n">
        <v>421</v>
      </c>
      <c r="D17" s="132" t="n">
        <v>190.2</v>
      </c>
      <c r="E17" s="133" t="n">
        <v>58</v>
      </c>
      <c r="F17" s="132" t="n">
        <v>167.6</v>
      </c>
      <c r="G17" s="17" t="n">
        <v>51</v>
      </c>
      <c r="H17" s="134" t="n">
        <v>58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190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n"/>
      <c r="B18" s="119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7">
        <f>IF(E18="","",E18)</f>
        <v/>
      </c>
      <c r="AJ18" s="119" t="n"/>
      <c r="AK18" s="119" t="n"/>
      <c r="AL18" s="119" t="n"/>
      <c r="AM18" s="119" t="n"/>
      <c r="AN18" s="119" t="n"/>
      <c r="AO18" s="119" t="n"/>
      <c r="AP18" s="119" t="n"/>
      <c r="AQ18" s="119" t="n"/>
      <c r="AR18" s="119" t="n"/>
      <c r="AS18" s="119" t="n"/>
      <c r="AT18" s="119" t="n"/>
      <c r="AU18" s="119" t="n"/>
      <c r="AV18" s="119" t="n"/>
    </row>
    <row r="19">
      <c r="A19" s="9" t="inlineStr">
        <is>
          <t>우미린에듀파크2단지</t>
        </is>
      </c>
      <c r="B19" s="10" t="inlineStr">
        <is>
          <t>'18.02.</t>
        </is>
      </c>
      <c r="C19" s="134" t="n">
        <v>901</v>
      </c>
      <c r="D19" s="132" t="n">
        <v>97.90000000000001</v>
      </c>
      <c r="E19" s="133" t="n">
        <v>30</v>
      </c>
      <c r="F19" s="132" t="n">
        <v>72.90000000000001</v>
      </c>
      <c r="G19" s="17" t="n">
        <v>22</v>
      </c>
      <c r="H19" s="134" t="n">
        <v>93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우미린에듀파크2단지</t>
        </is>
      </c>
      <c r="B20" s="10" t="inlineStr">
        <is>
          <t>'18.02.</t>
        </is>
      </c>
      <c r="C20" s="134" t="n">
        <v>901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280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우미린에듀파크2단지</t>
        </is>
      </c>
      <c r="B21" s="10" t="inlineStr">
        <is>
          <t>'18.02.</t>
        </is>
      </c>
      <c r="C21" s="134" t="n">
        <v>901</v>
      </c>
      <c r="D21" s="132" t="n">
        <v>111.9</v>
      </c>
      <c r="E21" s="133" t="n">
        <v>34</v>
      </c>
      <c r="F21" s="132" t="n">
        <v>85</v>
      </c>
      <c r="G21" s="17" t="n">
        <v>26</v>
      </c>
      <c r="H21" s="134" t="n">
        <v>189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111B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우미린에듀파크2단지</t>
        </is>
      </c>
      <c r="B22" s="10" t="inlineStr">
        <is>
          <t>'18.02.</t>
        </is>
      </c>
      <c r="C22" s="134" t="n">
        <v>901</v>
      </c>
      <c r="D22" s="132" t="n">
        <v>112.2</v>
      </c>
      <c r="E22" s="133" t="n">
        <v>34</v>
      </c>
      <c r="F22" s="132" t="n">
        <v>85</v>
      </c>
      <c r="G22" s="17" t="n">
        <v>26</v>
      </c>
      <c r="H22" s="134" t="n">
        <v>231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112D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우미린에듀파크2단지</t>
        </is>
      </c>
      <c r="B23" s="10" t="inlineStr">
        <is>
          <t>'18.02.</t>
        </is>
      </c>
      <c r="C23" s="134" t="n">
        <v>901</v>
      </c>
      <c r="D23" s="132" t="n">
        <v>112.1</v>
      </c>
      <c r="E23" s="133" t="n">
        <v>34</v>
      </c>
      <c r="F23" s="132" t="n">
        <v>85</v>
      </c>
      <c r="G23" s="17" t="n">
        <v>26</v>
      </c>
      <c r="H23" s="134" t="n">
        <v>18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우미린에듀파크2단지</t>
        </is>
      </c>
      <c r="B24" s="10" t="inlineStr">
        <is>
          <t>'18.02.</t>
        </is>
      </c>
      <c r="C24" s="134" t="n">
        <v>901</v>
      </c>
      <c r="D24" s="132" t="n">
        <v>141.8</v>
      </c>
      <c r="E24" s="133" t="n">
        <v>43</v>
      </c>
      <c r="F24" s="132" t="n">
        <v>113.9</v>
      </c>
      <c r="G24" s="17" t="n">
        <v>34</v>
      </c>
      <c r="H24" s="134" t="n">
        <v>90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4</v>
      </c>
      <c r="R24" s="119" t="n">
        <v>2</v>
      </c>
      <c r="S24" s="119" t="inlineStr">
        <is>
          <t>계</t>
        </is>
      </c>
      <c r="T24" s="5" t="n">
        <v>141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가좌마을2단지부영</t>
        </is>
      </c>
      <c r="B26" s="10" t="inlineStr">
        <is>
          <t>'03.07.</t>
        </is>
      </c>
      <c r="C26" s="134" t="n">
        <v>569</v>
      </c>
      <c r="D26" s="132" t="n">
        <v>78</v>
      </c>
      <c r="E26" s="133" t="n">
        <v>24</v>
      </c>
      <c r="F26" s="132" t="n">
        <v>60</v>
      </c>
      <c r="G26" s="17" t="n">
        <v>18</v>
      </c>
      <c r="H26" s="134" t="n">
        <v>569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77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 N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 N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7">
    <cfRule type="expression" priority="152" dxfId="3">
      <formula>AND(IF(OR($Q17=1,$Q17=2),1,0),IF($X17&lt;=20,1,0))</formula>
    </cfRule>
    <cfRule type="expression" priority="153" dxfId="2">
      <formula>AND(IF($Q17=2,1,0),IF($X17&lt;30,1,0))</formula>
    </cfRule>
    <cfRule type="expression" priority="154" dxfId="1">
      <formula>AND(IF($Q17=3,1,0),IF($X17&lt;30,1,0))</formula>
    </cfRule>
    <cfRule type="expression" priority="155" dxfId="0">
      <formula>AND(IF($Q17=3,1,IF($Q17=4,1,0)),IF($F17&lt;=85,1,0))</formula>
    </cfRule>
  </conditionalFormatting>
  <conditionalFormatting sqref="X17">
    <cfRule type="expression" priority="148" dxfId="3">
      <formula>AND(IF(OR($Q17=1,$Q17=2),1,0),IF($X17&lt;=20,1,0))</formula>
    </cfRule>
    <cfRule type="expression" priority="149" dxfId="2">
      <formula>AND(IF($Q17=2,1,0),IF($X17&lt;30,1,0))</formula>
    </cfRule>
    <cfRule type="expression" priority="150" dxfId="1">
      <formula>AND(IF($Q17=3,1,0),IF($X17&lt;30,1,0))</formula>
    </cfRule>
    <cfRule type="expression" priority="151" dxfId="0">
      <formula>AND(IF($Q17=3,1,IF($Q17=4,1,0)),IF($F17&lt;=85,1,0))</formula>
    </cfRule>
  </conditionalFormatting>
  <conditionalFormatting sqref="AI17">
    <cfRule type="expression" priority="144" dxfId="3">
      <formula>AND(IF(OR($Q17=1,$Q17=2),1,0),IF($X17&lt;=20,1,0))</formula>
    </cfRule>
    <cfRule type="expression" priority="145" dxfId="2">
      <formula>AND(IF($Q17=2,1,0),IF($X17&lt;30,1,0))</formula>
    </cfRule>
    <cfRule type="expression" priority="146" dxfId="1">
      <formula>AND(IF($Q17=3,1,0),IF($X17&lt;30,1,0))</formula>
    </cfRule>
    <cfRule type="expression" priority="147" dxfId="0">
      <formula>AND(IF($Q17=3,1,IF($Q17=4,1,0)),IF($F17&lt;=85,1,0))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 N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3">
    <cfRule type="expression" priority="52" dxfId="3">
      <formula>AND(IF(OR($Q23=1,$Q23=2),1,0),IF($X23&lt;=20,1,0))</formula>
    </cfRule>
    <cfRule type="expression" priority="53" dxfId="2">
      <formula>AND(IF($Q23=2,1,0),IF($X23&lt;30,1,0))</formula>
    </cfRule>
    <cfRule type="expression" priority="54" dxfId="1">
      <formula>AND(IF($Q23=3,1,0),IF($X23&lt;30,1,0))</formula>
    </cfRule>
    <cfRule type="expression" priority="55" dxfId="0">
      <formula>AND(IF($Q23=3,1,IF($Q23=4,1,0)),IF($F23&lt;=85,1,0))</formula>
    </cfRule>
  </conditionalFormatting>
  <conditionalFormatting sqref="X23">
    <cfRule type="expression" priority="48" dxfId="3">
      <formula>AND(IF(OR($Q23=1,$Q23=2),1,0),IF($X23&lt;=20,1,0))</formula>
    </cfRule>
    <cfRule type="expression" priority="49" dxfId="2">
      <formula>AND(IF($Q23=2,1,0),IF($X23&lt;30,1,0))</formula>
    </cfRule>
    <cfRule type="expression" priority="50" dxfId="1">
      <formula>AND(IF($Q23=3,1,0),IF($X23&lt;30,1,0))</formula>
    </cfRule>
    <cfRule type="expression" priority="51" dxfId="0">
      <formula>AND(IF($Q23=3,1,IF($Q23=4,1,0)),IF($F23&lt;=85,1,0))</formula>
    </cfRule>
  </conditionalFormatting>
  <conditionalFormatting sqref="AI23">
    <cfRule type="expression" priority="44" dxfId="3">
      <formula>AND(IF(OR($Q23=1,$Q23=2),1,0),IF($X23&lt;=20,1,0))</formula>
    </cfRule>
    <cfRule type="expression" priority="45" dxfId="2">
      <formula>AND(IF($Q23=2,1,0),IF($X23&lt;30,1,0))</formula>
    </cfRule>
    <cfRule type="expression" priority="46" dxfId="1">
      <formula>AND(IF($Q23=3,1,0),IF($X23&lt;30,1,0))</formula>
    </cfRule>
    <cfRule type="expression" priority="47" dxfId="0">
      <formula>AND(IF($Q23=3,1,IF($Q23=4,1,0)),IF($F23&lt;=85,1,0))</formula>
    </cfRule>
  </conditionalFormatting>
  <conditionalFormatting sqref="AV24">
    <cfRule type="expression" priority="42" dxfId="23">
      <formula>AV24="X"</formula>
    </cfRule>
    <cfRule type="expression" priority="43" dxfId="22">
      <formula>AV24="후보"</formula>
    </cfRule>
  </conditionalFormatting>
  <conditionalFormatting sqref="AC2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4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4">
    <cfRule type="expression" priority="33" dxfId="3">
      <formula>AND(IF(OR($Q24=1,$Q24=2),1,0),IF($X24&lt;=20,1,0))</formula>
    </cfRule>
    <cfRule type="expression" priority="34" dxfId="2">
      <formula>AND(IF($Q24=2,1,0),IF($X24&lt;30,1,0))</formula>
    </cfRule>
    <cfRule type="expression" priority="35" dxfId="1">
      <formula>AND(IF($Q24=3,1,0),IF($X24&lt;30,1,0))</formula>
    </cfRule>
    <cfRule type="expression" priority="36" dxfId="0">
      <formula>AND(IF($Q24=3,1,IF($Q24=4,1,0)),IF($F24&lt;=85,1,0))</formula>
    </cfRule>
  </conditionalFormatting>
  <conditionalFormatting sqref="X24">
    <cfRule type="expression" priority="29" dxfId="3">
      <formula>AND(IF(OR($Q24=1,$Q24=2),1,0),IF($X24&lt;=20,1,0))</formula>
    </cfRule>
    <cfRule type="expression" priority="30" dxfId="2">
      <formula>AND(IF($Q24=2,1,0),IF($X24&lt;30,1,0))</formula>
    </cfRule>
    <cfRule type="expression" priority="31" dxfId="1">
      <formula>AND(IF($Q24=3,1,0),IF($X24&lt;30,1,0))</formula>
    </cfRule>
    <cfRule type="expression" priority="32" dxfId="0">
      <formula>AND(IF($Q24=3,1,IF($Q24=4,1,0)),IF($F24&lt;=85,1,0))</formula>
    </cfRule>
  </conditionalFormatting>
  <conditionalFormatting sqref="AI24">
    <cfRule type="expression" priority="25" dxfId="3">
      <formula>AND(IF(OR($Q24=1,$Q24=2),1,0),IF($X24&lt;=20,1,0))</formula>
    </cfRule>
    <cfRule type="expression" priority="26" dxfId="2">
      <formula>AND(IF($Q24=2,1,0),IF($X24&lt;30,1,0))</formula>
    </cfRule>
    <cfRule type="expression" priority="27" dxfId="1">
      <formula>AND(IF($Q24=3,1,0),IF($X24&lt;30,1,0))</formula>
    </cfRule>
    <cfRule type="expression" priority="28" dxfId="0">
      <formula>AND(IF($Q24=3,1,IF($Q24=4,1,0)),IF($F24&lt;=85,1,0))</formula>
    </cfRule>
  </conditionalFormatting>
  <conditionalFormatting sqref="AV25">
    <cfRule type="expression" priority="23" dxfId="23">
      <formula>AV25="X"</formula>
    </cfRule>
    <cfRule type="expression" priority="24" dxfId="22">
      <formula>AV25="후보"</formula>
    </cfRule>
  </conditionalFormatting>
  <conditionalFormatting sqref="AC25 N25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건영</t>
        </is>
      </c>
      <c r="B6" s="10" t="inlineStr">
        <is>
          <t>'99.04.</t>
        </is>
      </c>
      <c r="C6" s="134" t="n">
        <v>1046</v>
      </c>
      <c r="D6" s="132" t="n">
        <v>106.7</v>
      </c>
      <c r="E6" s="133" t="n">
        <v>32</v>
      </c>
      <c r="F6" s="132" t="n">
        <v>84.90000000000001</v>
      </c>
      <c r="G6" s="17" t="n">
        <v>26</v>
      </c>
      <c r="H6" s="134" t="n">
        <v>416</v>
      </c>
      <c r="I6" s="135" t="n">
        <v>21000</v>
      </c>
      <c r="J6" s="135" t="inlineStr">
        <is>
          <t>13</t>
        </is>
      </c>
      <c r="K6" s="135" t="n">
        <v>20000</v>
      </c>
      <c r="L6" s="135" t="inlineStr">
        <is>
          <t>10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106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건영</t>
        </is>
      </c>
      <c r="B7" s="10" t="inlineStr">
        <is>
          <t>'99.04.</t>
        </is>
      </c>
      <c r="C7" s="134" t="n">
        <v>1046</v>
      </c>
      <c r="D7" s="132" t="n">
        <v>121</v>
      </c>
      <c r="E7" s="133" t="n">
        <v>37</v>
      </c>
      <c r="F7" s="132" t="n">
        <v>100</v>
      </c>
      <c r="G7" s="17" t="n">
        <v>30</v>
      </c>
      <c r="H7" s="134" t="n">
        <v>330</v>
      </c>
      <c r="I7" s="135" t="n">
        <v>23500</v>
      </c>
      <c r="J7" s="135" t="inlineStr">
        <is>
          <t>13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120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건영</t>
        </is>
      </c>
      <c r="B8" s="10" t="inlineStr">
        <is>
          <t>'99.04.</t>
        </is>
      </c>
      <c r="C8" s="134" t="n">
        <v>1046</v>
      </c>
      <c r="D8" s="132" t="n">
        <v>158.7</v>
      </c>
      <c r="E8" s="133" t="n">
        <v>48</v>
      </c>
      <c r="F8" s="132" t="n">
        <v>134.6</v>
      </c>
      <c r="G8" s="17" t="n">
        <v>41</v>
      </c>
      <c r="H8" s="134" t="n">
        <v>300</v>
      </c>
      <c r="I8" s="135" t="n">
        <v>28000</v>
      </c>
      <c r="J8" s="135" t="inlineStr">
        <is>
          <t>12</t>
        </is>
      </c>
      <c r="K8" s="135" t="n">
        <v>26000</v>
      </c>
      <c r="L8" s="135" t="inlineStr">
        <is>
          <t>15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158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n"/>
      <c r="B9" s="119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7">
        <f>IF(E9="","",E9)</f>
        <v/>
      </c>
      <c r="AJ9" s="119" t="n"/>
      <c r="AK9" s="119" t="n"/>
      <c r="AL9" s="119" t="n"/>
      <c r="AM9" s="119" t="n"/>
      <c r="AN9" s="119" t="n"/>
      <c r="AO9" s="119" t="n"/>
      <c r="AP9" s="119" t="n"/>
      <c r="AQ9" s="119" t="n"/>
      <c r="AR9" s="119" t="n"/>
      <c r="AS9" s="119" t="n"/>
      <c r="AT9" s="119" t="n"/>
      <c r="AU9" s="119" t="n"/>
      <c r="AV9" s="119" t="n"/>
    </row>
    <row r="10">
      <c r="A10" s="9" t="inlineStr">
        <is>
          <t>용암형석</t>
        </is>
      </c>
      <c r="B10" s="10" t="inlineStr">
        <is>
          <t>'95.09.</t>
        </is>
      </c>
      <c r="C10" s="134" t="n">
        <v>430</v>
      </c>
      <c r="D10" s="132" t="n">
        <v>104.9</v>
      </c>
      <c r="E10" s="133" t="n">
        <v>32</v>
      </c>
      <c r="F10" s="132" t="n">
        <v>84.8</v>
      </c>
      <c r="G10" s="17" t="n">
        <v>26</v>
      </c>
      <c r="H10" s="134" t="n">
        <v>430</v>
      </c>
      <c r="I10" s="135" t="n">
        <v>16000</v>
      </c>
      <c r="J10" s="135" t="inlineStr">
        <is>
          <t>15</t>
        </is>
      </c>
      <c r="K10" s="135" t="n">
        <v>18500</v>
      </c>
      <c r="L10" s="135" t="inlineStr">
        <is>
          <t>11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용암현대1차</t>
        </is>
      </c>
      <c r="B12" s="10" t="inlineStr">
        <is>
          <t>'94.12.</t>
        </is>
      </c>
      <c r="C12" s="134" t="n">
        <v>264</v>
      </c>
      <c r="D12" s="132" t="n">
        <v>120.1</v>
      </c>
      <c r="E12" s="133" t="n">
        <v>36</v>
      </c>
      <c r="F12" s="132" t="n">
        <v>101.9</v>
      </c>
      <c r="G12" s="17" t="n">
        <v>31</v>
      </c>
      <c r="H12" s="134" t="n">
        <v>120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120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용암현대1차</t>
        </is>
      </c>
      <c r="B13" s="10" t="inlineStr">
        <is>
          <t>'94.12.</t>
        </is>
      </c>
      <c r="C13" s="134" t="n">
        <v>264</v>
      </c>
      <c r="D13" s="132" t="n">
        <v>158.8</v>
      </c>
      <c r="E13" s="133" t="n">
        <v>48</v>
      </c>
      <c r="F13" s="132" t="n">
        <v>134.7</v>
      </c>
      <c r="G13" s="17" t="n">
        <v>41</v>
      </c>
      <c r="H13" s="134" t="n">
        <v>120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n">
        <v>158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용암현대1차</t>
        </is>
      </c>
      <c r="B14" s="10" t="inlineStr">
        <is>
          <t>'94.12.</t>
        </is>
      </c>
      <c r="C14" s="134" t="n">
        <v>264</v>
      </c>
      <c r="D14" s="132" t="n">
        <v>204.1</v>
      </c>
      <c r="E14" s="133" t="n">
        <v>62</v>
      </c>
      <c r="F14" s="132" t="n">
        <v>173.2</v>
      </c>
      <c r="G14" s="17" t="n">
        <v>52</v>
      </c>
      <c r="H14" s="134" t="n">
        <v>24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5</v>
      </c>
      <c r="R14" s="119" t="n">
        <v>2</v>
      </c>
      <c r="S14" s="119" t="inlineStr">
        <is>
          <t>계</t>
        </is>
      </c>
      <c r="T14" s="5" t="n">
        <v>204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n"/>
      <c r="B15" s="119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7">
        <f>IF(E15="","",E15)</f>
        <v/>
      </c>
      <c r="AJ15" s="119" t="n"/>
      <c r="AK15" s="119" t="n"/>
      <c r="AL15" s="119" t="n"/>
      <c r="AM15" s="119" t="n"/>
      <c r="AN15" s="119" t="n"/>
      <c r="AO15" s="119" t="n"/>
      <c r="AP15" s="119" t="n"/>
      <c r="AQ15" s="119" t="n"/>
      <c r="AR15" s="119" t="n"/>
      <c r="AS15" s="119" t="n"/>
      <c r="AT15" s="119" t="n"/>
      <c r="AU15" s="119" t="n"/>
      <c r="AV15" s="119" t="n"/>
    </row>
    <row r="16">
      <c r="A16" s="9" t="inlineStr">
        <is>
          <t>용암현대2차</t>
        </is>
      </c>
      <c r="B16" s="10" t="inlineStr">
        <is>
          <t>'94.12.</t>
        </is>
      </c>
      <c r="C16" s="134" t="n">
        <v>315</v>
      </c>
      <c r="D16" s="132" t="n">
        <v>103.7</v>
      </c>
      <c r="E16" s="133" t="n">
        <v>31</v>
      </c>
      <c r="F16" s="132" t="n">
        <v>84.2</v>
      </c>
      <c r="G16" s="17" t="n">
        <v>25</v>
      </c>
      <c r="H16" s="134" t="n">
        <v>315</v>
      </c>
      <c r="I16" s="135" t="n">
        <v>18000</v>
      </c>
      <c r="J16" s="135" t="inlineStr">
        <is>
          <t>12</t>
        </is>
      </c>
      <c r="K16" s="135" t="n">
        <v>17000</v>
      </c>
      <c r="L16" s="135" t="inlineStr">
        <is>
          <t>12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대원칸타빌더테라스1단지</t>
        </is>
      </c>
      <c r="B18" s="10" t="inlineStr">
        <is>
          <t>'19.12.</t>
        </is>
      </c>
      <c r="C18" s="134" t="n">
        <v>676</v>
      </c>
      <c r="D18" s="132" t="n">
        <v>100.5</v>
      </c>
      <c r="E18" s="133" t="n">
        <v>30</v>
      </c>
      <c r="F18" s="132" t="n">
        <v>78.90000000000001</v>
      </c>
      <c r="G18" s="17" t="n">
        <v>24</v>
      </c>
      <c r="H18" s="134" t="n">
        <v>189</v>
      </c>
      <c r="I18" s="135" t="n">
        <v>43000</v>
      </c>
      <c r="J18" s="135" t="inlineStr">
        <is>
          <t>23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100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대원칸타빌더테라스1단지</t>
        </is>
      </c>
      <c r="B19" s="10" t="inlineStr">
        <is>
          <t>'19.12.</t>
        </is>
      </c>
      <c r="C19" s="134" t="n">
        <v>676</v>
      </c>
      <c r="D19" s="132" t="n">
        <v>108.1</v>
      </c>
      <c r="E19" s="133" t="n">
        <v>33</v>
      </c>
      <c r="F19" s="132" t="n">
        <v>84.59999999999999</v>
      </c>
      <c r="G19" s="17" t="n">
        <v>26</v>
      </c>
      <c r="H19" s="134" t="n">
        <v>96</v>
      </c>
      <c r="I19" s="135" t="n">
        <v>60000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대원칸타빌더테라스1단지</t>
        </is>
      </c>
      <c r="B20" s="10" t="inlineStr">
        <is>
          <t>'19.12.</t>
        </is>
      </c>
      <c r="C20" s="134" t="n">
        <v>676</v>
      </c>
      <c r="D20" s="132" t="n">
        <v>110.4</v>
      </c>
      <c r="E20" s="133" t="n">
        <v>33</v>
      </c>
      <c r="F20" s="132" t="n">
        <v>84.90000000000001</v>
      </c>
      <c r="G20" s="17" t="n">
        <v>26</v>
      </c>
      <c r="H20" s="134" t="n">
        <v>95</v>
      </c>
      <c r="I20" s="135" t="n">
        <v>54000</v>
      </c>
      <c r="J20" s="135" t="inlineStr">
        <is>
          <t>10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110B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대원칸타빌더테라스1단지</t>
        </is>
      </c>
      <c r="B21" s="10" t="inlineStr">
        <is>
          <t>'19.12.</t>
        </is>
      </c>
      <c r="C21" s="134" t="n">
        <v>676</v>
      </c>
      <c r="D21" s="132" t="n">
        <v>129.2</v>
      </c>
      <c r="E21" s="133" t="n">
        <v>39</v>
      </c>
      <c r="F21" s="132" t="n">
        <v>105.6</v>
      </c>
      <c r="G21" s="17" t="n">
        <v>32</v>
      </c>
      <c r="H21" s="134" t="n">
        <v>100</v>
      </c>
      <c r="I21" s="135" t="n">
        <v>71000</v>
      </c>
      <c r="J21" s="135" t="inlineStr">
        <is>
          <t>중</t>
        </is>
      </c>
      <c r="K21" s="135" t="n">
        <v>50000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4</v>
      </c>
      <c r="R21" s="119" t="n">
        <v>2</v>
      </c>
      <c r="S21" s="119" t="inlineStr">
        <is>
          <t>계</t>
        </is>
      </c>
      <c r="T21" s="5" t="n">
        <v>129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대원칸타빌더테라스1단지</t>
        </is>
      </c>
      <c r="B22" s="10" t="inlineStr">
        <is>
          <t>'19.12.</t>
        </is>
      </c>
      <c r="C22" s="134" t="n">
        <v>676</v>
      </c>
      <c r="D22" s="132" t="n">
        <v>140.1</v>
      </c>
      <c r="E22" s="133" t="n">
        <v>42</v>
      </c>
      <c r="F22" s="132" t="n">
        <v>116.6</v>
      </c>
      <c r="G22" s="17" t="n">
        <v>35</v>
      </c>
      <c r="H22" s="134" t="n">
        <v>171</v>
      </c>
      <c r="I22" s="135" t="n">
        <v>73000</v>
      </c>
      <c r="J22" s="135" t="inlineStr">
        <is>
          <t>9</t>
        </is>
      </c>
      <c r="K22" s="135" t="n">
        <v>50000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4</v>
      </c>
      <c r="R22" s="119" t="n">
        <v>2</v>
      </c>
      <c r="S22" s="119" t="inlineStr">
        <is>
          <t>계</t>
        </is>
      </c>
      <c r="T22" s="5" t="n">
        <v>140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대원칸타빌더테라스1단지</t>
        </is>
      </c>
      <c r="B23" s="10" t="inlineStr">
        <is>
          <t>'19.12.</t>
        </is>
      </c>
      <c r="C23" s="134" t="n">
        <v>676</v>
      </c>
      <c r="D23" s="132" t="n">
        <v>145.5</v>
      </c>
      <c r="E23" s="133" t="n">
        <v>44</v>
      </c>
      <c r="F23" s="132" t="n">
        <v>121.2</v>
      </c>
      <c r="G23" s="17" t="n">
        <v>37</v>
      </c>
      <c r="H23" s="134" t="n">
        <v>25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4</v>
      </c>
      <c r="R23" s="119" t="n">
        <v>2</v>
      </c>
      <c r="S23" s="119" t="inlineStr">
        <is>
          <t>계</t>
        </is>
      </c>
      <c r="T23" s="5" t="n">
        <v>145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n"/>
      <c r="B24" s="119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7">
        <f>IF(E24="","",E24)</f>
        <v/>
      </c>
      <c r="AJ24" s="119" t="n"/>
      <c r="AK24" s="119" t="n"/>
      <c r="AL24" s="119" t="n"/>
      <c r="AM24" s="119" t="n"/>
      <c r="AN24" s="119" t="n"/>
      <c r="AO24" s="119" t="n"/>
      <c r="AP24" s="119" t="n"/>
      <c r="AQ24" s="119" t="n"/>
      <c r="AR24" s="119" t="n"/>
      <c r="AS24" s="119" t="n"/>
      <c r="AT24" s="119" t="n"/>
      <c r="AU24" s="119" t="n"/>
      <c r="AV24" s="119" t="n"/>
    </row>
    <row r="25">
      <c r="A25" s="9" t="inlineStr">
        <is>
          <t>중흥마을2단지부영</t>
        </is>
      </c>
      <c r="B25" s="10" t="inlineStr">
        <is>
          <t>'01.09.</t>
        </is>
      </c>
      <c r="C25" s="134" t="n">
        <v>620</v>
      </c>
      <c r="D25" s="132" t="n">
        <v>113</v>
      </c>
      <c r="E25" s="133" t="n">
        <v>34</v>
      </c>
      <c r="F25" s="132" t="n">
        <v>85</v>
      </c>
      <c r="G25" s="17" t="n">
        <v>26</v>
      </c>
      <c r="H25" s="134" t="n">
        <v>620</v>
      </c>
      <c r="I25" s="135" t="n">
        <v>21000</v>
      </c>
      <c r="J25" s="135" t="inlineStr">
        <is>
          <t>5</t>
        </is>
      </c>
      <c r="K25" s="135" t="n">
        <v>20000</v>
      </c>
      <c r="L25" s="135" t="inlineStr">
        <is>
          <t>10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청주용암주공1단지</t>
        </is>
      </c>
      <c r="B27" s="10" t="inlineStr">
        <is>
          <t>'94.11.</t>
        </is>
      </c>
      <c r="C27" s="134" t="n">
        <v>600</v>
      </c>
      <c r="D27" s="132" t="n">
        <v>69.7</v>
      </c>
      <c r="E27" s="133" t="n">
        <v>21</v>
      </c>
      <c r="F27" s="132" t="n">
        <v>49.8</v>
      </c>
      <c r="G27" s="17" t="n">
        <v>15</v>
      </c>
      <c r="H27" s="134" t="n">
        <v>480</v>
      </c>
      <c r="I27" s="135" t="n">
        <v>9000</v>
      </c>
      <c r="J27" s="135" t="inlineStr">
        <is>
          <t>12</t>
        </is>
      </c>
      <c r="K27" s="135" t="n">
        <v>9000</v>
      </c>
      <c r="L27" s="135" t="inlineStr">
        <is>
          <t>7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2</v>
      </c>
      <c r="R27" s="119" t="n">
        <v>1</v>
      </c>
      <c r="S27" s="119" t="inlineStr">
        <is>
          <t>복</t>
        </is>
      </c>
      <c r="T27" s="5" t="inlineStr">
        <is>
          <t>69A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청주용암주공1단지</t>
        </is>
      </c>
      <c r="B28" s="10" t="inlineStr">
        <is>
          <t>'94.11.</t>
        </is>
      </c>
      <c r="C28" s="134" t="n">
        <v>600</v>
      </c>
      <c r="D28" s="132" t="n">
        <v>71</v>
      </c>
      <c r="E28" s="133" t="n">
        <v>21</v>
      </c>
      <c r="F28" s="132" t="n">
        <v>49.8</v>
      </c>
      <c r="G28" s="17" t="n">
        <v>15</v>
      </c>
      <c r="H28" s="134" t="n">
        <v>120</v>
      </c>
      <c r="I28" s="135" t="n">
        <v>9500</v>
      </c>
      <c r="J28" s="135" t="inlineStr">
        <is>
          <t>12</t>
        </is>
      </c>
      <c r="K28" s="135" t="n">
        <v>11500</v>
      </c>
      <c r="L28" s="135" t="inlineStr">
        <is>
          <t>14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2</v>
      </c>
      <c r="R28" s="119" t="n">
        <v>1</v>
      </c>
      <c r="S28" s="119" t="inlineStr">
        <is>
          <t>복</t>
        </is>
      </c>
      <c r="T28" s="5" t="inlineStr">
        <is>
          <t>70B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n"/>
      <c r="B29" s="119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7">
        <f>IF(E29="","",E29)</f>
        <v/>
      </c>
      <c r="AJ29" s="119" t="n"/>
      <c r="AK29" s="119" t="n"/>
      <c r="AL29" s="119" t="n"/>
      <c r="AM29" s="119" t="n"/>
      <c r="AN29" s="119" t="n"/>
      <c r="AO29" s="119" t="n"/>
      <c r="AP29" s="119" t="n"/>
      <c r="AQ29" s="119" t="n"/>
      <c r="AR29" s="119" t="n"/>
      <c r="AS29" s="119" t="n"/>
      <c r="AT29" s="119" t="n"/>
      <c r="AU29" s="119" t="n"/>
      <c r="AV29" s="119" t="n"/>
    </row>
    <row r="30">
      <c r="A30" s="9" t="inlineStr">
        <is>
          <t>청주동남지구우미린에듀포레</t>
        </is>
      </c>
      <c r="B30" s="10" t="inlineStr">
        <is>
          <t>'22.01.</t>
        </is>
      </c>
      <c r="C30" s="134" t="n">
        <v>489</v>
      </c>
      <c r="D30" s="132" t="n">
        <v>108.3</v>
      </c>
      <c r="E30" s="133" t="n">
        <v>33</v>
      </c>
      <c r="F30" s="132" t="n">
        <v>85</v>
      </c>
      <c r="G30" s="17" t="n">
        <v>26</v>
      </c>
      <c r="H30" s="134" t="n">
        <v>228</v>
      </c>
      <c r="I30" s="135" t="n"/>
      <c r="J30" s="135" t="n"/>
      <c r="K30" s="135" t="n">
        <v>35000</v>
      </c>
      <c r="L30" s="135" t="inlineStr">
        <is>
          <t>23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108A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청주동남지구우미린에듀포레</t>
        </is>
      </c>
      <c r="B31" s="10" t="inlineStr">
        <is>
          <t>'22.01.</t>
        </is>
      </c>
      <c r="C31" s="134" t="n">
        <v>489</v>
      </c>
      <c r="D31" s="132" t="n">
        <v>109.1</v>
      </c>
      <c r="E31" s="133" t="n">
        <v>33</v>
      </c>
      <c r="F31" s="132" t="n">
        <v>84.90000000000001</v>
      </c>
      <c r="G31" s="17" t="n">
        <v>26</v>
      </c>
      <c r="H31" s="134" t="n">
        <v>46</v>
      </c>
      <c r="I31" s="135" t="n"/>
      <c r="J31" s="135" t="n"/>
      <c r="K31" s="135" t="n">
        <v>35000</v>
      </c>
      <c r="L31" s="135" t="inlineStr">
        <is>
          <t>중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109B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inlineStr">
        <is>
          <t>청주동남지구우미린에듀포레</t>
        </is>
      </c>
      <c r="B32" s="10" t="inlineStr">
        <is>
          <t>'22.01.</t>
        </is>
      </c>
      <c r="C32" s="134" t="n">
        <v>489</v>
      </c>
      <c r="D32" s="132" t="n">
        <v>121.1</v>
      </c>
      <c r="E32" s="133" t="n">
        <v>37</v>
      </c>
      <c r="F32" s="132" t="n">
        <v>95.8</v>
      </c>
      <c r="G32" s="17" t="n">
        <v>29</v>
      </c>
      <c r="H32" s="134" t="n">
        <v>17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inlineStr">
        <is>
          <t>121A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>
      <c r="A33" s="9" t="inlineStr">
        <is>
          <t>청주동남지구우미린에듀포레</t>
        </is>
      </c>
      <c r="B33" s="10" t="inlineStr">
        <is>
          <t>'22.01.</t>
        </is>
      </c>
      <c r="C33" s="134" t="n">
        <v>489</v>
      </c>
      <c r="D33" s="132" t="n">
        <v>121.9</v>
      </c>
      <c r="E33" s="133" t="n">
        <v>37</v>
      </c>
      <c r="F33" s="132" t="n">
        <v>95.8</v>
      </c>
      <c r="G33" s="17" t="n">
        <v>29</v>
      </c>
      <c r="H33" s="134" t="n">
        <v>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inlineStr">
        <is>
          <t>121B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청주동남지구우미린에듀포레</t>
        </is>
      </c>
      <c r="B34" s="10" t="inlineStr">
        <is>
          <t>'22.01.</t>
        </is>
      </c>
      <c r="C34" s="134" t="n">
        <v>489</v>
      </c>
      <c r="D34" s="132" t="n">
        <v>127.5</v>
      </c>
      <c r="E34" s="133" t="n">
        <v>39</v>
      </c>
      <c r="F34" s="132" t="n">
        <v>101</v>
      </c>
      <c r="G34" s="17" t="n">
        <v>31</v>
      </c>
      <c r="H34" s="134" t="n">
        <v>145</v>
      </c>
      <c r="I34" s="135" t="n">
        <v>69000</v>
      </c>
      <c r="J34" s="135" t="inlineStr">
        <is>
          <t>12</t>
        </is>
      </c>
      <c r="K34" s="135" t="n">
        <v>42000</v>
      </c>
      <c r="L34" s="135" t="inlineStr">
        <is>
          <t>7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127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inlineStr">
        <is>
          <t>청주동남지구우미린에듀포레</t>
        </is>
      </c>
      <c r="B35" s="10" t="inlineStr">
        <is>
          <t>'22.01.</t>
        </is>
      </c>
      <c r="C35" s="134" t="n">
        <v>489</v>
      </c>
      <c r="D35" s="132" t="n">
        <v>146.6</v>
      </c>
      <c r="E35" s="133" t="n">
        <v>44</v>
      </c>
      <c r="F35" s="132" t="n">
        <v>116</v>
      </c>
      <c r="G35" s="17" t="n">
        <v>35</v>
      </c>
      <c r="H35" s="134" t="n">
        <v>49</v>
      </c>
      <c r="I35" s="135" t="n"/>
      <c r="J35" s="135" t="n"/>
      <c r="K35" s="135" t="n">
        <v>45000</v>
      </c>
      <c r="L35" s="135" t="inlineStr">
        <is>
          <t>13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146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>
      <c r="A36" s="9" t="n"/>
      <c r="B36" s="119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7">
        <f>IF(E36="","",E36)</f>
        <v/>
      </c>
      <c r="AJ36" s="119" t="n"/>
      <c r="AK36" s="119" t="n"/>
      <c r="AL36" s="119" t="n"/>
      <c r="AM36" s="119" t="n"/>
      <c r="AN36" s="119" t="n"/>
      <c r="AO36" s="119" t="n"/>
      <c r="AP36" s="119" t="n"/>
      <c r="AQ36" s="119" t="n"/>
      <c r="AR36" s="119" t="n"/>
      <c r="AS36" s="119" t="n"/>
      <c r="AT36" s="119" t="n"/>
      <c r="AU36" s="119" t="n"/>
      <c r="AV36" s="119" t="n"/>
    </row>
    <row r="37">
      <c r="A37" s="9" t="inlineStr">
        <is>
          <t>중흥마을마이빌</t>
        </is>
      </c>
      <c r="B37" s="10" t="inlineStr">
        <is>
          <t>'03.07.</t>
        </is>
      </c>
      <c r="C37" s="134" t="n">
        <v>856</v>
      </c>
      <c r="D37" s="132" t="n">
        <v>75</v>
      </c>
      <c r="E37" s="133" t="n">
        <v>23</v>
      </c>
      <c r="F37" s="132" t="n">
        <v>59.9</v>
      </c>
      <c r="G37" s="17" t="n">
        <v>18</v>
      </c>
      <c r="H37" s="134" t="n">
        <v>390</v>
      </c>
      <c r="I37" s="135" t="n">
        <v>15000</v>
      </c>
      <c r="J37" s="135" t="inlineStr">
        <is>
          <t>중</t>
        </is>
      </c>
      <c r="K37" s="135" t="n">
        <v>15000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inlineStr">
        <is>
          <t>75A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>
      <c r="A38" s="9" t="inlineStr">
        <is>
          <t>중흥마을마이빌</t>
        </is>
      </c>
      <c r="B38" s="10" t="inlineStr">
        <is>
          <t>'03.07.</t>
        </is>
      </c>
      <c r="C38" s="134" t="n">
        <v>856</v>
      </c>
      <c r="D38" s="132" t="n">
        <v>75.09999999999999</v>
      </c>
      <c r="E38" s="133" t="n">
        <v>23</v>
      </c>
      <c r="F38" s="132" t="n">
        <v>59.4</v>
      </c>
      <c r="G38" s="17" t="n">
        <v>18</v>
      </c>
      <c r="H38" s="134" t="n">
        <v>214</v>
      </c>
      <c r="I38" s="135" t="n">
        <v>15500</v>
      </c>
      <c r="J38" s="135" t="inlineStr">
        <is>
          <t>8</t>
        </is>
      </c>
      <c r="K38" s="135" t="n">
        <v>13000</v>
      </c>
      <c r="L38" s="135" t="inlineStr">
        <is>
          <t>10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2</v>
      </c>
      <c r="R38" s="119" t="n">
        <v>1</v>
      </c>
      <c r="S38" s="119" t="inlineStr">
        <is>
          <t>계</t>
        </is>
      </c>
      <c r="T38" s="5" t="inlineStr">
        <is>
          <t>75C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중흥마을마이빌</t>
        </is>
      </c>
      <c r="B39" s="10" t="inlineStr">
        <is>
          <t>'03.07.</t>
        </is>
      </c>
      <c r="C39" s="134" t="n">
        <v>856</v>
      </c>
      <c r="D39" s="132" t="n">
        <v>75</v>
      </c>
      <c r="E39" s="133" t="n">
        <v>23</v>
      </c>
      <c r="F39" s="132" t="n">
        <v>59.9</v>
      </c>
      <c r="G39" s="17" t="n">
        <v>18</v>
      </c>
      <c r="H39" s="134" t="n">
        <v>192</v>
      </c>
      <c r="I39" s="135" t="n">
        <v>15000</v>
      </c>
      <c r="J39" s="135" t="inlineStr">
        <is>
          <t>중</t>
        </is>
      </c>
      <c r="K39" s="135" t="n">
        <v>15000</v>
      </c>
      <c r="L39" s="135" t="inlineStr">
        <is>
          <t>중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75B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inlineStr">
        <is>
          <t>중흥마을마이빌</t>
        </is>
      </c>
      <c r="B40" s="10" t="inlineStr">
        <is>
          <t>'03.07.</t>
        </is>
      </c>
      <c r="C40" s="134" t="n">
        <v>856</v>
      </c>
      <c r="D40" s="132" t="n">
        <v>75</v>
      </c>
      <c r="E40" s="133" t="n">
        <v>23</v>
      </c>
      <c r="F40" s="132" t="n">
        <v>59.3</v>
      </c>
      <c r="G40" s="17" t="n">
        <v>18</v>
      </c>
      <c r="H40" s="134" t="n">
        <v>60</v>
      </c>
      <c r="I40" s="135" t="n">
        <v>16000</v>
      </c>
      <c r="J40" s="135" t="inlineStr">
        <is>
          <t>10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2</v>
      </c>
      <c r="R40" s="119" t="n">
        <v>1</v>
      </c>
      <c r="S40" s="119" t="inlineStr">
        <is>
          <t>계</t>
        </is>
      </c>
      <c r="T40" s="5" t="inlineStr">
        <is>
          <t>75D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>
      <c r="A41" s="9" t="n"/>
      <c r="B41" s="119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7">
        <f>IF(E41="","",E41)</f>
        <v/>
      </c>
      <c r="AJ41" s="119" t="n"/>
      <c r="AK41" s="119" t="n"/>
      <c r="AL41" s="119" t="n"/>
      <c r="AM41" s="119" t="n"/>
      <c r="AN41" s="119" t="n"/>
      <c r="AO41" s="119" t="n"/>
      <c r="AP41" s="119" t="n"/>
      <c r="AQ41" s="119" t="n"/>
      <c r="AR41" s="119" t="n"/>
      <c r="AS41" s="119" t="n"/>
      <c r="AT41" s="119" t="n"/>
      <c r="AU41" s="119" t="n"/>
      <c r="AV41" s="119" t="n"/>
    </row>
    <row r="42">
      <c r="A42" s="9" t="inlineStr">
        <is>
          <t>동남힐데스하임</t>
        </is>
      </c>
      <c r="B42" s="10" t="inlineStr">
        <is>
          <t>'20.09.</t>
        </is>
      </c>
      <c r="C42" s="134" t="n">
        <v>910</v>
      </c>
      <c r="D42" s="132" t="n">
        <v>108</v>
      </c>
      <c r="E42" s="133" t="n">
        <v>33</v>
      </c>
      <c r="F42" s="132" t="n">
        <v>85</v>
      </c>
      <c r="G42" s="17" t="n">
        <v>26</v>
      </c>
      <c r="H42" s="134" t="n">
        <v>116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107C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>
      <c r="A43" s="9" t="inlineStr">
        <is>
          <t>동남힐데스하임</t>
        </is>
      </c>
      <c r="B43" s="10" t="inlineStr">
        <is>
          <t>'20.09.</t>
        </is>
      </c>
      <c r="C43" s="134" t="n">
        <v>910</v>
      </c>
      <c r="D43" s="132" t="n">
        <v>108.2</v>
      </c>
      <c r="E43" s="133" t="n">
        <v>33</v>
      </c>
      <c r="F43" s="132" t="n">
        <v>84.8</v>
      </c>
      <c r="G43" s="17" t="n">
        <v>26</v>
      </c>
      <c r="H43" s="134" t="n">
        <v>619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108A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inlineStr">
        <is>
          <t>동남힐데스하임</t>
        </is>
      </c>
      <c r="B44" s="10" t="inlineStr">
        <is>
          <t>'20.09.</t>
        </is>
      </c>
      <c r="C44" s="134" t="n">
        <v>910</v>
      </c>
      <c r="D44" s="132" t="n">
        <v>108.5</v>
      </c>
      <c r="E44" s="133" t="n">
        <v>33</v>
      </c>
      <c r="F44" s="132" t="n">
        <v>84.8</v>
      </c>
      <c r="G44" s="17" t="n">
        <v>26</v>
      </c>
      <c r="H44" s="134" t="n">
        <v>175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108B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>
      <c r="A45" s="9" t="n"/>
      <c r="B45" s="119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7">
        <f>IF(E45="","",E45)</f>
        <v/>
      </c>
      <c r="AJ45" s="119" t="n"/>
      <c r="AK45" s="119" t="n"/>
      <c r="AL45" s="119" t="n"/>
      <c r="AM45" s="119" t="n"/>
      <c r="AN45" s="119" t="n"/>
      <c r="AO45" s="119" t="n"/>
      <c r="AP45" s="119" t="n"/>
      <c r="AQ45" s="119" t="n"/>
      <c r="AR45" s="119" t="n"/>
      <c r="AS45" s="119" t="n"/>
      <c r="AT45" s="119" t="n"/>
      <c r="AU45" s="119" t="n"/>
      <c r="AV45" s="119" t="n"/>
    </row>
    <row r="46">
      <c r="A46" s="9" t="inlineStr">
        <is>
          <t>청주동남시티프라디움B1블록</t>
        </is>
      </c>
      <c r="B46" s="10" t="inlineStr">
        <is>
          <t>'20.03.</t>
        </is>
      </c>
      <c r="C46" s="134" t="n">
        <v>797</v>
      </c>
      <c r="D46" s="132" t="n">
        <v>106.2</v>
      </c>
      <c r="E46" s="133" t="n">
        <v>32</v>
      </c>
      <c r="F46" s="132" t="n">
        <v>85</v>
      </c>
      <c r="G46" s="17" t="n">
        <v>26</v>
      </c>
      <c r="H46" s="134" t="n">
        <v>272</v>
      </c>
      <c r="I46" s="135" t="n">
        <v>46000</v>
      </c>
      <c r="J46" s="135" t="inlineStr">
        <is>
          <t>20</t>
        </is>
      </c>
      <c r="K46" s="135" t="n">
        <v>35000</v>
      </c>
      <c r="L46" s="135" t="inlineStr">
        <is>
          <t>15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inlineStr">
        <is>
          <t>106A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>
      <c r="A47" s="9" t="inlineStr">
        <is>
          <t>청주동남시티프라디움B1블록</t>
        </is>
      </c>
      <c r="B47" s="10" t="inlineStr">
        <is>
          <t>'20.03.</t>
        </is>
      </c>
      <c r="C47" s="134" t="n">
        <v>797</v>
      </c>
      <c r="D47" s="132" t="n">
        <v>106.2</v>
      </c>
      <c r="E47" s="133" t="n">
        <v>32</v>
      </c>
      <c r="F47" s="132" t="n">
        <v>85</v>
      </c>
      <c r="G47" s="17" t="n">
        <v>26</v>
      </c>
      <c r="H47" s="134" t="n">
        <v>200</v>
      </c>
      <c r="I47" s="135" t="n">
        <v>46000</v>
      </c>
      <c r="J47" s="135" t="inlineStr">
        <is>
          <t>20</t>
        </is>
      </c>
      <c r="K47" s="135" t="n">
        <v>35000</v>
      </c>
      <c r="L47" s="135" t="inlineStr">
        <is>
          <t>15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inlineStr">
        <is>
          <t>106C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청주동남시티프라디움B1블록</t>
        </is>
      </c>
      <c r="B48" s="10" t="inlineStr">
        <is>
          <t>'20.03.</t>
        </is>
      </c>
      <c r="C48" s="134" t="n">
        <v>797</v>
      </c>
      <c r="D48" s="132" t="n">
        <v>106.7</v>
      </c>
      <c r="E48" s="133" t="n">
        <v>32</v>
      </c>
      <c r="F48" s="132" t="n">
        <v>85</v>
      </c>
      <c r="G48" s="17" t="n">
        <v>26</v>
      </c>
      <c r="H48" s="134" t="n">
        <v>125</v>
      </c>
      <c r="I48" s="135" t="n">
        <v>48000</v>
      </c>
      <c r="J48" s="135" t="inlineStr">
        <is>
          <t>12</t>
        </is>
      </c>
      <c r="K48" s="135" t="n">
        <v>40000</v>
      </c>
      <c r="L48" s="135" t="inlineStr">
        <is>
          <t>25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inlineStr">
        <is>
          <t>106D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청주동남시티프라디움B1블록</t>
        </is>
      </c>
      <c r="B49" s="10" t="inlineStr">
        <is>
          <t>'20.03.</t>
        </is>
      </c>
      <c r="C49" s="134" t="n">
        <v>797</v>
      </c>
      <c r="D49" s="132" t="n">
        <v>107</v>
      </c>
      <c r="E49" s="133" t="n">
        <v>32</v>
      </c>
      <c r="F49" s="132" t="n">
        <v>85</v>
      </c>
      <c r="G49" s="17" t="n">
        <v>26</v>
      </c>
      <c r="H49" s="134" t="n">
        <v>200</v>
      </c>
      <c r="I49" s="135" t="n">
        <v>43000</v>
      </c>
      <c r="J49" s="135" t="inlineStr">
        <is>
          <t>5</t>
        </is>
      </c>
      <c r="K49" s="135" t="n">
        <v>36000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inlineStr">
        <is>
          <t>107B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n"/>
      <c r="B50" s="119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7">
        <f>IF(E50="","",E50)</f>
        <v/>
      </c>
      <c r="AJ50" s="119" t="n"/>
      <c r="AK50" s="119" t="n"/>
      <c r="AL50" s="119" t="n"/>
      <c r="AM50" s="119" t="n"/>
      <c r="AN50" s="119" t="n"/>
      <c r="AO50" s="119" t="n"/>
      <c r="AP50" s="119" t="n"/>
      <c r="AQ50" s="119" t="n"/>
      <c r="AR50" s="119" t="n"/>
      <c r="AS50" s="119" t="n"/>
      <c r="AT50" s="119" t="n"/>
      <c r="AU50" s="119" t="n"/>
      <c r="AV50" s="119" t="n"/>
    </row>
    <row r="51">
      <c r="A51" s="9" t="inlineStr">
        <is>
          <t>부영</t>
        </is>
      </c>
      <c r="B51" s="10" t="inlineStr">
        <is>
          <t>'96.11.</t>
        </is>
      </c>
      <c r="C51" s="134" t="n">
        <v>979</v>
      </c>
      <c r="D51" s="132" t="n">
        <v>68.09999999999999</v>
      </c>
      <c r="E51" s="133" t="n">
        <v>21</v>
      </c>
      <c r="F51" s="132" t="n">
        <v>50.5</v>
      </c>
      <c r="G51" s="17" t="n">
        <v>15</v>
      </c>
      <c r="H51" s="134" t="n">
        <v>539</v>
      </c>
      <c r="I51" s="135" t="n">
        <v>9300</v>
      </c>
      <c r="J51" s="135" t="inlineStr">
        <is>
          <t>고</t>
        </is>
      </c>
      <c r="K51" s="135" t="n">
        <v>10000</v>
      </c>
      <c r="L51" s="135" t="inlineStr">
        <is>
          <t>12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2</v>
      </c>
      <c r="R51" s="119" t="n">
        <v>1</v>
      </c>
      <c r="S51" s="119" t="inlineStr">
        <is>
          <t>복</t>
        </is>
      </c>
      <c r="T51" s="5" t="n">
        <v>68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>
      <c r="A52" s="9" t="inlineStr">
        <is>
          <t>부영</t>
        </is>
      </c>
      <c r="B52" s="10" t="inlineStr">
        <is>
          <t>'96.11.</t>
        </is>
      </c>
      <c r="C52" s="134" t="n">
        <v>979</v>
      </c>
      <c r="D52" s="132" t="n">
        <v>80.90000000000001</v>
      </c>
      <c r="E52" s="133" t="n">
        <v>24</v>
      </c>
      <c r="F52" s="132" t="n">
        <v>60</v>
      </c>
      <c r="G52" s="17" t="n">
        <v>18</v>
      </c>
      <c r="H52" s="134" t="n">
        <v>440</v>
      </c>
      <c r="I52" s="135" t="n">
        <v>10700</v>
      </c>
      <c r="J52" s="135" t="inlineStr">
        <is>
          <t>15</t>
        </is>
      </c>
      <c r="K52" s="135" t="n">
        <v>10000</v>
      </c>
      <c r="L52" s="135" t="inlineStr">
        <is>
          <t>14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복</t>
        </is>
      </c>
      <c r="T52" s="5" t="n">
        <v>80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n"/>
      <c r="B53" s="119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7">
        <f>IF(E53="","",E53)</f>
        <v/>
      </c>
      <c r="AJ53" s="119" t="n"/>
      <c r="AK53" s="119" t="n"/>
      <c r="AL53" s="119" t="n"/>
      <c r="AM53" s="119" t="n"/>
      <c r="AN53" s="119" t="n"/>
      <c r="AO53" s="119" t="n"/>
      <c r="AP53" s="119" t="n"/>
      <c r="AQ53" s="119" t="n"/>
      <c r="AR53" s="119" t="n"/>
      <c r="AS53" s="119" t="n"/>
      <c r="AT53" s="119" t="n"/>
      <c r="AU53" s="119" t="n"/>
      <c r="AV53" s="119" t="n"/>
    </row>
    <row r="54">
      <c r="A54" s="9" t="inlineStr">
        <is>
          <t>임광</t>
        </is>
      </c>
      <c r="B54" s="10" t="inlineStr">
        <is>
          <t>'96.05.</t>
        </is>
      </c>
      <c r="C54" s="134" t="n">
        <v>280</v>
      </c>
      <c r="D54" s="132" t="n">
        <v>121.3</v>
      </c>
      <c r="E54" s="133" t="n">
        <v>37</v>
      </c>
      <c r="F54" s="132" t="n">
        <v>102</v>
      </c>
      <c r="G54" s="17" t="n">
        <v>31</v>
      </c>
      <c r="H54" s="134" t="n">
        <v>160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2</v>
      </c>
      <c r="S54" s="119" t="inlineStr">
        <is>
          <t>계</t>
        </is>
      </c>
      <c r="T54" s="5" t="n">
        <v>121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inlineStr">
        <is>
          <t>임광</t>
        </is>
      </c>
      <c r="B55" s="10" t="inlineStr">
        <is>
          <t>'96.05.</t>
        </is>
      </c>
      <c r="C55" s="134" t="n">
        <v>280</v>
      </c>
      <c r="D55" s="132" t="n">
        <v>159.8</v>
      </c>
      <c r="E55" s="133" t="n">
        <v>48</v>
      </c>
      <c r="F55" s="132" t="n">
        <v>134.3</v>
      </c>
      <c r="G55" s="17" t="n">
        <v>41</v>
      </c>
      <c r="H55" s="134" t="n">
        <v>120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2</v>
      </c>
      <c r="S55" s="119" t="inlineStr">
        <is>
          <t>계</t>
        </is>
      </c>
      <c r="T55" s="5" t="n">
        <v>159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>
      <c r="A56" s="9" t="n"/>
      <c r="B56" s="119" t="n"/>
      <c r="C56" s="6" t="n"/>
      <c r="D56" s="9" t="n"/>
      <c r="E56" s="14" t="n"/>
      <c r="F56" s="132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7" t="n"/>
      <c r="P56" s="137" t="n"/>
      <c r="Q56" s="133" t="n"/>
      <c r="R56" s="133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7">
        <f>IF(E56="","",E56)</f>
        <v/>
      </c>
      <c r="AJ56" s="119" t="n"/>
      <c r="AK56" s="119" t="n"/>
      <c r="AL56" s="119" t="n"/>
      <c r="AM56" s="119" t="n"/>
      <c r="AN56" s="119" t="n"/>
      <c r="AO56" s="119" t="n"/>
      <c r="AP56" s="119" t="n"/>
      <c r="AQ56" s="119" t="n"/>
      <c r="AR56" s="119" t="n"/>
      <c r="AS56" s="119" t="n"/>
      <c r="AT56" s="119" t="n"/>
      <c r="AU56" s="119" t="n"/>
      <c r="AV56" s="119" t="n"/>
    </row>
    <row r="57">
      <c r="A57" s="9" t="inlineStr">
        <is>
          <t>청주동남시티프라디움B2블록</t>
        </is>
      </c>
      <c r="B57" s="10" t="inlineStr">
        <is>
          <t>'20.03.</t>
        </is>
      </c>
      <c r="C57" s="134" t="n">
        <v>610</v>
      </c>
      <c r="D57" s="132" t="n">
        <v>106.9</v>
      </c>
      <c r="E57" s="133" t="n">
        <v>32</v>
      </c>
      <c r="F57" s="132" t="n">
        <v>85</v>
      </c>
      <c r="G57" s="17" t="n">
        <v>26</v>
      </c>
      <c r="H57" s="134" t="n">
        <v>222</v>
      </c>
      <c r="I57" s="135" t="n">
        <v>53000</v>
      </c>
      <c r="J57" s="135" t="inlineStr">
        <is>
          <t>21</t>
        </is>
      </c>
      <c r="K57" s="135" t="n">
        <v>34000</v>
      </c>
      <c r="L57" s="135" t="inlineStr">
        <is>
          <t>14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106A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청주동남시티프라디움B2블록</t>
        </is>
      </c>
      <c r="B58" s="10" t="inlineStr">
        <is>
          <t>'20.03.</t>
        </is>
      </c>
      <c r="C58" s="134" t="n">
        <v>610</v>
      </c>
      <c r="D58" s="132" t="n">
        <v>106.9</v>
      </c>
      <c r="E58" s="133" t="n">
        <v>32</v>
      </c>
      <c r="F58" s="132" t="n">
        <v>85</v>
      </c>
      <c r="G58" s="17" t="n">
        <v>26</v>
      </c>
      <c r="H58" s="134" t="n">
        <v>68</v>
      </c>
      <c r="I58" s="135" t="n">
        <v>53000</v>
      </c>
      <c r="J58" s="135" t="inlineStr">
        <is>
          <t>21</t>
        </is>
      </c>
      <c r="K58" s="135" t="n">
        <v>34000</v>
      </c>
      <c r="L58" s="135" t="inlineStr">
        <is>
          <t>14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106C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청주동남시티프라디움B2블록</t>
        </is>
      </c>
      <c r="B59" s="10" t="inlineStr">
        <is>
          <t>'20.03.</t>
        </is>
      </c>
      <c r="C59" s="134" t="n">
        <v>610</v>
      </c>
      <c r="D59" s="132" t="n">
        <v>107.4</v>
      </c>
      <c r="E59" s="133" t="n">
        <v>32</v>
      </c>
      <c r="F59" s="132" t="n">
        <v>85</v>
      </c>
      <c r="G59" s="17" t="n">
        <v>26</v>
      </c>
      <c r="H59" s="134" t="n">
        <v>147</v>
      </c>
      <c r="I59" s="135" t="n">
        <v>47000</v>
      </c>
      <c r="J59" s="135" t="inlineStr">
        <is>
          <t>17</t>
        </is>
      </c>
      <c r="K59" s="135" t="n">
        <v>33000</v>
      </c>
      <c r="L59" s="135" t="inlineStr">
        <is>
          <t>19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107D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청주동남시티프라디움B2블록</t>
        </is>
      </c>
      <c r="B60" s="10" t="inlineStr">
        <is>
          <t>'20.03.</t>
        </is>
      </c>
      <c r="C60" s="134" t="n">
        <v>610</v>
      </c>
      <c r="D60" s="132" t="n">
        <v>107.8</v>
      </c>
      <c r="E60" s="133" t="n">
        <v>33</v>
      </c>
      <c r="F60" s="132" t="n">
        <v>85</v>
      </c>
      <c r="G60" s="17" t="n">
        <v>26</v>
      </c>
      <c r="H60" s="134" t="n">
        <v>50</v>
      </c>
      <c r="I60" s="135" t="n">
        <v>46000</v>
      </c>
      <c r="J60" s="135" t="inlineStr">
        <is>
          <t>18</t>
        </is>
      </c>
      <c r="K60" s="135" t="n">
        <v>34000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107F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청주동남시티프라디움B2블록</t>
        </is>
      </c>
      <c r="B61" s="10" t="inlineStr">
        <is>
          <t>'20.03.</t>
        </is>
      </c>
      <c r="C61" s="134" t="n">
        <v>610</v>
      </c>
      <c r="D61" s="132" t="n">
        <v>107.7</v>
      </c>
      <c r="E61" s="133" t="n">
        <v>33</v>
      </c>
      <c r="F61" s="132" t="n">
        <v>85</v>
      </c>
      <c r="G61" s="17" t="n">
        <v>26</v>
      </c>
      <c r="H61" s="134" t="n">
        <v>48</v>
      </c>
      <c r="I61" s="135" t="n">
        <v>45000</v>
      </c>
      <c r="J61" s="135" t="inlineStr">
        <is>
          <t>14</t>
        </is>
      </c>
      <c r="K61" s="135" t="n">
        <v>37000</v>
      </c>
      <c r="L61" s="135" t="inlineStr">
        <is>
          <t>16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107B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inlineStr">
        <is>
          <t>청주동남시티프라디움B2블록</t>
        </is>
      </c>
      <c r="B62" s="10" t="inlineStr">
        <is>
          <t>'20.03.</t>
        </is>
      </c>
      <c r="C62" s="134" t="n">
        <v>610</v>
      </c>
      <c r="D62" s="132" t="n">
        <v>108.1</v>
      </c>
      <c r="E62" s="133" t="n">
        <v>33</v>
      </c>
      <c r="F62" s="132" t="n">
        <v>85</v>
      </c>
      <c r="G62" s="17" t="n">
        <v>26</v>
      </c>
      <c r="H62" s="134" t="n">
        <v>75</v>
      </c>
      <c r="I62" s="135" t="n">
        <v>47000</v>
      </c>
      <c r="J62" s="135" t="inlineStr">
        <is>
          <t>15</t>
        </is>
      </c>
      <c r="K62" s="135" t="n">
        <v>33000</v>
      </c>
      <c r="L62" s="135" t="inlineStr">
        <is>
          <t>6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108E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>
      <c r="A63" s="9" t="n"/>
      <c r="B63" s="119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8" t="n"/>
      <c r="U63" s="9" t="n"/>
      <c r="W63" s="70">
        <f>$A$4&amp;" "&amp;A64&amp;"("&amp;B64&amp;","&amp;C64&amp;"^)"</f>
        <v/>
      </c>
      <c r="X63" s="71" t="n"/>
      <c r="Y63" s="71" t="n"/>
      <c r="Z63" s="71" t="n"/>
      <c r="AA63" s="71" t="n"/>
      <c r="AB63" s="71" t="n"/>
      <c r="AC63" s="71" t="n"/>
      <c r="AD63" s="71" t="n"/>
      <c r="AE63" s="71" t="n"/>
      <c r="AF63" s="72" t="n"/>
      <c r="AH63" s="20">
        <f>IF(A63="","",A63)</f>
        <v/>
      </c>
      <c r="AI63" s="157">
        <f>IF(E63="","",E63)</f>
        <v/>
      </c>
      <c r="AJ63" s="119" t="n"/>
      <c r="AK63" s="119" t="n"/>
      <c r="AL63" s="119" t="n"/>
      <c r="AM63" s="119" t="n"/>
      <c r="AN63" s="119" t="n"/>
      <c r="AO63" s="119" t="n"/>
      <c r="AP63" s="119" t="n"/>
      <c r="AQ63" s="119" t="n"/>
      <c r="AR63" s="119" t="n"/>
      <c r="AS63" s="119" t="n"/>
      <c r="AT63" s="119" t="n"/>
      <c r="AU63" s="119" t="n"/>
      <c r="AV63" s="119" t="n"/>
    </row>
    <row r="64">
      <c r="A64" s="9" t="inlineStr">
        <is>
          <t>태산그린</t>
        </is>
      </c>
      <c r="B64" s="10" t="inlineStr">
        <is>
          <t>'95.04.</t>
        </is>
      </c>
      <c r="C64" s="134" t="n">
        <v>590</v>
      </c>
      <c r="D64" s="132" t="n">
        <v>76.09999999999999</v>
      </c>
      <c r="E64" s="133" t="n">
        <v>23</v>
      </c>
      <c r="F64" s="132" t="n">
        <v>59.8</v>
      </c>
      <c r="G64" s="17" t="n">
        <v>18</v>
      </c>
      <c r="H64" s="134" t="n">
        <v>590</v>
      </c>
      <c r="I64" s="135" t="n">
        <v>12300</v>
      </c>
      <c r="J64" s="135" t="inlineStr">
        <is>
          <t>15</t>
        </is>
      </c>
      <c r="K64" s="135" t="n">
        <v>13000</v>
      </c>
      <c r="L64" s="135" t="inlineStr">
        <is>
          <t>7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76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>
      <c r="A65" s="9" t="n"/>
      <c r="B65" s="119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8" t="n"/>
      <c r="U65" s="9" t="n"/>
      <c r="W65" s="70">
        <f>$A$4&amp;" "&amp;A66&amp;"("&amp;B66&amp;","&amp;C66&amp;"^)"</f>
        <v/>
      </c>
      <c r="X65" s="71" t="n"/>
      <c r="Y65" s="71" t="n"/>
      <c r="Z65" s="71" t="n"/>
      <c r="AA65" s="71" t="n"/>
      <c r="AB65" s="71" t="n"/>
      <c r="AC65" s="71" t="n"/>
      <c r="AD65" s="71" t="n"/>
      <c r="AE65" s="71" t="n"/>
      <c r="AF65" s="72" t="n"/>
      <c r="AH65" s="20">
        <f>IF(A65="","",A65)</f>
        <v/>
      </c>
      <c r="AI65" s="157">
        <f>IF(E65="","",E65)</f>
        <v/>
      </c>
      <c r="AJ65" s="119" t="n"/>
      <c r="AK65" s="119" t="n"/>
      <c r="AL65" s="119" t="n"/>
      <c r="AM65" s="119" t="n"/>
      <c r="AN65" s="119" t="n"/>
      <c r="AO65" s="119" t="n"/>
      <c r="AP65" s="119" t="n"/>
      <c r="AQ65" s="119" t="n"/>
      <c r="AR65" s="119" t="n"/>
      <c r="AS65" s="119" t="n"/>
      <c r="AT65" s="119" t="n"/>
      <c r="AU65" s="119" t="n"/>
      <c r="AV65" s="119" t="n"/>
    </row>
    <row r="66">
      <c r="A66" s="9" t="inlineStr">
        <is>
          <t>중흥마을1단지부영</t>
        </is>
      </c>
      <c r="B66" s="10" t="inlineStr">
        <is>
          <t>'03.09.</t>
        </is>
      </c>
      <c r="C66" s="134" t="n">
        <v>752</v>
      </c>
      <c r="D66" s="132" t="n">
        <v>77.2</v>
      </c>
      <c r="E66" s="133" t="n">
        <v>23</v>
      </c>
      <c r="F66" s="132" t="n">
        <v>60</v>
      </c>
      <c r="G66" s="17" t="n">
        <v>18</v>
      </c>
      <c r="H66" s="134" t="n">
        <v>752</v>
      </c>
      <c r="I66" s="135" t="n">
        <v>17300</v>
      </c>
      <c r="J66" s="135" t="inlineStr">
        <is>
          <t>11</t>
        </is>
      </c>
      <c r="K66" s="135" t="n">
        <v>15500</v>
      </c>
      <c r="L66" s="135" t="inlineStr">
        <is>
          <t>6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>
      <c r="A67" s="9" t="n"/>
      <c r="B67" s="119" t="n"/>
      <c r="C67" s="6" t="n"/>
      <c r="D67" s="9" t="n"/>
      <c r="E67" s="14" t="n"/>
      <c r="F67" s="132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7" t="n"/>
      <c r="P67" s="137" t="n"/>
      <c r="Q67" s="133" t="n"/>
      <c r="R67" s="133" t="n"/>
      <c r="S67" s="9" t="n"/>
      <c r="T67" s="48" t="n"/>
      <c r="U67" s="9" t="n"/>
      <c r="W67" s="70">
        <f>$A$4&amp;" "&amp;A68&amp;"("&amp;B68&amp;","&amp;C68&amp;"^)"</f>
        <v/>
      </c>
      <c r="X67" s="71" t="n"/>
      <c r="Y67" s="71" t="n"/>
      <c r="Z67" s="71" t="n"/>
      <c r="AA67" s="71" t="n"/>
      <c r="AB67" s="71" t="n"/>
      <c r="AC67" s="71" t="n"/>
      <c r="AD67" s="71" t="n"/>
      <c r="AE67" s="71" t="n"/>
      <c r="AF67" s="72" t="n"/>
      <c r="AH67" s="20">
        <f>IF(A67="","",A67)</f>
        <v/>
      </c>
      <c r="AI67" s="157">
        <f>IF(E67="","",E67)</f>
        <v/>
      </c>
      <c r="AJ67" s="119" t="n"/>
      <c r="AK67" s="119" t="n"/>
      <c r="AL67" s="119" t="n"/>
      <c r="AM67" s="119" t="n"/>
      <c r="AN67" s="119" t="n"/>
      <c r="AO67" s="119" t="n"/>
      <c r="AP67" s="119" t="n"/>
      <c r="AQ67" s="119" t="n"/>
      <c r="AR67" s="119" t="n"/>
      <c r="AS67" s="119" t="n"/>
      <c r="AT67" s="119" t="n"/>
      <c r="AU67" s="119" t="n"/>
      <c r="AV67" s="119" t="n"/>
    </row>
    <row r="68">
      <c r="A68" s="9" t="inlineStr">
        <is>
          <t>진흥한우리</t>
        </is>
      </c>
      <c r="B68" s="10" t="inlineStr">
        <is>
          <t>'95.06.</t>
        </is>
      </c>
      <c r="C68" s="134" t="n">
        <v>330</v>
      </c>
      <c r="D68" s="132" t="n">
        <v>85.2</v>
      </c>
      <c r="E68" s="133" t="n">
        <v>26</v>
      </c>
      <c r="F68" s="132" t="n">
        <v>69</v>
      </c>
      <c r="G68" s="17" t="n">
        <v>21</v>
      </c>
      <c r="H68" s="134" t="n">
        <v>120</v>
      </c>
      <c r="I68" s="135" t="n">
        <v>14000</v>
      </c>
      <c r="J68" s="135" t="inlineStr">
        <is>
          <t>15</t>
        </is>
      </c>
      <c r="K68" s="135" t="n">
        <v>13000</v>
      </c>
      <c r="L68" s="135" t="inlineStr">
        <is>
          <t>15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85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>
      <c r="A69" s="9" t="inlineStr">
        <is>
          <t>진흥한우리</t>
        </is>
      </c>
      <c r="B69" s="10" t="inlineStr">
        <is>
          <t>'95.06.</t>
        </is>
      </c>
      <c r="C69" s="134" t="n">
        <v>330</v>
      </c>
      <c r="D69" s="132" t="n">
        <v>107.3</v>
      </c>
      <c r="E69" s="133" t="n">
        <v>32</v>
      </c>
      <c r="F69" s="132" t="n">
        <v>84.40000000000001</v>
      </c>
      <c r="G69" s="17" t="n">
        <v>26</v>
      </c>
      <c r="H69" s="134" t="n">
        <v>210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n">
        <v>107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>
      <c r="A70" s="9" t="n"/>
      <c r="B70" s="119" t="n"/>
      <c r="C70" s="6" t="n"/>
      <c r="D70" s="9" t="n"/>
      <c r="E70" s="14" t="n"/>
      <c r="F70" s="132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7" t="n"/>
      <c r="P70" s="137" t="n"/>
      <c r="Q70" s="133" t="n"/>
      <c r="R70" s="133" t="n"/>
      <c r="S70" s="9" t="n"/>
      <c r="T70" s="48" t="n"/>
      <c r="U70" s="9" t="n"/>
      <c r="W70" s="70">
        <f>$A$4&amp;" "&amp;A71&amp;"("&amp;B71&amp;","&amp;C71&amp;"^)"</f>
        <v/>
      </c>
      <c r="X70" s="71" t="n"/>
      <c r="Y70" s="71" t="n"/>
      <c r="Z70" s="71" t="n"/>
      <c r="AA70" s="71" t="n"/>
      <c r="AB70" s="71" t="n"/>
      <c r="AC70" s="71" t="n"/>
      <c r="AD70" s="71" t="n"/>
      <c r="AE70" s="71" t="n"/>
      <c r="AF70" s="72" t="n"/>
      <c r="AH70" s="20">
        <f>IF(A70="","",A70)</f>
        <v/>
      </c>
      <c r="AI70" s="157">
        <f>IF(E70="","",E70)</f>
        <v/>
      </c>
      <c r="AJ70" s="119" t="n"/>
      <c r="AK70" s="119" t="n"/>
      <c r="AL70" s="119" t="n"/>
      <c r="AM70" s="119" t="n"/>
      <c r="AN70" s="119" t="n"/>
      <c r="AO70" s="119" t="n"/>
      <c r="AP70" s="119" t="n"/>
      <c r="AQ70" s="119" t="n"/>
      <c r="AR70" s="119" t="n"/>
      <c r="AS70" s="119" t="n"/>
      <c r="AT70" s="119" t="n"/>
      <c r="AU70" s="119" t="n"/>
      <c r="AV70" s="119" t="n"/>
    </row>
    <row r="71">
      <c r="A71" s="9" t="inlineStr">
        <is>
          <t>용암서희스타힐스</t>
        </is>
      </c>
      <c r="B71" s="10" t="inlineStr">
        <is>
          <t>'18.11.</t>
        </is>
      </c>
      <c r="C71" s="134" t="n">
        <v>318</v>
      </c>
      <c r="D71" s="132" t="n">
        <v>83.40000000000001</v>
      </c>
      <c r="E71" s="133" t="n">
        <v>25</v>
      </c>
      <c r="F71" s="132" t="n">
        <v>60</v>
      </c>
      <c r="G71" s="17" t="n">
        <v>18</v>
      </c>
      <c r="H71" s="134" t="n">
        <v>278</v>
      </c>
      <c r="I71" s="135" t="n">
        <v>24500</v>
      </c>
      <c r="J71" s="135" t="inlineStr">
        <is>
          <t>16</t>
        </is>
      </c>
      <c r="K71" s="135" t="n">
        <v>19000</v>
      </c>
      <c r="L71" s="135" t="inlineStr">
        <is>
          <t>15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83A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>
      <c r="A72" s="9" t="inlineStr">
        <is>
          <t>용암서희스타힐스</t>
        </is>
      </c>
      <c r="B72" s="10" t="inlineStr">
        <is>
          <t>'18.11.</t>
        </is>
      </c>
      <c r="C72" s="134" t="n">
        <v>318</v>
      </c>
      <c r="D72" s="132" t="n">
        <v>83.90000000000001</v>
      </c>
      <c r="E72" s="133" t="n">
        <v>25</v>
      </c>
      <c r="F72" s="132" t="n">
        <v>60</v>
      </c>
      <c r="G72" s="17" t="n">
        <v>18</v>
      </c>
      <c r="H72" s="134" t="n">
        <v>40</v>
      </c>
      <c r="I72" s="135" t="n">
        <v>29000</v>
      </c>
      <c r="J72" s="135" t="inlineStr">
        <is>
          <t>중</t>
        </is>
      </c>
      <c r="K72" s="135" t="n">
        <v>19500</v>
      </c>
      <c r="L72" s="135" t="inlineStr">
        <is>
          <t>14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83B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>
      <c r="A73" s="9" t="n"/>
      <c r="B73" s="119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8" t="n"/>
      <c r="U73" s="9" t="n"/>
      <c r="W73" s="70">
        <f>$A$4&amp;" "&amp;A74&amp;"("&amp;B74&amp;","&amp;C74&amp;"^)"</f>
        <v/>
      </c>
      <c r="X73" s="71" t="n"/>
      <c r="Y73" s="71" t="n"/>
      <c r="Z73" s="71" t="n"/>
      <c r="AA73" s="71" t="n"/>
      <c r="AB73" s="71" t="n"/>
      <c r="AC73" s="71" t="n"/>
      <c r="AD73" s="71" t="n"/>
      <c r="AE73" s="71" t="n"/>
      <c r="AF73" s="72" t="n"/>
      <c r="AH73" s="20">
        <f>IF(A73="","",A73)</f>
        <v/>
      </c>
      <c r="AI73" s="157">
        <f>IF(E73="","",E73)</f>
        <v/>
      </c>
      <c r="AJ73" s="119" t="n"/>
      <c r="AK73" s="119" t="n"/>
      <c r="AL73" s="119" t="n"/>
      <c r="AM73" s="119" t="n"/>
      <c r="AN73" s="119" t="n"/>
      <c r="AO73" s="119" t="n"/>
      <c r="AP73" s="119" t="n"/>
      <c r="AQ73" s="119" t="n"/>
      <c r="AR73" s="119" t="n"/>
      <c r="AS73" s="119" t="n"/>
      <c r="AT73" s="119" t="n"/>
      <c r="AU73" s="119" t="n"/>
      <c r="AV73" s="119" t="n"/>
    </row>
    <row r="74">
      <c r="A74" s="9" t="inlineStr">
        <is>
          <t>중흥마을3단지부영그린타운</t>
        </is>
      </c>
      <c r="B74" s="10" t="inlineStr">
        <is>
          <t>'05.11.</t>
        </is>
      </c>
      <c r="C74" s="134" t="n">
        <v>326</v>
      </c>
      <c r="D74" s="132" t="n">
        <v>117.1</v>
      </c>
      <c r="E74" s="133" t="n">
        <v>35</v>
      </c>
      <c r="F74" s="132" t="n">
        <v>84.90000000000001</v>
      </c>
      <c r="G74" s="17" t="n">
        <v>26</v>
      </c>
      <c r="H74" s="134" t="n">
        <v>326</v>
      </c>
      <c r="I74" s="135" t="n">
        <v>26000</v>
      </c>
      <c r="J74" s="135" t="inlineStr">
        <is>
          <t>중</t>
        </is>
      </c>
      <c r="K74" s="135" t="n">
        <v>22000</v>
      </c>
      <c r="L74" s="135" t="inlineStr">
        <is>
          <t>8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117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>
      <c r="A75" s="9" t="n"/>
      <c r="B75" s="119" t="n"/>
      <c r="C75" s="6" t="n"/>
      <c r="D75" s="9" t="n"/>
      <c r="E75" s="14" t="n"/>
      <c r="F75" s="132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7" t="n"/>
      <c r="P75" s="137" t="n"/>
      <c r="Q75" s="133" t="n"/>
      <c r="R75" s="133" t="n"/>
      <c r="S75" s="9" t="n"/>
      <c r="T75" s="48" t="n"/>
      <c r="U75" s="9" t="n"/>
      <c r="W75" s="70">
        <f>$A$4&amp;" "&amp;A76&amp;"("&amp;B76&amp;","&amp;C76&amp;"^)"</f>
        <v/>
      </c>
      <c r="X75" s="71" t="n"/>
      <c r="Y75" s="71" t="n"/>
      <c r="Z75" s="71" t="n"/>
      <c r="AA75" s="71" t="n"/>
      <c r="AB75" s="71" t="n"/>
      <c r="AC75" s="71" t="n"/>
      <c r="AD75" s="71" t="n"/>
      <c r="AE75" s="71" t="n"/>
      <c r="AF75" s="72" t="n"/>
      <c r="AH75" s="20">
        <f>IF(A75="","",A75)</f>
        <v/>
      </c>
      <c r="AI75" s="157">
        <f>IF(E75="","",E75)</f>
        <v/>
      </c>
      <c r="AJ75" s="119" t="n"/>
      <c r="AK75" s="119" t="n"/>
      <c r="AL75" s="119" t="n"/>
      <c r="AM75" s="119" t="n"/>
      <c r="AN75" s="119" t="n"/>
      <c r="AO75" s="119" t="n"/>
      <c r="AP75" s="119" t="n"/>
      <c r="AQ75" s="119" t="n"/>
      <c r="AR75" s="119" t="n"/>
      <c r="AS75" s="119" t="n"/>
      <c r="AT75" s="119" t="n"/>
      <c r="AU75" s="119" t="n"/>
      <c r="AV75" s="119" t="n"/>
    </row>
    <row r="76">
      <c r="A76" s="9" t="inlineStr">
        <is>
          <t>청주신영강변뜨란채</t>
        </is>
      </c>
      <c r="B76" s="10" t="inlineStr">
        <is>
          <t>'05.08.</t>
        </is>
      </c>
      <c r="C76" s="134" t="n">
        <v>517</v>
      </c>
      <c r="D76" s="132" t="n">
        <v>68.40000000000001</v>
      </c>
      <c r="E76" s="133" t="n">
        <v>21</v>
      </c>
      <c r="F76" s="132" t="n">
        <v>52</v>
      </c>
      <c r="G76" s="17" t="n">
        <v>16</v>
      </c>
      <c r="H76" s="134" t="n">
        <v>60</v>
      </c>
      <c r="I76" s="135" t="n">
        <v>18000</v>
      </c>
      <c r="J76" s="135" t="inlineStr">
        <is>
          <t>12</t>
        </is>
      </c>
      <c r="K76" s="135" t="n">
        <v>12000</v>
      </c>
      <c r="L76" s="135" t="inlineStr">
        <is>
          <t>12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68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>
      <c r="A77" s="9" t="inlineStr">
        <is>
          <t>청주신영강변뜨란채</t>
        </is>
      </c>
      <c r="B77" s="10" t="inlineStr">
        <is>
          <t>'05.08.</t>
        </is>
      </c>
      <c r="C77" s="134" t="n">
        <v>517</v>
      </c>
      <c r="D77" s="132" t="n">
        <v>77.2</v>
      </c>
      <c r="E77" s="133" t="n">
        <v>23</v>
      </c>
      <c r="F77" s="132" t="n">
        <v>62.1</v>
      </c>
      <c r="G77" s="17" t="n">
        <v>19</v>
      </c>
      <c r="H77" s="134" t="n">
        <v>3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2</v>
      </c>
      <c r="R77" s="119" t="n">
        <v>1</v>
      </c>
      <c r="S77" s="119" t="inlineStr">
        <is>
          <t>계</t>
        </is>
      </c>
      <c r="T77" s="5" t="inlineStr">
        <is>
          <t>77B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>
      <c r="A78" s="9" t="inlineStr">
        <is>
          <t>청주신영강변뜨란채</t>
        </is>
      </c>
      <c r="B78" s="10" t="inlineStr">
        <is>
          <t>'05.08.</t>
        </is>
      </c>
      <c r="C78" s="134" t="n">
        <v>517</v>
      </c>
      <c r="D78" s="132" t="n">
        <v>78.2</v>
      </c>
      <c r="E78" s="133" t="n">
        <v>24</v>
      </c>
      <c r="F78" s="132" t="n">
        <v>59.9</v>
      </c>
      <c r="G78" s="17" t="n">
        <v>18</v>
      </c>
      <c r="H78" s="134" t="n">
        <v>129</v>
      </c>
      <c r="I78" s="135" t="n">
        <v>19000</v>
      </c>
      <c r="J78" s="135" t="inlineStr">
        <is>
          <t>7</t>
        </is>
      </c>
      <c r="K78" s="135" t="n">
        <v>17000</v>
      </c>
      <c r="L78" s="135" t="inlineStr">
        <is>
          <t>5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1</v>
      </c>
      <c r="S78" s="119" t="inlineStr">
        <is>
          <t>계</t>
        </is>
      </c>
      <c r="T78" s="5" t="n">
        <v>78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>
      <c r="A79" s="9" t="inlineStr">
        <is>
          <t>청주신영강변뜨란채</t>
        </is>
      </c>
      <c r="B79" s="10" t="inlineStr">
        <is>
          <t>'05.08.</t>
        </is>
      </c>
      <c r="C79" s="134" t="n">
        <v>517</v>
      </c>
      <c r="D79" s="132" t="n">
        <v>78.2</v>
      </c>
      <c r="E79" s="133" t="n">
        <v>24</v>
      </c>
      <c r="F79" s="132" t="n">
        <v>59.9</v>
      </c>
      <c r="G79" s="17" t="n">
        <v>18</v>
      </c>
      <c r="H79" s="134" t="n">
        <v>39</v>
      </c>
      <c r="I79" s="135" t="n">
        <v>19000</v>
      </c>
      <c r="J79" s="135" t="inlineStr">
        <is>
          <t>7</t>
        </is>
      </c>
      <c r="K79" s="135" t="n">
        <v>17000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3</v>
      </c>
      <c r="R79" s="119" t="n">
        <v>1</v>
      </c>
      <c r="S79" s="119" t="inlineStr">
        <is>
          <t>계</t>
        </is>
      </c>
      <c r="T79" s="5" t="inlineStr">
        <is>
          <t>78A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>
      <c r="A80" s="9" t="inlineStr">
        <is>
          <t>청주신영강변뜨란채</t>
        </is>
      </c>
      <c r="B80" s="10" t="inlineStr">
        <is>
          <t>'05.08.</t>
        </is>
      </c>
      <c r="C80" s="134" t="n">
        <v>517</v>
      </c>
      <c r="D80" s="132" t="n">
        <v>105.3</v>
      </c>
      <c r="E80" s="133" t="n">
        <v>32</v>
      </c>
      <c r="F80" s="132" t="n">
        <v>84.8</v>
      </c>
      <c r="G80" s="17" t="n">
        <v>26</v>
      </c>
      <c r="H80" s="134" t="n">
        <v>235</v>
      </c>
      <c r="I80" s="135" t="n">
        <v>25000</v>
      </c>
      <c r="J80" s="135" t="inlineStr">
        <is>
          <t>10</t>
        </is>
      </c>
      <c r="K80" s="135" t="n">
        <v>21000</v>
      </c>
      <c r="L80" s="135" t="inlineStr">
        <is>
          <t>14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105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>
      <c r="A81" s="9" t="inlineStr">
        <is>
          <t>청주신영강변뜨란채</t>
        </is>
      </c>
      <c r="B81" s="10" t="inlineStr">
        <is>
          <t>'05.08.</t>
        </is>
      </c>
      <c r="C81" s="134" t="n">
        <v>517</v>
      </c>
      <c r="D81" s="132" t="n">
        <v>132.7</v>
      </c>
      <c r="E81" s="133" t="n">
        <v>40</v>
      </c>
      <c r="F81" s="132" t="n">
        <v>108.8</v>
      </c>
      <c r="G81" s="17" t="n">
        <v>33</v>
      </c>
      <c r="H81" s="134" t="n">
        <v>51</v>
      </c>
      <c r="I81" s="135" t="n">
        <v>34500</v>
      </c>
      <c r="J81" s="135" t="inlineStr">
        <is>
          <t>8</t>
        </is>
      </c>
      <c r="K81" s="135" t="n">
        <v>24000</v>
      </c>
      <c r="L81" s="135" t="inlineStr">
        <is>
          <t>8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4</v>
      </c>
      <c r="R81" s="119" t="n">
        <v>2</v>
      </c>
      <c r="S81" s="119" t="inlineStr">
        <is>
          <t>계</t>
        </is>
      </c>
      <c r="T81" s="5" t="n">
        <v>132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>
      <c r="A82" s="9" t="n"/>
      <c r="B82" s="119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8" t="n"/>
      <c r="U82" s="9" t="n"/>
      <c r="W82" s="70">
        <f>$A$4&amp;" "&amp;A83&amp;"("&amp;B83&amp;","&amp;C83&amp;"^)"</f>
        <v/>
      </c>
      <c r="X82" s="71" t="n"/>
      <c r="Y82" s="71" t="n"/>
      <c r="Z82" s="71" t="n"/>
      <c r="AA82" s="71" t="n"/>
      <c r="AB82" s="71" t="n"/>
      <c r="AC82" s="71" t="n"/>
      <c r="AD82" s="71" t="n"/>
      <c r="AE82" s="71" t="n"/>
      <c r="AF82" s="72" t="n"/>
      <c r="AH82" s="20">
        <f>IF(A82="","",A82)</f>
        <v/>
      </c>
      <c r="AI82" s="157">
        <f>IF(E82="","",E82)</f>
        <v/>
      </c>
      <c r="AJ82" s="119" t="n"/>
      <c r="AK82" s="119" t="n"/>
      <c r="AL82" s="119" t="n"/>
      <c r="AM82" s="119" t="n"/>
      <c r="AN82" s="119" t="n"/>
      <c r="AO82" s="119" t="n"/>
      <c r="AP82" s="119" t="n"/>
      <c r="AQ82" s="119" t="n"/>
      <c r="AR82" s="119" t="n"/>
      <c r="AS82" s="119" t="n"/>
      <c r="AT82" s="119" t="n"/>
      <c r="AU82" s="119" t="n"/>
      <c r="AV82" s="119" t="n"/>
    </row>
    <row r="83">
      <c r="A83" s="9" t="inlineStr">
        <is>
          <t>중흥마을6단지부영</t>
        </is>
      </c>
      <c r="B83" s="10" t="inlineStr">
        <is>
          <t>'01.11.</t>
        </is>
      </c>
      <c r="C83" s="134" t="n">
        <v>557</v>
      </c>
      <c r="D83" s="132" t="n">
        <v>114</v>
      </c>
      <c r="E83" s="133" t="n">
        <v>34</v>
      </c>
      <c r="F83" s="132" t="n">
        <v>85</v>
      </c>
      <c r="G83" s="17" t="n">
        <v>26</v>
      </c>
      <c r="H83" s="134" t="n">
        <v>557</v>
      </c>
      <c r="I83" s="135" t="n">
        <v>21000</v>
      </c>
      <c r="J83" s="135" t="inlineStr">
        <is>
          <t>14</t>
        </is>
      </c>
      <c r="K83" s="135" t="n">
        <v>19000</v>
      </c>
      <c r="L83" s="135" t="inlineStr">
        <is>
          <t>고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n">
        <v>113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>
      <c r="A84" s="9" t="n"/>
      <c r="B84" s="119" t="n"/>
      <c r="C84" s="6" t="n"/>
      <c r="D84" s="9" t="n"/>
      <c r="E84" s="14" t="n"/>
      <c r="F84" s="132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7" t="n"/>
      <c r="P84" s="137" t="n"/>
      <c r="Q84" s="133" t="n"/>
      <c r="R84" s="133" t="n"/>
      <c r="S84" s="9" t="n"/>
      <c r="T84" s="48" t="n"/>
      <c r="U84" s="9" t="n"/>
      <c r="W84" s="70">
        <f>$A$4&amp;" "&amp;A85&amp;"("&amp;B85&amp;","&amp;C85&amp;"^)"</f>
        <v/>
      </c>
      <c r="X84" s="71" t="n"/>
      <c r="Y84" s="71" t="n"/>
      <c r="Z84" s="71" t="n"/>
      <c r="AA84" s="71" t="n"/>
      <c r="AB84" s="71" t="n"/>
      <c r="AC84" s="71" t="n"/>
      <c r="AD84" s="71" t="n"/>
      <c r="AE84" s="71" t="n"/>
      <c r="AF84" s="72" t="n"/>
      <c r="AH84" s="20">
        <f>IF(A84="","",A84)</f>
        <v/>
      </c>
      <c r="AI84" s="157">
        <f>IF(E84="","",E84)</f>
        <v/>
      </c>
      <c r="AJ84" s="119" t="n"/>
      <c r="AK84" s="119" t="n"/>
      <c r="AL84" s="119" t="n"/>
      <c r="AM84" s="119" t="n"/>
      <c r="AN84" s="119" t="n"/>
      <c r="AO84" s="119" t="n"/>
      <c r="AP84" s="119" t="n"/>
      <c r="AQ84" s="119" t="n"/>
      <c r="AR84" s="119" t="n"/>
      <c r="AS84" s="119" t="n"/>
      <c r="AT84" s="119" t="n"/>
      <c r="AU84" s="119" t="n"/>
      <c r="AV84" s="119" t="n"/>
    </row>
    <row r="85">
      <c r="A85" s="9" t="inlineStr">
        <is>
          <t>소라</t>
        </is>
      </c>
      <c r="B85" s="10" t="inlineStr">
        <is>
          <t>'94.11.</t>
        </is>
      </c>
      <c r="C85" s="134" t="n">
        <v>675</v>
      </c>
      <c r="D85" s="132" t="n">
        <v>74.8</v>
      </c>
      <c r="E85" s="133" t="n">
        <v>23</v>
      </c>
      <c r="F85" s="132" t="n">
        <v>59.7</v>
      </c>
      <c r="G85" s="17" t="n">
        <v>18</v>
      </c>
      <c r="H85" s="134" t="n">
        <v>480</v>
      </c>
      <c r="I85" s="135" t="n">
        <v>13500</v>
      </c>
      <c r="J85" s="135" t="inlineStr">
        <is>
          <t>15</t>
        </is>
      </c>
      <c r="K85" s="135" t="n">
        <v>13000</v>
      </c>
      <c r="L85" s="135" t="inlineStr">
        <is>
          <t>12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3</v>
      </c>
      <c r="R85" s="119" t="n">
        <v>1</v>
      </c>
      <c r="S85" s="119" t="inlineStr">
        <is>
          <t>계</t>
        </is>
      </c>
      <c r="T85" s="5" t="inlineStr">
        <is>
          <t>74B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>
      <c r="A86" s="9" t="inlineStr">
        <is>
          <t>소라</t>
        </is>
      </c>
      <c r="B86" s="10" t="inlineStr">
        <is>
          <t>'94.11.</t>
        </is>
      </c>
      <c r="C86" s="134" t="n">
        <v>675</v>
      </c>
      <c r="D86" s="132" t="n">
        <v>74.40000000000001</v>
      </c>
      <c r="E86" s="133" t="n">
        <v>23</v>
      </c>
      <c r="F86" s="132" t="n">
        <v>59.4</v>
      </c>
      <c r="G86" s="17" t="n">
        <v>18</v>
      </c>
      <c r="H86" s="134" t="n">
        <v>195</v>
      </c>
      <c r="I86" s="135" t="n">
        <v>12500</v>
      </c>
      <c r="J86" s="135" t="inlineStr">
        <is>
          <t>6</t>
        </is>
      </c>
      <c r="K86" s="135" t="n">
        <v>14000</v>
      </c>
      <c r="L86" s="135" t="inlineStr">
        <is>
          <t>7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3</v>
      </c>
      <c r="R86" s="119" t="n">
        <v>1</v>
      </c>
      <c r="S86" s="119" t="inlineStr">
        <is>
          <t>계</t>
        </is>
      </c>
      <c r="T86" s="5" t="inlineStr">
        <is>
          <t>74A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>
      <c r="A87" s="9" t="n"/>
      <c r="B87" s="119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8" t="n"/>
      <c r="U87" s="9" t="n"/>
      <c r="W87" s="70">
        <f>$A$4&amp;" "&amp;A88&amp;"("&amp;B88&amp;","&amp;C88&amp;"^)"</f>
        <v/>
      </c>
      <c r="X87" s="71" t="n"/>
      <c r="Y87" s="71" t="n"/>
      <c r="Z87" s="71" t="n"/>
      <c r="AA87" s="71" t="n"/>
      <c r="AB87" s="71" t="n"/>
      <c r="AC87" s="71" t="n"/>
      <c r="AD87" s="71" t="n"/>
      <c r="AE87" s="71" t="n"/>
      <c r="AF87" s="72" t="n"/>
      <c r="AH87" s="20">
        <f>IF(A87="","",A87)</f>
        <v/>
      </c>
      <c r="AI87" s="157">
        <f>IF(E87="","",E87)</f>
        <v/>
      </c>
      <c r="AJ87" s="119" t="n"/>
      <c r="AK87" s="119" t="n"/>
      <c r="AL87" s="119" t="n"/>
      <c r="AM87" s="119" t="n"/>
      <c r="AN87" s="119" t="n"/>
      <c r="AO87" s="119" t="n"/>
      <c r="AP87" s="119" t="n"/>
      <c r="AQ87" s="119" t="n"/>
      <c r="AR87" s="119" t="n"/>
      <c r="AS87" s="119" t="n"/>
      <c r="AT87" s="119" t="n"/>
      <c r="AU87" s="119" t="n"/>
      <c r="AV87" s="119" t="n"/>
    </row>
    <row r="88">
      <c r="A88" s="9" t="inlineStr">
        <is>
          <t>용암세원한아름</t>
        </is>
      </c>
      <c r="B88" s="10" t="inlineStr">
        <is>
          <t>'94.11.</t>
        </is>
      </c>
      <c r="C88" s="134" t="n">
        <v>1530</v>
      </c>
      <c r="D88" s="132" t="n">
        <v>56.4</v>
      </c>
      <c r="E88" s="133" t="n">
        <v>17</v>
      </c>
      <c r="F88" s="132" t="n">
        <v>41.9</v>
      </c>
      <c r="G88" s="17" t="n">
        <v>13</v>
      </c>
      <c r="H88" s="134" t="n">
        <v>480</v>
      </c>
      <c r="I88" s="135" t="n">
        <v>7800</v>
      </c>
      <c r="J88" s="135" t="inlineStr">
        <is>
          <t>15</t>
        </is>
      </c>
      <c r="K88" s="135" t="n">
        <v>8500</v>
      </c>
      <c r="L88" s="135" t="inlineStr">
        <is>
          <t>7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2</v>
      </c>
      <c r="R88" s="119" t="n">
        <v>1</v>
      </c>
      <c r="S88" s="119" t="inlineStr">
        <is>
          <t>계</t>
        </is>
      </c>
      <c r="T88" s="5" t="n">
        <v>56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>
      <c r="A89" s="9" t="inlineStr">
        <is>
          <t>용암세원한아름</t>
        </is>
      </c>
      <c r="B89" s="10" t="inlineStr">
        <is>
          <t>'94.11.</t>
        </is>
      </c>
      <c r="C89" s="134" t="n">
        <v>1530</v>
      </c>
      <c r="D89" s="132" t="n">
        <v>75</v>
      </c>
      <c r="E89" s="133" t="n">
        <v>23</v>
      </c>
      <c r="F89" s="132" t="n">
        <v>59.8</v>
      </c>
      <c r="G89" s="17" t="n">
        <v>18</v>
      </c>
      <c r="H89" s="134" t="n">
        <v>1050</v>
      </c>
      <c r="I89" s="135" t="n">
        <v>13500</v>
      </c>
      <c r="J89" s="135" t="inlineStr">
        <is>
          <t>15</t>
        </is>
      </c>
      <c r="K89" s="135" t="n">
        <v>11000</v>
      </c>
      <c r="L89" s="135" t="inlineStr">
        <is>
          <t>11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3</v>
      </c>
      <c r="R89" s="119" t="n">
        <v>1</v>
      </c>
      <c r="S89" s="119" t="inlineStr">
        <is>
          <t>계</t>
        </is>
      </c>
      <c r="T89" s="5" t="n">
        <v>74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>
      <c r="A90" s="9" t="n"/>
      <c r="B90" s="119" t="n"/>
      <c r="C90" s="6" t="n"/>
      <c r="D90" s="9" t="n"/>
      <c r="E90" s="14" t="n"/>
      <c r="F90" s="132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7" t="n"/>
      <c r="P90" s="137" t="n"/>
      <c r="Q90" s="133" t="n"/>
      <c r="R90" s="133" t="n"/>
      <c r="S90" s="9" t="n"/>
      <c r="T90" s="48" t="n"/>
      <c r="U90" s="9" t="n"/>
      <c r="W90" s="70">
        <f>$A$4&amp;" "&amp;A91&amp;"("&amp;B91&amp;","&amp;C91&amp;"^)"</f>
        <v/>
      </c>
      <c r="X90" s="71" t="n"/>
      <c r="Y90" s="71" t="n"/>
      <c r="Z90" s="71" t="n"/>
      <c r="AA90" s="71" t="n"/>
      <c r="AB90" s="71" t="n"/>
      <c r="AC90" s="71" t="n"/>
      <c r="AD90" s="71" t="n"/>
      <c r="AE90" s="71" t="n"/>
      <c r="AF90" s="72" t="n"/>
      <c r="AH90" s="20">
        <f>IF(A90="","",A90)</f>
        <v/>
      </c>
      <c r="AI90" s="157">
        <f>IF(E90="","",E90)</f>
        <v/>
      </c>
      <c r="AJ90" s="119" t="n"/>
      <c r="AK90" s="119" t="n"/>
      <c r="AL90" s="119" t="n"/>
      <c r="AM90" s="119" t="n"/>
      <c r="AN90" s="119" t="n"/>
      <c r="AO90" s="119" t="n"/>
      <c r="AP90" s="119" t="n"/>
      <c r="AQ90" s="119" t="n"/>
      <c r="AR90" s="119" t="n"/>
      <c r="AS90" s="119" t="n"/>
      <c r="AT90" s="119" t="n"/>
      <c r="AU90" s="119" t="n"/>
      <c r="AV90" s="119" t="n"/>
    </row>
    <row r="91">
      <c r="A91" s="9" t="inlineStr">
        <is>
          <t>용암삼일무지개</t>
        </is>
      </c>
      <c r="B91" s="10" t="inlineStr">
        <is>
          <t>'94.10.</t>
        </is>
      </c>
      <c r="C91" s="134" t="n">
        <v>640</v>
      </c>
      <c r="D91" s="132" t="n">
        <v>74.7</v>
      </c>
      <c r="E91" s="133" t="n">
        <v>23</v>
      </c>
      <c r="F91" s="132" t="n">
        <v>59.9</v>
      </c>
      <c r="G91" s="17" t="n">
        <v>18</v>
      </c>
      <c r="H91" s="134" t="n">
        <v>640</v>
      </c>
      <c r="I91" s="135" t="n">
        <v>13000</v>
      </c>
      <c r="J91" s="135" t="inlineStr">
        <is>
          <t>10</t>
        </is>
      </c>
      <c r="K91" s="135" t="n">
        <v>13000</v>
      </c>
      <c r="L91" s="135" t="inlineStr">
        <is>
          <t>6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3</v>
      </c>
      <c r="R91" s="119" t="n">
        <v>1</v>
      </c>
      <c r="S91" s="119" t="inlineStr">
        <is>
          <t>계</t>
        </is>
      </c>
      <c r="T91" s="5" t="n">
        <v>74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>
      <c r="A92" s="9" t="n"/>
      <c r="B92" s="119" t="n"/>
      <c r="C92" s="6" t="n"/>
      <c r="D92" s="9" t="n"/>
      <c r="E92" s="14" t="n"/>
      <c r="F92" s="132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7" t="n"/>
      <c r="P92" s="137" t="n"/>
      <c r="Q92" s="133" t="n"/>
      <c r="R92" s="133" t="n"/>
      <c r="S92" s="9" t="n"/>
      <c r="T92" s="48" t="n"/>
      <c r="U92" s="9" t="n"/>
      <c r="W92" s="70">
        <f>$A$4&amp;" "&amp;A93&amp;"("&amp;B93&amp;","&amp;C93&amp;"^)"</f>
        <v/>
      </c>
      <c r="X92" s="71" t="n"/>
      <c r="Y92" s="71" t="n"/>
      <c r="Z92" s="71" t="n"/>
      <c r="AA92" s="71" t="n"/>
      <c r="AB92" s="71" t="n"/>
      <c r="AC92" s="71" t="n"/>
      <c r="AD92" s="71" t="n"/>
      <c r="AE92" s="71" t="n"/>
      <c r="AF92" s="72" t="n"/>
      <c r="AH92" s="20">
        <f>IF(A92="","",A92)</f>
        <v/>
      </c>
      <c r="AI92" s="157">
        <f>IF(E92="","",E92)</f>
        <v/>
      </c>
      <c r="AJ92" s="119" t="n"/>
      <c r="AK92" s="119" t="n"/>
      <c r="AL92" s="119" t="n"/>
      <c r="AM92" s="119" t="n"/>
      <c r="AN92" s="119" t="n"/>
      <c r="AO92" s="119" t="n"/>
      <c r="AP92" s="119" t="n"/>
      <c r="AQ92" s="119" t="n"/>
      <c r="AR92" s="119" t="n"/>
      <c r="AS92" s="119" t="n"/>
      <c r="AT92" s="119" t="n"/>
      <c r="AU92" s="119" t="n"/>
      <c r="AV92" s="119" t="n"/>
    </row>
    <row r="93">
      <c r="A93" s="9" t="inlineStr">
        <is>
          <t>대원칸타빌더테라스2단지</t>
        </is>
      </c>
      <c r="B93" s="10" t="inlineStr">
        <is>
          <t>'19.12.</t>
        </is>
      </c>
      <c r="C93" s="134" t="n">
        <v>706</v>
      </c>
      <c r="D93" s="132" t="n">
        <v>100.4</v>
      </c>
      <c r="E93" s="133" t="n">
        <v>30</v>
      </c>
      <c r="F93" s="132" t="n">
        <v>78.90000000000001</v>
      </c>
      <c r="G93" s="17" t="n">
        <v>24</v>
      </c>
      <c r="H93" s="134" t="n">
        <v>233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n">
        <v>100</v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>
      <c r="A94" s="9" t="inlineStr">
        <is>
          <t>대원칸타빌더테라스2단지</t>
        </is>
      </c>
      <c r="B94" s="10" t="inlineStr">
        <is>
          <t>'19.12.</t>
        </is>
      </c>
      <c r="C94" s="134" t="n">
        <v>706</v>
      </c>
      <c r="D94" s="132" t="n">
        <v>108</v>
      </c>
      <c r="E94" s="133" t="n">
        <v>33</v>
      </c>
      <c r="F94" s="132" t="n">
        <v>84.59999999999999</v>
      </c>
      <c r="G94" s="17" t="n">
        <v>26</v>
      </c>
      <c r="H94" s="134" t="n">
        <v>299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108A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>
      <c r="A95" s="9" t="inlineStr">
        <is>
          <t>대원칸타빌더테라스2단지</t>
        </is>
      </c>
      <c r="B95" s="10" t="inlineStr">
        <is>
          <t>'19.12.</t>
        </is>
      </c>
      <c r="C95" s="134" t="n">
        <v>706</v>
      </c>
      <c r="D95" s="132" t="n">
        <v>110.3</v>
      </c>
      <c r="E95" s="133" t="n">
        <v>33</v>
      </c>
      <c r="F95" s="132" t="n">
        <v>84.90000000000001</v>
      </c>
      <c r="G95" s="17" t="n">
        <v>26</v>
      </c>
      <c r="H95" s="134" t="n">
        <v>174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2</v>
      </c>
      <c r="S95" s="119" t="inlineStr">
        <is>
          <t>계</t>
        </is>
      </c>
      <c r="T95" s="5" t="inlineStr">
        <is>
          <t>110B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>
      <c r="A96" s="9" t="n"/>
      <c r="B96" s="119" t="n"/>
      <c r="C96" s="6" t="n"/>
      <c r="D96" s="9" t="n"/>
      <c r="E96" s="14" t="n"/>
      <c r="F96" s="132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7" t="n"/>
      <c r="P96" s="137" t="n"/>
      <c r="Q96" s="133" t="n"/>
      <c r="R96" s="133" t="n"/>
      <c r="S96" s="9" t="n"/>
      <c r="T96" s="48" t="n"/>
      <c r="U96" s="9" t="n"/>
      <c r="W96" s="70">
        <f>$A$4&amp;" "&amp;A97&amp;"("&amp;B97&amp;","&amp;C97&amp;"^)"</f>
        <v/>
      </c>
      <c r="X96" s="71" t="n"/>
      <c r="Y96" s="71" t="n"/>
      <c r="Z96" s="71" t="n"/>
      <c r="AA96" s="71" t="n"/>
      <c r="AB96" s="71" t="n"/>
      <c r="AC96" s="71" t="n"/>
      <c r="AD96" s="71" t="n"/>
      <c r="AE96" s="71" t="n"/>
      <c r="AF96" s="72" t="n"/>
      <c r="AH96" s="20">
        <f>IF(A96="","",A96)</f>
        <v/>
      </c>
      <c r="AI96" s="157">
        <f>IF(E96="","",E96)</f>
        <v/>
      </c>
      <c r="AJ96" s="119" t="n"/>
      <c r="AK96" s="119" t="n"/>
      <c r="AL96" s="119" t="n"/>
      <c r="AM96" s="119" t="n"/>
      <c r="AN96" s="119" t="n"/>
      <c r="AO96" s="119" t="n"/>
      <c r="AP96" s="119" t="n"/>
      <c r="AQ96" s="119" t="n"/>
      <c r="AR96" s="119" t="n"/>
      <c r="AS96" s="119" t="n"/>
      <c r="AT96" s="119" t="n"/>
      <c r="AU96" s="119" t="n"/>
      <c r="AV96" s="119" t="n"/>
    </row>
    <row r="97">
      <c r="A97" s="9" t="inlineStr">
        <is>
          <t>용암현대</t>
        </is>
      </c>
      <c r="B97" s="10" t="inlineStr">
        <is>
          <t>'95.10.</t>
        </is>
      </c>
      <c r="C97" s="134" t="n">
        <v>476</v>
      </c>
      <c r="D97" s="132" t="n">
        <v>103.2</v>
      </c>
      <c r="E97" s="133" t="n">
        <v>31</v>
      </c>
      <c r="F97" s="132" t="n">
        <v>84.90000000000001</v>
      </c>
      <c r="G97" s="17" t="n">
        <v>26</v>
      </c>
      <c r="H97" s="134" t="n">
        <v>476</v>
      </c>
      <c r="I97" s="135" t="n">
        <v>19500</v>
      </c>
      <c r="J97" s="135" t="inlineStr">
        <is>
          <t>12</t>
        </is>
      </c>
      <c r="K97" s="135" t="n">
        <v>21200</v>
      </c>
      <c r="L97" s="135" t="inlineStr">
        <is>
          <t>7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>
      <c r="A98" s="9" t="n"/>
      <c r="B98" s="119" t="n"/>
      <c r="C98" s="6" t="n"/>
      <c r="D98" s="9" t="n"/>
      <c r="E98" s="14" t="n"/>
      <c r="F98" s="132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7" t="n"/>
      <c r="P98" s="137" t="n"/>
      <c r="Q98" s="133" t="n"/>
      <c r="R98" s="133" t="n"/>
      <c r="S98" s="9" t="n"/>
      <c r="T98" s="48" t="n"/>
      <c r="U98" s="9" t="n"/>
      <c r="W98" s="70">
        <f>$A$4&amp;" "&amp;A99&amp;"("&amp;B99&amp;","&amp;C99&amp;"^)"</f>
        <v/>
      </c>
      <c r="X98" s="71" t="n"/>
      <c r="Y98" s="71" t="n"/>
      <c r="Z98" s="71" t="n"/>
      <c r="AA98" s="71" t="n"/>
      <c r="AB98" s="71" t="n"/>
      <c r="AC98" s="71" t="n"/>
      <c r="AD98" s="71" t="n"/>
      <c r="AE98" s="71" t="n"/>
      <c r="AF98" s="72" t="n"/>
      <c r="AH98" s="20">
        <f>IF(A98="","",A98)</f>
        <v/>
      </c>
      <c r="AI98" s="157">
        <f>IF(E98="","",E98)</f>
        <v/>
      </c>
      <c r="AJ98" s="119" t="n"/>
      <c r="AK98" s="119" t="n"/>
      <c r="AL98" s="119" t="n"/>
      <c r="AM98" s="119" t="n"/>
      <c r="AN98" s="119" t="n"/>
      <c r="AO98" s="119" t="n"/>
      <c r="AP98" s="119" t="n"/>
      <c r="AQ98" s="119" t="n"/>
      <c r="AR98" s="119" t="n"/>
      <c r="AS98" s="119" t="n"/>
      <c r="AT98" s="119" t="n"/>
      <c r="AU98" s="119" t="n"/>
      <c r="AV98" s="119" t="n"/>
    </row>
    <row r="99">
      <c r="A99" s="9" t="inlineStr">
        <is>
          <t>덕성그린타운</t>
        </is>
      </c>
      <c r="B99" s="10" t="inlineStr">
        <is>
          <t>'95.07.</t>
        </is>
      </c>
      <c r="C99" s="134" t="n">
        <v>495</v>
      </c>
      <c r="D99" s="132" t="n">
        <v>34.5</v>
      </c>
      <c r="E99" s="133" t="n">
        <v>10</v>
      </c>
      <c r="F99" s="132" t="n">
        <v>27.4</v>
      </c>
      <c r="G99" s="17" t="n">
        <v>8</v>
      </c>
      <c r="H99" s="134" t="n">
        <v>15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계</t>
        </is>
      </c>
      <c r="T99" s="5" t="n">
        <v>34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>
      <c r="A100" s="9" t="inlineStr">
        <is>
          <t>덕성그린타운</t>
        </is>
      </c>
      <c r="B100" s="10" t="inlineStr">
        <is>
          <t>'95.07.</t>
        </is>
      </c>
      <c r="C100" s="134" t="n">
        <v>495</v>
      </c>
      <c r="D100" s="132" t="n">
        <v>49.6</v>
      </c>
      <c r="E100" s="133" t="n">
        <v>15</v>
      </c>
      <c r="F100" s="132" t="n">
        <v>39.5</v>
      </c>
      <c r="G100" s="17" t="n">
        <v>12</v>
      </c>
      <c r="H100" s="134" t="n">
        <v>15</v>
      </c>
      <c r="I100" s="135" t="n">
        <v>9000</v>
      </c>
      <c r="J100" s="135" t="inlineStr">
        <is>
          <t>14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2</v>
      </c>
      <c r="R100" s="119" t="n">
        <v>1</v>
      </c>
      <c r="S100" s="119" t="inlineStr">
        <is>
          <t>계</t>
        </is>
      </c>
      <c r="T100" s="5" t="n">
        <v>49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>
      <c r="A101" s="9" t="inlineStr">
        <is>
          <t>덕성그린타운</t>
        </is>
      </c>
      <c r="B101" s="10" t="inlineStr">
        <is>
          <t>'95.07.</t>
        </is>
      </c>
      <c r="C101" s="134" t="n">
        <v>495</v>
      </c>
      <c r="D101" s="132" t="n">
        <v>64</v>
      </c>
      <c r="E101" s="133" t="n">
        <v>19</v>
      </c>
      <c r="F101" s="132" t="n">
        <v>50</v>
      </c>
      <c r="G101" s="17" t="n">
        <v>15</v>
      </c>
      <c r="H101" s="134" t="n">
        <v>150</v>
      </c>
      <c r="I101" s="135" t="n">
        <v>12300</v>
      </c>
      <c r="J101" s="135" t="inlineStr">
        <is>
          <t>6</t>
        </is>
      </c>
      <c r="K101" s="135" t="n">
        <v>11500</v>
      </c>
      <c r="L101" s="135" t="inlineStr">
        <is>
          <t>8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2</v>
      </c>
      <c r="R101" s="119" t="n">
        <v>1</v>
      </c>
      <c r="S101" s="119" t="inlineStr">
        <is>
          <t>계</t>
        </is>
      </c>
      <c r="T101" s="5" t="n">
        <v>63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>
      <c r="A102" s="9" t="inlineStr">
        <is>
          <t>덕성그린타운</t>
        </is>
      </c>
      <c r="B102" s="10" t="inlineStr">
        <is>
          <t>'95.07.</t>
        </is>
      </c>
      <c r="C102" s="134" t="n">
        <v>495</v>
      </c>
      <c r="D102" s="132" t="n">
        <v>73.90000000000001</v>
      </c>
      <c r="E102" s="133" t="n">
        <v>22</v>
      </c>
      <c r="F102" s="132" t="n">
        <v>59.8</v>
      </c>
      <c r="G102" s="17" t="n">
        <v>18</v>
      </c>
      <c r="H102" s="134" t="n">
        <v>120</v>
      </c>
      <c r="I102" s="135" t="n">
        <v>15000</v>
      </c>
      <c r="J102" s="135" t="inlineStr">
        <is>
          <t>10</t>
        </is>
      </c>
      <c r="K102" s="135" t="n">
        <v>14500</v>
      </c>
      <c r="L102" s="135" t="inlineStr">
        <is>
          <t>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1</v>
      </c>
      <c r="S102" s="119" t="inlineStr">
        <is>
          <t>계</t>
        </is>
      </c>
      <c r="T102" s="5" t="n">
        <v>73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>
      <c r="A103" s="9" t="inlineStr">
        <is>
          <t>덕성그린타운</t>
        </is>
      </c>
      <c r="B103" s="10" t="inlineStr">
        <is>
          <t>'95.07.</t>
        </is>
      </c>
      <c r="C103" s="134" t="n">
        <v>495</v>
      </c>
      <c r="D103" s="132" t="n">
        <v>75</v>
      </c>
      <c r="E103" s="133" t="n">
        <v>23</v>
      </c>
      <c r="F103" s="132" t="n">
        <v>59.6</v>
      </c>
      <c r="G103" s="17" t="n">
        <v>18</v>
      </c>
      <c r="H103" s="134" t="n">
        <v>195</v>
      </c>
      <c r="I103" s="135" t="n">
        <v>13000</v>
      </c>
      <c r="J103" s="135" t="inlineStr">
        <is>
          <t>5</t>
        </is>
      </c>
      <c r="K103" s="135" t="n">
        <v>13000</v>
      </c>
      <c r="L103" s="135" t="inlineStr">
        <is>
          <t>10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1</v>
      </c>
      <c r="S103" s="119" t="inlineStr">
        <is>
          <t>계</t>
        </is>
      </c>
      <c r="T103" s="5" t="n">
        <v>74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>
      <c r="A104" s="9" t="n"/>
      <c r="B104" s="119" t="n"/>
      <c r="C104" s="6" t="n"/>
      <c r="D104" s="9" t="n"/>
      <c r="E104" s="14" t="n"/>
      <c r="F104" s="132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7" t="n"/>
      <c r="P104" s="137" t="n"/>
      <c r="Q104" s="133" t="n"/>
      <c r="R104" s="133" t="n"/>
      <c r="S104" s="9" t="n"/>
      <c r="T104" s="48" t="n"/>
      <c r="U104" s="9" t="n"/>
      <c r="W104" s="70">
        <f>$A$4&amp;" "&amp;A105&amp;"("&amp;B105&amp;","&amp;C105&amp;"^)"</f>
        <v/>
      </c>
      <c r="X104" s="71" t="n"/>
      <c r="Y104" s="71" t="n"/>
      <c r="Z104" s="71" t="n"/>
      <c r="AA104" s="71" t="n"/>
      <c r="AB104" s="71" t="n"/>
      <c r="AC104" s="71" t="n"/>
      <c r="AD104" s="71" t="n"/>
      <c r="AE104" s="71" t="n"/>
      <c r="AF104" s="72" t="n"/>
      <c r="AH104" s="20">
        <f>IF(A104="","",A104)</f>
        <v/>
      </c>
      <c r="AI104" s="157">
        <f>IF(E104="","",E104)</f>
        <v/>
      </c>
      <c r="AJ104" s="119" t="n"/>
      <c r="AK104" s="119" t="n"/>
      <c r="AL104" s="119" t="n"/>
      <c r="AM104" s="119" t="n"/>
      <c r="AN104" s="119" t="n"/>
      <c r="AO104" s="119" t="n"/>
      <c r="AP104" s="119" t="n"/>
      <c r="AQ104" s="119" t="n"/>
      <c r="AR104" s="119" t="n"/>
      <c r="AS104" s="119" t="n"/>
      <c r="AT104" s="119" t="n"/>
      <c r="AU104" s="119" t="n"/>
      <c r="AV104" s="119" t="n"/>
    </row>
    <row r="105">
      <c r="A105" s="9" t="inlineStr">
        <is>
          <t>효성</t>
        </is>
      </c>
      <c r="B105" s="10" t="inlineStr">
        <is>
          <t>'94.10.</t>
        </is>
      </c>
      <c r="C105" s="134" t="n">
        <v>486</v>
      </c>
      <c r="D105" s="132" t="n">
        <v>74.09999999999999</v>
      </c>
      <c r="E105" s="133" t="n">
        <v>22</v>
      </c>
      <c r="F105" s="132" t="n">
        <v>59.2</v>
      </c>
      <c r="G105" s="17" t="n">
        <v>18</v>
      </c>
      <c r="H105" s="134" t="n">
        <v>366</v>
      </c>
      <c r="I105" s="135" t="n">
        <v>13500</v>
      </c>
      <c r="J105" s="135" t="inlineStr">
        <is>
          <t>10</t>
        </is>
      </c>
      <c r="K105" s="135" t="n">
        <v>12000</v>
      </c>
      <c r="L105" s="135" t="inlineStr">
        <is>
          <t>15</t>
        </is>
      </c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1</v>
      </c>
      <c r="S105" s="119" t="inlineStr">
        <is>
          <t>계</t>
        </is>
      </c>
      <c r="T105" s="5" t="inlineStr">
        <is>
          <t>74A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>
      <c r="A106" s="9" t="inlineStr">
        <is>
          <t>효성</t>
        </is>
      </c>
      <c r="B106" s="10" t="inlineStr">
        <is>
          <t>'94.10.</t>
        </is>
      </c>
      <c r="C106" s="134" t="n">
        <v>486</v>
      </c>
      <c r="D106" s="132" t="n">
        <v>74.5</v>
      </c>
      <c r="E106" s="133" t="n">
        <v>23</v>
      </c>
      <c r="F106" s="132" t="n">
        <v>59.4</v>
      </c>
      <c r="G106" s="17" t="n">
        <v>18</v>
      </c>
      <c r="H106" s="134" t="n">
        <v>120</v>
      </c>
      <c r="I106" s="135" t="n">
        <v>13000</v>
      </c>
      <c r="J106" s="135" t="inlineStr">
        <is>
          <t>7</t>
        </is>
      </c>
      <c r="K106" s="135" t="n">
        <v>13000</v>
      </c>
      <c r="L106" s="135" t="inlineStr">
        <is>
          <t>5</t>
        </is>
      </c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2</v>
      </c>
      <c r="R106" s="119" t="n">
        <v>1</v>
      </c>
      <c r="S106" s="119" t="inlineStr">
        <is>
          <t>계</t>
        </is>
      </c>
      <c r="T106" s="5" t="inlineStr">
        <is>
          <t>74B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>
      <c r="A107" s="9" t="n"/>
      <c r="B107" s="119" t="n"/>
      <c r="C107" s="6" t="n"/>
      <c r="D107" s="9" t="n"/>
      <c r="E107" s="14" t="n"/>
      <c r="F107" s="132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7" t="n"/>
      <c r="P107" s="137" t="n"/>
      <c r="Q107" s="133" t="n"/>
      <c r="R107" s="133" t="n"/>
      <c r="S107" s="9" t="n"/>
      <c r="T107" s="48" t="n"/>
      <c r="U107" s="9" t="n"/>
      <c r="W107" s="70">
        <f>$A$4&amp;" "&amp;A108&amp;"("&amp;B108&amp;","&amp;C108&amp;"^)"</f>
        <v/>
      </c>
      <c r="X107" s="71" t="n"/>
      <c r="Y107" s="71" t="n"/>
      <c r="Z107" s="71" t="n"/>
      <c r="AA107" s="71" t="n"/>
      <c r="AB107" s="71" t="n"/>
      <c r="AC107" s="71" t="n"/>
      <c r="AD107" s="71" t="n"/>
      <c r="AE107" s="71" t="n"/>
      <c r="AF107" s="72" t="n"/>
      <c r="AH107" s="20">
        <f>IF(A107="","",A107)</f>
        <v/>
      </c>
      <c r="AI107" s="157">
        <f>IF(E107="","",E107)</f>
        <v/>
      </c>
      <c r="AJ107" s="119" t="n"/>
      <c r="AK107" s="119" t="n"/>
      <c r="AL107" s="119" t="n"/>
      <c r="AM107" s="119" t="n"/>
      <c r="AN107" s="119" t="n"/>
      <c r="AO107" s="119" t="n"/>
      <c r="AP107" s="119" t="n"/>
      <c r="AQ107" s="119" t="n"/>
      <c r="AR107" s="119" t="n"/>
      <c r="AS107" s="119" t="n"/>
      <c r="AT107" s="119" t="n"/>
      <c r="AU107" s="119" t="n"/>
      <c r="AV107" s="119" t="n"/>
    </row>
    <row r="108">
      <c r="A108" s="9" t="inlineStr">
        <is>
          <t>용암대원칸타빌</t>
        </is>
      </c>
      <c r="B108" s="10" t="inlineStr">
        <is>
          <t>'02.10.</t>
        </is>
      </c>
      <c r="C108" s="134" t="n">
        <v>233</v>
      </c>
      <c r="D108" s="132" t="n">
        <v>110.2</v>
      </c>
      <c r="E108" s="133" t="n">
        <v>33</v>
      </c>
      <c r="F108" s="132" t="n">
        <v>85</v>
      </c>
      <c r="G108" s="17" t="n">
        <v>26</v>
      </c>
      <c r="H108" s="134" t="n">
        <v>233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n">
        <v>110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>
      <c r="A109" s="9" t="n"/>
      <c r="B109" s="119" t="n"/>
      <c r="C109" s="6" t="n"/>
      <c r="D109" s="9" t="n"/>
      <c r="E109" s="14" t="n"/>
      <c r="F109" s="132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7" t="n"/>
      <c r="P109" s="137" t="n"/>
      <c r="Q109" s="133" t="n"/>
      <c r="R109" s="133" t="n"/>
      <c r="S109" s="9" t="n"/>
      <c r="T109" s="48" t="n"/>
      <c r="U109" s="9" t="n"/>
      <c r="W109" s="70">
        <f>$A$4&amp;" "&amp;A110&amp;"("&amp;B110&amp;","&amp;C110&amp;"^)"</f>
        <v/>
      </c>
      <c r="X109" s="71" t="n"/>
      <c r="Y109" s="71" t="n"/>
      <c r="Z109" s="71" t="n"/>
      <c r="AA109" s="71" t="n"/>
      <c r="AB109" s="71" t="n"/>
      <c r="AC109" s="71" t="n"/>
      <c r="AD109" s="71" t="n"/>
      <c r="AE109" s="71" t="n"/>
      <c r="AF109" s="72" t="n"/>
      <c r="AH109" s="20">
        <f>IF(A109="","",A109)</f>
        <v/>
      </c>
      <c r="AI109" s="157">
        <f>IF(E109="","",E109)</f>
        <v/>
      </c>
      <c r="AJ109" s="119" t="n"/>
      <c r="AK109" s="119" t="n"/>
      <c r="AL109" s="119" t="n"/>
      <c r="AM109" s="119" t="n"/>
      <c r="AN109" s="119" t="n"/>
      <c r="AO109" s="119" t="n"/>
      <c r="AP109" s="119" t="n"/>
      <c r="AQ109" s="119" t="n"/>
      <c r="AR109" s="119" t="n"/>
      <c r="AS109" s="119" t="n"/>
      <c r="AT109" s="119" t="n"/>
      <c r="AU109" s="119" t="n"/>
      <c r="AV109" s="119" t="n"/>
    </row>
    <row r="110">
      <c r="A110" s="9" t="inlineStr">
        <is>
          <t>용암현대3차</t>
        </is>
      </c>
      <c r="B110" s="10" t="inlineStr">
        <is>
          <t>'95.12.</t>
        </is>
      </c>
      <c r="C110" s="134" t="n">
        <v>520</v>
      </c>
      <c r="D110" s="132" t="n">
        <v>103.5</v>
      </c>
      <c r="E110" s="133" t="n">
        <v>31</v>
      </c>
      <c r="F110" s="132" t="n">
        <v>83.8</v>
      </c>
      <c r="G110" s="17" t="n">
        <v>25</v>
      </c>
      <c r="H110" s="134" t="n">
        <v>280</v>
      </c>
      <c r="I110" s="135" t="n">
        <v>22000</v>
      </c>
      <c r="J110" s="135" t="inlineStr">
        <is>
          <t>8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>
      <c r="A111" s="9" t="inlineStr">
        <is>
          <t>용암현대3차</t>
        </is>
      </c>
      <c r="B111" s="10" t="inlineStr">
        <is>
          <t>'95.12.</t>
        </is>
      </c>
      <c r="C111" s="134" t="n">
        <v>520</v>
      </c>
      <c r="D111" s="132" t="n">
        <v>120</v>
      </c>
      <c r="E111" s="133" t="n">
        <v>36</v>
      </c>
      <c r="F111" s="132" t="n">
        <v>100</v>
      </c>
      <c r="G111" s="17" t="n">
        <v>30</v>
      </c>
      <c r="H111" s="134" t="n">
        <v>180</v>
      </c>
      <c r="I111" s="135" t="n">
        <v>21000</v>
      </c>
      <c r="J111" s="135" t="inlineStr">
        <is>
          <t>7</t>
        </is>
      </c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4</v>
      </c>
      <c r="R111" s="119" t="n">
        <v>2</v>
      </c>
      <c r="S111" s="119" t="inlineStr">
        <is>
          <t>계</t>
        </is>
      </c>
      <c r="T111" s="5" t="n">
        <v>120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>
      <c r="A112" s="9" t="inlineStr">
        <is>
          <t>용암현대3차</t>
        </is>
      </c>
      <c r="B112" s="10" t="inlineStr">
        <is>
          <t>'95.12.</t>
        </is>
      </c>
      <c r="C112" s="134" t="n">
        <v>520</v>
      </c>
      <c r="D112" s="132" t="n">
        <v>156.9</v>
      </c>
      <c r="E112" s="133" t="n">
        <v>47</v>
      </c>
      <c r="F112" s="132" t="n">
        <v>133.9</v>
      </c>
      <c r="G112" s="17" t="n">
        <v>41</v>
      </c>
      <c r="H112" s="134" t="n">
        <v>60</v>
      </c>
      <c r="I112" s="135" t="n">
        <v>33000</v>
      </c>
      <c r="J112" s="135" t="inlineStr">
        <is>
          <t>13</t>
        </is>
      </c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156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628" dxfId="23">
      <formula>AV4="X"</formula>
    </cfRule>
    <cfRule type="expression" priority="1629" dxfId="22">
      <formula>AV4="후보"</formula>
    </cfRule>
  </conditionalFormatting>
  <conditionalFormatting sqref="AC1:AC2 AC4:AC6 N4:N5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:N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X6">
    <cfRule type="expression" priority="1613" dxfId="3">
      <formula>AND(IF(OR($Q6=1,$Q6=2),1,0),IF($X6&lt;=20,1,0))</formula>
    </cfRule>
    <cfRule type="expression" priority="1614" dxfId="2">
      <formula>AND(IF($Q6=2,1,0),IF($X6&lt;30,1,0))</formula>
    </cfRule>
    <cfRule type="expression" priority="1615" dxfId="1">
      <formula>AND(IF($Q6=3,1,0),IF($X6&lt;30,1,0))</formula>
    </cfRule>
    <cfRule type="expression" priority="1616" dxfId="0">
      <formula>AND(IF($Q6=3,1,IF($Q6=4,1,0)),IF($F6&lt;=85,1,0))</formula>
    </cfRule>
  </conditionalFormatting>
  <conditionalFormatting sqref="AI6">
    <cfRule type="expression" priority="1609" dxfId="3">
      <formula>AND(IF(OR($Q6=1,$Q6=2),1,0),IF($X6&lt;=20,1,0))</formula>
    </cfRule>
    <cfRule type="expression" priority="1610" dxfId="2">
      <formula>AND(IF($Q6=2,1,0),IF($X6&lt;30,1,0))</formula>
    </cfRule>
    <cfRule type="expression" priority="1611" dxfId="1">
      <formula>AND(IF($Q6=3,1,0),IF($X6&lt;30,1,0))</formula>
    </cfRule>
    <cfRule type="expression" priority="1612" dxfId="0">
      <formula>AND(IF($Q6=3,1,IF($Q6=4,1,0)),IF($F6&lt;=85,1,0))</formula>
    </cfRule>
  </conditionalFormatting>
  <conditionalFormatting sqref="AV7">
    <cfRule type="expression" priority="1607" dxfId="23">
      <formula>AV7="X"</formula>
    </cfRule>
    <cfRule type="expression" priority="1608" dxfId="22">
      <formula>AV7="후보"</formula>
    </cfRule>
  </conditionalFormatting>
  <conditionalFormatting sqref="AC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7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X7">
    <cfRule type="expression" priority="1594" dxfId="3">
      <formula>AND(IF(OR($Q7=1,$Q7=2),1,0),IF($X7&lt;=20,1,0))</formula>
    </cfRule>
    <cfRule type="expression" priority="1595" dxfId="2">
      <formula>AND(IF($Q7=2,1,0),IF($X7&lt;30,1,0))</formula>
    </cfRule>
    <cfRule type="expression" priority="1596" dxfId="1">
      <formula>AND(IF($Q7=3,1,0),IF($X7&lt;30,1,0))</formula>
    </cfRule>
    <cfRule type="expression" priority="1597" dxfId="0">
      <formula>AND(IF($Q7=3,1,IF($Q7=4,1,0)),IF($F7&lt;=85,1,0))</formula>
    </cfRule>
  </conditionalFormatting>
  <conditionalFormatting sqref="AI7">
    <cfRule type="expression" priority="1590" dxfId="3">
      <formula>AND(IF(OR($Q7=1,$Q7=2),1,0),IF($X7&lt;=20,1,0))</formula>
    </cfRule>
    <cfRule type="expression" priority="1591" dxfId="2">
      <formula>AND(IF($Q7=2,1,0),IF($X7&lt;30,1,0))</formula>
    </cfRule>
    <cfRule type="expression" priority="1592" dxfId="1">
      <formula>AND(IF($Q7=3,1,0),IF($X7&lt;30,1,0))</formula>
    </cfRule>
    <cfRule type="expression" priority="1593" dxfId="0">
      <formula>AND(IF($Q7=3,1,IF($Q7=4,1,0)),IF($F7&lt;=85,1,0))</formula>
    </cfRule>
  </conditionalFormatting>
  <conditionalFormatting sqref="AV8">
    <cfRule type="expression" priority="1588" dxfId="23">
      <formula>AV8="X"</formula>
    </cfRule>
    <cfRule type="expression" priority="1589" dxfId="22">
      <formula>AV8="후보"</formula>
    </cfRule>
  </conditionalFormatting>
  <conditionalFormatting sqref="AC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8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X8">
    <cfRule type="expression" priority="1575" dxfId="3">
      <formula>AND(IF(OR($Q8=1,$Q8=2),1,0),IF($X8&lt;=20,1,0))</formula>
    </cfRule>
    <cfRule type="expression" priority="1576" dxfId="2">
      <formula>AND(IF($Q8=2,1,0),IF($X8&lt;30,1,0))</formula>
    </cfRule>
    <cfRule type="expression" priority="1577" dxfId="1">
      <formula>AND(IF($Q8=3,1,0),IF($X8&lt;30,1,0))</formula>
    </cfRule>
    <cfRule type="expression" priority="1578" dxfId="0">
      <formula>AND(IF($Q8=3,1,IF($Q8=4,1,0)),IF($F8&lt;=85,1,0))</formula>
    </cfRule>
  </conditionalFormatting>
  <conditionalFormatting sqref="AI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AV9">
    <cfRule type="expression" priority="1569" dxfId="23">
      <formula>AV9="X"</formula>
    </cfRule>
    <cfRule type="expression" priority="1570" dxfId="22">
      <formula>AV9="후보"</formula>
    </cfRule>
  </conditionalFormatting>
  <conditionalFormatting sqref="AC9 N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 N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AV12">
    <cfRule type="expression" priority="1540" dxfId="23">
      <formula>AV12="X"</formula>
    </cfRule>
    <cfRule type="expression" priority="1541" dxfId="22">
      <formula>AV12="후보"</formula>
    </cfRule>
  </conditionalFormatting>
  <conditionalFormatting sqref="AC12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12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12">
    <cfRule type="expression" priority="1531" dxfId="3">
      <formula>AND(IF(OR($Q12=1,$Q12=2),1,0),IF($X12&lt;=20,1,0))</formula>
    </cfRule>
    <cfRule type="expression" priority="1532" dxfId="2">
      <formula>AND(IF($Q12=2,1,0),IF($X12&lt;30,1,0))</formula>
    </cfRule>
    <cfRule type="expression" priority="1533" dxfId="1">
      <formula>AND(IF($Q12=3,1,0),IF($X12&lt;30,1,0))</formula>
    </cfRule>
    <cfRule type="expression" priority="1534" dxfId="0">
      <formula>AND(IF($Q12=3,1,IF($Q12=4,1,0)),IF($F12&lt;=85,1,0))</formula>
    </cfRule>
  </conditionalFormatting>
  <conditionalFormatting sqref="X12">
    <cfRule type="expression" priority="1527" dxfId="3">
      <formula>AND(IF(OR($Q12=1,$Q12=2),1,0),IF($X12&lt;=20,1,0))</formula>
    </cfRule>
    <cfRule type="expression" priority="1528" dxfId="2">
      <formula>AND(IF($Q12=2,1,0),IF($X12&lt;30,1,0))</formula>
    </cfRule>
    <cfRule type="expression" priority="1529" dxfId="1">
      <formula>AND(IF($Q12=3,1,0),IF($X12&lt;30,1,0))</formula>
    </cfRule>
    <cfRule type="expression" priority="1530" dxfId="0">
      <formula>AND(IF($Q12=3,1,IF($Q12=4,1,0)),IF($F12&lt;=85,1,0))</formula>
    </cfRule>
  </conditionalFormatting>
  <conditionalFormatting sqref="AI12">
    <cfRule type="expression" priority="1523" dxfId="3">
      <formula>AND(IF(OR($Q12=1,$Q12=2),1,0),IF($X12&lt;=20,1,0))</formula>
    </cfRule>
    <cfRule type="expression" priority="1524" dxfId="2">
      <formula>AND(IF($Q12=2,1,0),IF($X12&lt;30,1,0))</formula>
    </cfRule>
    <cfRule type="expression" priority="1525" dxfId="1">
      <formula>AND(IF($Q12=3,1,0),IF($X12&lt;30,1,0))</formula>
    </cfRule>
    <cfRule type="expression" priority="1526" dxfId="0">
      <formula>AND(IF($Q12=3,1,IF($Q12=4,1,0)),IF($F12&lt;=85,1,0))</formula>
    </cfRule>
  </conditionalFormatting>
  <conditionalFormatting sqref="AV13">
    <cfRule type="expression" priority="1521" dxfId="23">
      <formula>AV13="X"</formula>
    </cfRule>
    <cfRule type="expression" priority="1522" dxfId="22">
      <formula>AV13="후보"</formula>
    </cfRule>
  </conditionalFormatting>
  <conditionalFormatting sqref="AC13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3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3">
    <cfRule type="expression" priority="1512" dxfId="3">
      <formula>AND(IF(OR($Q13=1,$Q13=2),1,0),IF($X13&lt;=20,1,0))</formula>
    </cfRule>
    <cfRule type="expression" priority="1513" dxfId="2">
      <formula>AND(IF($Q13=2,1,0),IF($X13&lt;30,1,0))</formula>
    </cfRule>
    <cfRule type="expression" priority="1514" dxfId="1">
      <formula>AND(IF($Q13=3,1,0),IF($X13&lt;30,1,0))</formula>
    </cfRule>
    <cfRule type="expression" priority="1515" dxfId="0">
      <formula>AND(IF($Q13=3,1,IF($Q13=4,1,0)),IF($F13&lt;=85,1,0))</formula>
    </cfRule>
  </conditionalFormatting>
  <conditionalFormatting sqref="X13">
    <cfRule type="expression" priority="1508" dxfId="3">
      <formula>AND(IF(OR($Q13=1,$Q13=2),1,0),IF($X13&lt;=20,1,0))</formula>
    </cfRule>
    <cfRule type="expression" priority="1509" dxfId="2">
      <formula>AND(IF($Q13=2,1,0),IF($X13&lt;30,1,0))</formula>
    </cfRule>
    <cfRule type="expression" priority="1510" dxfId="1">
      <formula>AND(IF($Q13=3,1,0),IF($X13&lt;30,1,0))</formula>
    </cfRule>
    <cfRule type="expression" priority="1511" dxfId="0">
      <formula>AND(IF($Q13=3,1,IF($Q13=4,1,0)),IF($F13&lt;=85,1,0))</formula>
    </cfRule>
  </conditionalFormatting>
  <conditionalFormatting sqref="AI13">
    <cfRule type="expression" priority="1504" dxfId="3">
      <formula>AND(IF(OR($Q13=1,$Q13=2),1,0),IF($X13&lt;=20,1,0))</formula>
    </cfRule>
    <cfRule type="expression" priority="1505" dxfId="2">
      <formula>AND(IF($Q13=2,1,0),IF($X13&lt;30,1,0))</formula>
    </cfRule>
    <cfRule type="expression" priority="1506" dxfId="1">
      <formula>AND(IF($Q13=3,1,0),IF($X13&lt;30,1,0))</formula>
    </cfRule>
    <cfRule type="expression" priority="1507" dxfId="0">
      <formula>AND(IF($Q13=3,1,IF($Q13=4,1,0)),IF($F13&lt;=85,1,0))</formula>
    </cfRule>
  </conditionalFormatting>
  <conditionalFormatting sqref="AV14">
    <cfRule type="expression" priority="1502" dxfId="23">
      <formula>AV14="X"</formula>
    </cfRule>
    <cfRule type="expression" priority="1503" dxfId="22">
      <formula>AV14="후보"</formula>
    </cfRule>
  </conditionalFormatting>
  <conditionalFormatting sqref="AC14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4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X14">
    <cfRule type="expression" priority="1489" dxfId="3">
      <formula>AND(IF(OR($Q14=1,$Q14=2),1,0),IF($X14&lt;=20,1,0))</formula>
    </cfRule>
    <cfRule type="expression" priority="1490" dxfId="2">
      <formula>AND(IF($Q14=2,1,0),IF($X14&lt;30,1,0))</formula>
    </cfRule>
    <cfRule type="expression" priority="1491" dxfId="1">
      <formula>AND(IF($Q14=3,1,0),IF($X14&lt;30,1,0))</formula>
    </cfRule>
    <cfRule type="expression" priority="1492" dxfId="0">
      <formula>AND(IF($Q14=3,1,IF($Q14=4,1,0)),IF($F14&lt;=85,1,0))</formula>
    </cfRule>
  </conditionalFormatting>
  <conditionalFormatting sqref="AI14">
    <cfRule type="expression" priority="1485" dxfId="3">
      <formula>AND(IF(OR($Q14=1,$Q14=2),1,0),IF($X14&lt;=20,1,0))</formula>
    </cfRule>
    <cfRule type="expression" priority="1486" dxfId="2">
      <formula>AND(IF($Q14=2,1,0),IF($X14&lt;30,1,0))</formula>
    </cfRule>
    <cfRule type="expression" priority="1487" dxfId="1">
      <formula>AND(IF($Q14=3,1,0),IF($X14&lt;30,1,0))</formula>
    </cfRule>
    <cfRule type="expression" priority="1488" dxfId="0">
      <formula>AND(IF($Q14=3,1,IF($Q14=4,1,0)),IF($F14&lt;=85,1,0))</formula>
    </cfRule>
  </conditionalFormatting>
  <conditionalFormatting sqref="AV15">
    <cfRule type="expression" priority="1483" dxfId="23">
      <formula>AV15="X"</formula>
    </cfRule>
    <cfRule type="expression" priority="1484" dxfId="22">
      <formula>AV15="후보"</formula>
    </cfRule>
  </conditionalFormatting>
  <conditionalFormatting sqref="AC15 N15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AV16">
    <cfRule type="expression" priority="1478" dxfId="23">
      <formula>AV16="X"</formula>
    </cfRule>
    <cfRule type="expression" priority="1479" dxfId="22">
      <formula>AV16="후보"</formula>
    </cfRule>
  </conditionalFormatting>
  <conditionalFormatting sqref="AC16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N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E16">
    <cfRule type="expression" priority="1469" dxfId="3">
      <formula>AND(IF(OR($Q16=1,$Q16=2),1,0),IF($X16&lt;=20,1,0))</formula>
    </cfRule>
    <cfRule type="expression" priority="1470" dxfId="2">
      <formula>AND(IF($Q16=2,1,0),IF($X16&lt;30,1,0))</formula>
    </cfRule>
    <cfRule type="expression" priority="1471" dxfId="1">
      <formula>AND(IF($Q16=3,1,0),IF($X16&lt;30,1,0))</formula>
    </cfRule>
    <cfRule type="expression" priority="1472" dxfId="0">
      <formula>AND(IF($Q16=3,1,IF($Q16=4,1,0)),IF($F16&lt;=85,1,0))</formula>
    </cfRule>
  </conditionalFormatting>
  <conditionalFormatting sqref="X16">
    <cfRule type="expression" priority="1465" dxfId="3">
      <formula>AND(IF(OR($Q16=1,$Q16=2),1,0),IF($X16&lt;=20,1,0))</formula>
    </cfRule>
    <cfRule type="expression" priority="1466" dxfId="2">
      <formula>AND(IF($Q16=2,1,0),IF($X16&lt;30,1,0))</formula>
    </cfRule>
    <cfRule type="expression" priority="1467" dxfId="1">
      <formula>AND(IF($Q16=3,1,0),IF($X16&lt;30,1,0))</formula>
    </cfRule>
    <cfRule type="expression" priority="1468" dxfId="0">
      <formula>AND(IF($Q16=3,1,IF($Q16=4,1,0)),IF($F16&lt;=85,1,0))</formula>
    </cfRule>
  </conditionalFormatting>
  <conditionalFormatting sqref="AI16">
    <cfRule type="expression" priority="1461" dxfId="3">
      <formula>AND(IF(OR($Q16=1,$Q16=2),1,0),IF($X16&lt;=20,1,0))</formula>
    </cfRule>
    <cfRule type="expression" priority="1462" dxfId="2">
      <formula>AND(IF($Q16=2,1,0),IF($X16&lt;30,1,0))</formula>
    </cfRule>
    <cfRule type="expression" priority="1463" dxfId="1">
      <formula>AND(IF($Q16=3,1,0),IF($X16&lt;30,1,0))</formula>
    </cfRule>
    <cfRule type="expression" priority="1464" dxfId="0">
      <formula>AND(IF($Q16=3,1,IF($Q16=4,1,0)),IF($F16&lt;=85,1,0))</formula>
    </cfRule>
  </conditionalFormatting>
  <conditionalFormatting sqref="AV17">
    <cfRule type="expression" priority="1459" dxfId="23">
      <formula>AV17="X"</formula>
    </cfRule>
    <cfRule type="expression" priority="1460" dxfId="22">
      <formula>AV17="후보"</formula>
    </cfRule>
  </conditionalFormatting>
  <conditionalFormatting sqref="AC17 N17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AV18">
    <cfRule type="expression" priority="1454" dxfId="23">
      <formula>AV18="X"</formula>
    </cfRule>
    <cfRule type="expression" priority="1455" dxfId="22">
      <formula>AV18="후보"</formula>
    </cfRule>
  </conditionalFormatting>
  <conditionalFormatting sqref="AC1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8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8">
    <cfRule type="expression" priority="1445" dxfId="3">
      <formula>AND(IF(OR($Q18=1,$Q18=2),1,0),IF($X18&lt;=20,1,0))</formula>
    </cfRule>
    <cfRule type="expression" priority="1446" dxfId="2">
      <formula>AND(IF($Q18=2,1,0),IF($X18&lt;30,1,0))</formula>
    </cfRule>
    <cfRule type="expression" priority="1447" dxfId="1">
      <formula>AND(IF($Q18=3,1,0),IF($X18&lt;30,1,0))</formula>
    </cfRule>
    <cfRule type="expression" priority="1448" dxfId="0">
      <formula>AND(IF($Q18=3,1,IF($Q18=4,1,0)),IF($F18&lt;=85,1,0))</formula>
    </cfRule>
  </conditionalFormatting>
  <conditionalFormatting sqref="X18">
    <cfRule type="expression" priority="1441" dxfId="3">
      <formula>AND(IF(OR($Q18=1,$Q18=2),1,0),IF($X18&lt;=20,1,0))</formula>
    </cfRule>
    <cfRule type="expression" priority="1442" dxfId="2">
      <formula>AND(IF($Q18=2,1,0),IF($X18&lt;30,1,0))</formula>
    </cfRule>
    <cfRule type="expression" priority="1443" dxfId="1">
      <formula>AND(IF($Q18=3,1,0),IF($X18&lt;30,1,0))</formula>
    </cfRule>
    <cfRule type="expression" priority="1444" dxfId="0">
      <formula>AND(IF($Q18=3,1,IF($Q18=4,1,0)),IF($F18&lt;=85,1,0))</formula>
    </cfRule>
  </conditionalFormatting>
  <conditionalFormatting sqref="AI18">
    <cfRule type="expression" priority="1437" dxfId="3">
      <formula>AND(IF(OR($Q18=1,$Q18=2),1,0),IF($X18&lt;=20,1,0))</formula>
    </cfRule>
    <cfRule type="expression" priority="1438" dxfId="2">
      <formula>AND(IF($Q18=2,1,0),IF($X18&lt;30,1,0))</formula>
    </cfRule>
    <cfRule type="expression" priority="1439" dxfId="1">
      <formula>AND(IF($Q18=3,1,0),IF($X18&lt;30,1,0))</formula>
    </cfRule>
    <cfRule type="expression" priority="1440" dxfId="0">
      <formula>AND(IF($Q18=3,1,IF($Q18=4,1,0)),IF($F18&lt;=85,1,0))</formula>
    </cfRule>
  </conditionalFormatting>
  <conditionalFormatting sqref="AV19">
    <cfRule type="expression" priority="1435" dxfId="23">
      <formula>AV19="X"</formula>
    </cfRule>
    <cfRule type="expression" priority="1436" dxfId="22">
      <formula>AV19="후보"</formula>
    </cfRule>
  </conditionalFormatting>
  <conditionalFormatting sqref="AC1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9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9">
    <cfRule type="expression" priority="1426" dxfId="3">
      <formula>AND(IF(OR($Q19=1,$Q19=2),1,0),IF($X19&lt;=20,1,0))</formula>
    </cfRule>
    <cfRule type="expression" priority="1427" dxfId="2">
      <formula>AND(IF($Q19=2,1,0),IF($X19&lt;30,1,0))</formula>
    </cfRule>
    <cfRule type="expression" priority="1428" dxfId="1">
      <formula>AND(IF($Q19=3,1,0),IF($X19&lt;30,1,0))</formula>
    </cfRule>
    <cfRule type="expression" priority="1429" dxfId="0">
      <formula>AND(IF($Q19=3,1,IF($Q19=4,1,0)),IF($F19&lt;=85,1,0))</formula>
    </cfRule>
  </conditionalFormatting>
  <conditionalFormatting sqref="X19">
    <cfRule type="expression" priority="1422" dxfId="3">
      <formula>AND(IF(OR($Q19=1,$Q19=2),1,0),IF($X19&lt;=20,1,0))</formula>
    </cfRule>
    <cfRule type="expression" priority="1423" dxfId="2">
      <formula>AND(IF($Q19=2,1,0),IF($X19&lt;30,1,0))</formula>
    </cfRule>
    <cfRule type="expression" priority="1424" dxfId="1">
      <formula>AND(IF($Q19=3,1,0),IF($X19&lt;30,1,0))</formula>
    </cfRule>
    <cfRule type="expression" priority="1425" dxfId="0">
      <formula>AND(IF($Q19=3,1,IF($Q19=4,1,0)),IF($F19&lt;=85,1,0))</formula>
    </cfRule>
  </conditionalFormatting>
  <conditionalFormatting sqref="AI19">
    <cfRule type="expression" priority="1418" dxfId="3">
      <formula>AND(IF(OR($Q19=1,$Q19=2),1,0),IF($X19&lt;=20,1,0))</formula>
    </cfRule>
    <cfRule type="expression" priority="1419" dxfId="2">
      <formula>AND(IF($Q19=2,1,0),IF($X19&lt;30,1,0))</formula>
    </cfRule>
    <cfRule type="expression" priority="1420" dxfId="1">
      <formula>AND(IF($Q19=3,1,0),IF($X19&lt;30,1,0))</formula>
    </cfRule>
    <cfRule type="expression" priority="1421" dxfId="0">
      <formula>AND(IF($Q19=3,1,IF($Q19=4,1,0)),IF($F19&lt;=85,1,0))</formula>
    </cfRule>
  </conditionalFormatting>
  <conditionalFormatting sqref="AV20">
    <cfRule type="expression" priority="1416" dxfId="23">
      <formula>AV20="X"</formula>
    </cfRule>
    <cfRule type="expression" priority="1417" dxfId="22">
      <formula>AV20="후보"</formula>
    </cfRule>
  </conditionalFormatting>
  <conditionalFormatting sqref="AC2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0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X20">
    <cfRule type="expression" priority="1403" dxfId="3">
      <formula>AND(IF(OR($Q20=1,$Q20=2),1,0),IF($X20&lt;=20,1,0))</formula>
    </cfRule>
    <cfRule type="expression" priority="1404" dxfId="2">
      <formula>AND(IF($Q20=2,1,0),IF($X20&lt;30,1,0))</formula>
    </cfRule>
    <cfRule type="expression" priority="1405" dxfId="1">
      <formula>AND(IF($Q20=3,1,0),IF($X20&lt;30,1,0))</formula>
    </cfRule>
    <cfRule type="expression" priority="1406" dxfId="0">
      <formula>AND(IF($Q20=3,1,IF($Q20=4,1,0)),IF($F20&lt;=85,1,0))</formula>
    </cfRule>
  </conditionalFormatting>
  <conditionalFormatting sqref="AI20">
    <cfRule type="expression" priority="1399" dxfId="3">
      <formula>AND(IF(OR($Q20=1,$Q20=2),1,0),IF($X20&lt;=20,1,0))</formula>
    </cfRule>
    <cfRule type="expression" priority="1400" dxfId="2">
      <formula>AND(IF($Q20=2,1,0),IF($X20&lt;30,1,0))</formula>
    </cfRule>
    <cfRule type="expression" priority="1401" dxfId="1">
      <formula>AND(IF($Q20=3,1,0),IF($X20&lt;30,1,0))</formula>
    </cfRule>
    <cfRule type="expression" priority="1402" dxfId="0">
      <formula>AND(IF($Q20=3,1,IF($Q20=4,1,0)),IF($F20&lt;=85,1,0))</formula>
    </cfRule>
  </conditionalFormatting>
  <conditionalFormatting sqref="AV21">
    <cfRule type="expression" priority="1397" dxfId="23">
      <formula>AV21="X"</formula>
    </cfRule>
    <cfRule type="expression" priority="1398" dxfId="22">
      <formula>AV21="후보"</formula>
    </cfRule>
  </conditionalFormatting>
  <conditionalFormatting sqref="AC2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1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X21">
    <cfRule type="expression" priority="1384" dxfId="3">
      <formula>AND(IF(OR($Q21=1,$Q21=2),1,0),IF($X21&lt;=20,1,0))</formula>
    </cfRule>
    <cfRule type="expression" priority="1385" dxfId="2">
      <formula>AND(IF($Q21=2,1,0),IF($X21&lt;30,1,0))</formula>
    </cfRule>
    <cfRule type="expression" priority="1386" dxfId="1">
      <formula>AND(IF($Q21=3,1,0),IF($X21&lt;30,1,0))</formula>
    </cfRule>
    <cfRule type="expression" priority="1387" dxfId="0">
      <formula>AND(IF($Q21=3,1,IF($Q21=4,1,0)),IF($F21&lt;=85,1,0))</formula>
    </cfRule>
  </conditionalFormatting>
  <conditionalFormatting sqref="AI21">
    <cfRule type="expression" priority="1380" dxfId="3">
      <formula>AND(IF(OR($Q21=1,$Q21=2),1,0),IF($X21&lt;=20,1,0))</formula>
    </cfRule>
    <cfRule type="expression" priority="1381" dxfId="2">
      <formula>AND(IF($Q21=2,1,0),IF($X21&lt;30,1,0))</formula>
    </cfRule>
    <cfRule type="expression" priority="1382" dxfId="1">
      <formula>AND(IF($Q21=3,1,0),IF($X21&lt;30,1,0))</formula>
    </cfRule>
    <cfRule type="expression" priority="1383" dxfId="0">
      <formula>AND(IF($Q21=3,1,IF($Q21=4,1,0)),IF($F21&lt;=85,1,0))</formula>
    </cfRule>
  </conditionalFormatting>
  <conditionalFormatting sqref="AV22">
    <cfRule type="expression" priority="1378" dxfId="23">
      <formula>AV22="X"</formula>
    </cfRule>
    <cfRule type="expression" priority="1379" dxfId="22">
      <formula>AV22="후보"</formula>
    </cfRule>
  </conditionalFormatting>
  <conditionalFormatting sqref="AC22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2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X22">
    <cfRule type="expression" priority="1365" dxfId="3">
      <formula>AND(IF(OR($Q22=1,$Q22=2),1,0),IF($X22&lt;=20,1,0))</formula>
    </cfRule>
    <cfRule type="expression" priority="1366" dxfId="2">
      <formula>AND(IF($Q22=2,1,0),IF($X22&lt;30,1,0))</formula>
    </cfRule>
    <cfRule type="expression" priority="1367" dxfId="1">
      <formula>AND(IF($Q22=3,1,0),IF($X22&lt;30,1,0))</formula>
    </cfRule>
    <cfRule type="expression" priority="1368" dxfId="0">
      <formula>AND(IF($Q22=3,1,IF($Q22=4,1,0)),IF($F22&lt;=85,1,0))</formula>
    </cfRule>
  </conditionalFormatting>
  <conditionalFormatting sqref="AI22">
    <cfRule type="expression" priority="1361" dxfId="3">
      <formula>AND(IF(OR($Q22=1,$Q22=2),1,0),IF($X22&lt;=20,1,0))</formula>
    </cfRule>
    <cfRule type="expression" priority="1362" dxfId="2">
      <formula>AND(IF($Q22=2,1,0),IF($X22&lt;30,1,0))</formula>
    </cfRule>
    <cfRule type="expression" priority="1363" dxfId="1">
      <formula>AND(IF($Q22=3,1,0),IF($X22&lt;30,1,0))</formula>
    </cfRule>
    <cfRule type="expression" priority="1364" dxfId="0">
      <formula>AND(IF($Q22=3,1,IF($Q22=4,1,0)),IF($F22&lt;=85,1,0))</formula>
    </cfRule>
  </conditionalFormatting>
  <conditionalFormatting sqref="AV23">
    <cfRule type="expression" priority="1359" dxfId="23">
      <formula>AV23="X"</formula>
    </cfRule>
    <cfRule type="expression" priority="1360" dxfId="22">
      <formula>AV23="후보"</formula>
    </cfRule>
  </conditionalFormatting>
  <conditionalFormatting sqref="AC23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23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X23">
    <cfRule type="expression" priority="1346" dxfId="3">
      <formula>AND(IF(OR($Q23=1,$Q23=2),1,0),IF($X23&lt;=20,1,0))</formula>
    </cfRule>
    <cfRule type="expression" priority="1347" dxfId="2">
      <formula>AND(IF($Q23=2,1,0),IF($X23&lt;30,1,0))</formula>
    </cfRule>
    <cfRule type="expression" priority="1348" dxfId="1">
      <formula>AND(IF($Q23=3,1,0),IF($X23&lt;30,1,0))</formula>
    </cfRule>
    <cfRule type="expression" priority="1349" dxfId="0">
      <formula>AND(IF($Q23=3,1,IF($Q23=4,1,0)),IF($F23&lt;=85,1,0))</formula>
    </cfRule>
  </conditionalFormatting>
  <conditionalFormatting sqref="AI23">
    <cfRule type="expression" priority="1342" dxfId="3">
      <formula>AND(IF(OR($Q23=1,$Q23=2),1,0),IF($X23&lt;=20,1,0))</formula>
    </cfRule>
    <cfRule type="expression" priority="1343" dxfId="2">
      <formula>AND(IF($Q23=2,1,0),IF($X23&lt;30,1,0))</formula>
    </cfRule>
    <cfRule type="expression" priority="1344" dxfId="1">
      <formula>AND(IF($Q23=3,1,0),IF($X23&lt;30,1,0))</formula>
    </cfRule>
    <cfRule type="expression" priority="1345" dxfId="0">
      <formula>AND(IF($Q23=3,1,IF($Q23=4,1,0)),IF($F23&lt;=85,1,0))</formula>
    </cfRule>
  </conditionalFormatting>
  <conditionalFormatting sqref="AV24">
    <cfRule type="expression" priority="1340" dxfId="23">
      <formula>AV24="X"</formula>
    </cfRule>
    <cfRule type="expression" priority="1341" dxfId="22">
      <formula>AV24="후보"</formula>
    </cfRule>
  </conditionalFormatting>
  <conditionalFormatting sqref="AC24 N24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AV25">
    <cfRule type="expression" priority="1335" dxfId="23">
      <formula>AV25="X"</formula>
    </cfRule>
    <cfRule type="expression" priority="1336" dxfId="22">
      <formula>AV25="후보"</formula>
    </cfRule>
  </conditionalFormatting>
  <conditionalFormatting sqref="AC2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N25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E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X25">
    <cfRule type="expression" priority="1322" dxfId="3">
      <formula>AND(IF(OR($Q25=1,$Q25=2),1,0),IF($X25&lt;=20,1,0))</formula>
    </cfRule>
    <cfRule type="expression" priority="1323" dxfId="2">
      <formula>AND(IF($Q25=2,1,0),IF($X25&lt;30,1,0))</formula>
    </cfRule>
    <cfRule type="expression" priority="1324" dxfId="1">
      <formula>AND(IF($Q25=3,1,0),IF($X25&lt;30,1,0))</formula>
    </cfRule>
    <cfRule type="expression" priority="1325" dxfId="0">
      <formula>AND(IF($Q25=3,1,IF($Q25=4,1,0)),IF($F25&lt;=85,1,0))</formula>
    </cfRule>
  </conditionalFormatting>
  <conditionalFormatting sqref="AI25">
    <cfRule type="expression" priority="1318" dxfId="3">
      <formula>AND(IF(OR($Q25=1,$Q25=2),1,0),IF($X25&lt;=20,1,0))</formula>
    </cfRule>
    <cfRule type="expression" priority="1319" dxfId="2">
      <formula>AND(IF($Q25=2,1,0),IF($X25&lt;30,1,0))</formula>
    </cfRule>
    <cfRule type="expression" priority="1320" dxfId="1">
      <formula>AND(IF($Q25=3,1,0),IF($X25&lt;30,1,0))</formula>
    </cfRule>
    <cfRule type="expression" priority="1321" dxfId="0">
      <formula>AND(IF($Q25=3,1,IF($Q25=4,1,0)),IF($F25&lt;=85,1,0))</formula>
    </cfRule>
  </conditionalFormatting>
  <conditionalFormatting sqref="AV26">
    <cfRule type="expression" priority="1316" dxfId="23">
      <formula>AV26="X"</formula>
    </cfRule>
    <cfRule type="expression" priority="1317" dxfId="22">
      <formula>AV26="후보"</formula>
    </cfRule>
  </conditionalFormatting>
  <conditionalFormatting sqref="AC26 N2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AV27">
    <cfRule type="expression" priority="1311" dxfId="23">
      <formula>AV27="X"</formula>
    </cfRule>
    <cfRule type="expression" priority="1312" dxfId="22">
      <formula>AV27="후보"</formula>
    </cfRule>
  </conditionalFormatting>
  <conditionalFormatting sqref="AC2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N27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E27">
    <cfRule type="expression" priority="1302" dxfId="3">
      <formula>AND(IF(OR($Q27=1,$Q27=2),1,0),IF($X27&lt;=20,1,0))</formula>
    </cfRule>
    <cfRule type="expression" priority="1303" dxfId="2">
      <formula>AND(IF($Q27=2,1,0),IF($X27&lt;30,1,0))</formula>
    </cfRule>
    <cfRule type="expression" priority="1304" dxfId="1">
      <formula>AND(IF($Q27=3,1,0),IF($X27&lt;30,1,0))</formula>
    </cfRule>
    <cfRule type="expression" priority="1305" dxfId="0">
      <formula>AND(IF($Q27=3,1,IF($Q27=4,1,0)),IF($F27&lt;=85,1,0))</formula>
    </cfRule>
  </conditionalFormatting>
  <conditionalFormatting sqref="X27">
    <cfRule type="expression" priority="1298" dxfId="3">
      <formula>AND(IF(OR($Q27=1,$Q27=2),1,0),IF($X27&lt;=20,1,0))</formula>
    </cfRule>
    <cfRule type="expression" priority="1299" dxfId="2">
      <formula>AND(IF($Q27=2,1,0),IF($X27&lt;30,1,0))</formula>
    </cfRule>
    <cfRule type="expression" priority="1300" dxfId="1">
      <formula>AND(IF($Q27=3,1,0),IF($X27&lt;30,1,0))</formula>
    </cfRule>
    <cfRule type="expression" priority="1301" dxfId="0">
      <formula>AND(IF($Q27=3,1,IF($Q27=4,1,0)),IF($F27&lt;=85,1,0))</formula>
    </cfRule>
  </conditionalFormatting>
  <conditionalFormatting sqref="AI27">
    <cfRule type="expression" priority="1294" dxfId="3">
      <formula>AND(IF(OR($Q27=1,$Q27=2),1,0),IF($X27&lt;=20,1,0))</formula>
    </cfRule>
    <cfRule type="expression" priority="1295" dxfId="2">
      <formula>AND(IF($Q27=2,1,0),IF($X27&lt;30,1,0))</formula>
    </cfRule>
    <cfRule type="expression" priority="1296" dxfId="1">
      <formula>AND(IF($Q27=3,1,0),IF($X27&lt;30,1,0))</formula>
    </cfRule>
    <cfRule type="expression" priority="1297" dxfId="0">
      <formula>AND(IF($Q27=3,1,IF($Q27=4,1,0)),IF($F27&lt;=85,1,0))</formula>
    </cfRule>
  </conditionalFormatting>
  <conditionalFormatting sqref="AV28">
    <cfRule type="expression" priority="1292" dxfId="23">
      <formula>AV28="X"</formula>
    </cfRule>
    <cfRule type="expression" priority="1293" dxfId="22">
      <formula>AV28="후보"</formula>
    </cfRule>
  </conditionalFormatting>
  <conditionalFormatting sqref="AC2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N28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E28">
    <cfRule type="expression" priority="1283" dxfId="3">
      <formula>AND(IF(OR($Q28=1,$Q28=2),1,0),IF($X28&lt;=20,1,0))</formula>
    </cfRule>
    <cfRule type="expression" priority="1284" dxfId="2">
      <formula>AND(IF($Q28=2,1,0),IF($X28&lt;30,1,0))</formula>
    </cfRule>
    <cfRule type="expression" priority="1285" dxfId="1">
      <formula>AND(IF($Q28=3,1,0),IF($X28&lt;30,1,0))</formula>
    </cfRule>
    <cfRule type="expression" priority="1286" dxfId="0">
      <formula>AND(IF($Q28=3,1,IF($Q28=4,1,0)),IF($F28&lt;=85,1,0))</formula>
    </cfRule>
  </conditionalFormatting>
  <conditionalFormatting sqref="X28">
    <cfRule type="expression" priority="1279" dxfId="3">
      <formula>AND(IF(OR($Q28=1,$Q28=2),1,0),IF($X28&lt;=20,1,0))</formula>
    </cfRule>
    <cfRule type="expression" priority="1280" dxfId="2">
      <formula>AND(IF($Q28=2,1,0),IF($X28&lt;30,1,0))</formula>
    </cfRule>
    <cfRule type="expression" priority="1281" dxfId="1">
      <formula>AND(IF($Q28=3,1,0),IF($X28&lt;30,1,0))</formula>
    </cfRule>
    <cfRule type="expression" priority="1282" dxfId="0">
      <formula>AND(IF($Q28=3,1,IF($Q28=4,1,0)),IF($F28&lt;=85,1,0))</formula>
    </cfRule>
  </conditionalFormatting>
  <conditionalFormatting sqref="AI28">
    <cfRule type="expression" priority="1275" dxfId="3">
      <formula>AND(IF(OR($Q28=1,$Q28=2),1,0),IF($X28&lt;=20,1,0))</formula>
    </cfRule>
    <cfRule type="expression" priority="1276" dxfId="2">
      <formula>AND(IF($Q28=2,1,0),IF($X28&lt;30,1,0))</formula>
    </cfRule>
    <cfRule type="expression" priority="1277" dxfId="1">
      <formula>AND(IF($Q28=3,1,0),IF($X28&lt;30,1,0))</formula>
    </cfRule>
    <cfRule type="expression" priority="1278" dxfId="0">
      <formula>AND(IF($Q28=3,1,IF($Q28=4,1,0)),IF($F28&lt;=85,1,0))</formula>
    </cfRule>
  </conditionalFormatting>
  <conditionalFormatting sqref="AV29">
    <cfRule type="expression" priority="1273" dxfId="23">
      <formula>AV29="X"</formula>
    </cfRule>
    <cfRule type="expression" priority="1274" dxfId="22">
      <formula>AV29="후보"</formula>
    </cfRule>
  </conditionalFormatting>
  <conditionalFormatting sqref="AC29 N2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AV30">
    <cfRule type="expression" priority="1268" dxfId="23">
      <formula>AV30="X"</formula>
    </cfRule>
    <cfRule type="expression" priority="1269" dxfId="22">
      <formula>AV30="후보"</formula>
    </cfRule>
  </conditionalFormatting>
  <conditionalFormatting sqref="AC3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3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30">
    <cfRule type="expression" priority="1259" dxfId="3">
      <formula>AND(IF(OR($Q30=1,$Q30=2),1,0),IF($X30&lt;=20,1,0))</formula>
    </cfRule>
    <cfRule type="expression" priority="1260" dxfId="2">
      <formula>AND(IF($Q30=2,1,0),IF($X30&lt;30,1,0))</formula>
    </cfRule>
    <cfRule type="expression" priority="1261" dxfId="1">
      <formula>AND(IF($Q30=3,1,0),IF($X30&lt;30,1,0))</formula>
    </cfRule>
    <cfRule type="expression" priority="1262" dxfId="0">
      <formula>AND(IF($Q30=3,1,IF($Q30=4,1,0)),IF($F30&lt;=85,1,0))</formula>
    </cfRule>
  </conditionalFormatting>
  <conditionalFormatting sqref="X30">
    <cfRule type="expression" priority="1255" dxfId="3">
      <formula>AND(IF(OR($Q30=1,$Q30=2),1,0),IF($X30&lt;=20,1,0))</formula>
    </cfRule>
    <cfRule type="expression" priority="1256" dxfId="2">
      <formula>AND(IF($Q30=2,1,0),IF($X30&lt;30,1,0))</formula>
    </cfRule>
    <cfRule type="expression" priority="1257" dxfId="1">
      <formula>AND(IF($Q30=3,1,0),IF($X30&lt;30,1,0))</formula>
    </cfRule>
    <cfRule type="expression" priority="1258" dxfId="0">
      <formula>AND(IF($Q30=3,1,IF($Q30=4,1,0)),IF($F30&lt;=85,1,0))</formula>
    </cfRule>
  </conditionalFormatting>
  <conditionalFormatting sqref="AI30">
    <cfRule type="expression" priority="1251" dxfId="3">
      <formula>AND(IF(OR($Q30=1,$Q30=2),1,0),IF($X30&lt;=20,1,0))</formula>
    </cfRule>
    <cfRule type="expression" priority="1252" dxfId="2">
      <formula>AND(IF($Q30=2,1,0),IF($X30&lt;30,1,0))</formula>
    </cfRule>
    <cfRule type="expression" priority="1253" dxfId="1">
      <formula>AND(IF($Q30=3,1,0),IF($X30&lt;30,1,0))</formula>
    </cfRule>
    <cfRule type="expression" priority="1254" dxfId="0">
      <formula>AND(IF($Q30=3,1,IF($Q30=4,1,0)),IF($F30&lt;=85,1,0))</formula>
    </cfRule>
  </conditionalFormatting>
  <conditionalFormatting sqref="AV31">
    <cfRule type="expression" priority="1249" dxfId="23">
      <formula>AV31="X"</formula>
    </cfRule>
    <cfRule type="expression" priority="1250" dxfId="22">
      <formula>AV31="후보"</formula>
    </cfRule>
  </conditionalFormatting>
  <conditionalFormatting sqref="AC3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3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31">
    <cfRule type="expression" priority="1240" dxfId="3">
      <formula>AND(IF(OR($Q31=1,$Q31=2),1,0),IF($X31&lt;=20,1,0))</formula>
    </cfRule>
    <cfRule type="expression" priority="1241" dxfId="2">
      <formula>AND(IF($Q31=2,1,0),IF($X31&lt;30,1,0))</formula>
    </cfRule>
    <cfRule type="expression" priority="1242" dxfId="1">
      <formula>AND(IF($Q31=3,1,0),IF($X31&lt;30,1,0))</formula>
    </cfRule>
    <cfRule type="expression" priority="1243" dxfId="0">
      <formula>AND(IF($Q31=3,1,IF($Q31=4,1,0)),IF($F31&lt;=85,1,0))</formula>
    </cfRule>
  </conditionalFormatting>
  <conditionalFormatting sqref="X31">
    <cfRule type="expression" priority="1236" dxfId="3">
      <formula>AND(IF(OR($Q31=1,$Q31=2),1,0),IF($X31&lt;=20,1,0))</formula>
    </cfRule>
    <cfRule type="expression" priority="1237" dxfId="2">
      <formula>AND(IF($Q31=2,1,0),IF($X31&lt;30,1,0))</formula>
    </cfRule>
    <cfRule type="expression" priority="1238" dxfId="1">
      <formula>AND(IF($Q31=3,1,0),IF($X31&lt;30,1,0))</formula>
    </cfRule>
    <cfRule type="expression" priority="1239" dxfId="0">
      <formula>AND(IF($Q31=3,1,IF($Q31=4,1,0)),IF($F31&lt;=85,1,0))</formula>
    </cfRule>
  </conditionalFormatting>
  <conditionalFormatting sqref="AI31">
    <cfRule type="expression" priority="1232" dxfId="3">
      <formula>AND(IF(OR($Q31=1,$Q31=2),1,0),IF($X31&lt;=20,1,0))</formula>
    </cfRule>
    <cfRule type="expression" priority="1233" dxfId="2">
      <formula>AND(IF($Q31=2,1,0),IF($X31&lt;30,1,0))</formula>
    </cfRule>
    <cfRule type="expression" priority="1234" dxfId="1">
      <formula>AND(IF($Q31=3,1,0),IF($X31&lt;30,1,0))</formula>
    </cfRule>
    <cfRule type="expression" priority="1235" dxfId="0">
      <formula>AND(IF($Q31=3,1,IF($Q31=4,1,0)),IF($F31&lt;=85,1,0))</formula>
    </cfRule>
  </conditionalFormatting>
  <conditionalFormatting sqref="AV32">
    <cfRule type="expression" priority="1230" dxfId="23">
      <formula>AV32="X"</formula>
    </cfRule>
    <cfRule type="expression" priority="1231" dxfId="22">
      <formula>AV32="후보"</formula>
    </cfRule>
  </conditionalFormatting>
  <conditionalFormatting sqref="AC3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N32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E32">
    <cfRule type="expression" priority="1221" dxfId="3">
      <formula>AND(IF(OR($Q32=1,$Q32=2),1,0),IF($X32&lt;=20,1,0))</formula>
    </cfRule>
    <cfRule type="expression" priority="1222" dxfId="2">
      <formula>AND(IF($Q32=2,1,0),IF($X32&lt;30,1,0))</formula>
    </cfRule>
    <cfRule type="expression" priority="1223" dxfId="1">
      <formula>AND(IF($Q32=3,1,0),IF($X32&lt;30,1,0))</formula>
    </cfRule>
    <cfRule type="expression" priority="1224" dxfId="0">
      <formula>AND(IF($Q32=3,1,IF($Q32=4,1,0)),IF($F32&lt;=85,1,0))</formula>
    </cfRule>
  </conditionalFormatting>
  <conditionalFormatting sqref="X32">
    <cfRule type="expression" priority="1217" dxfId="3">
      <formula>AND(IF(OR($Q32=1,$Q32=2),1,0),IF($X32&lt;=20,1,0))</formula>
    </cfRule>
    <cfRule type="expression" priority="1218" dxfId="2">
      <formula>AND(IF($Q32=2,1,0),IF($X32&lt;30,1,0))</formula>
    </cfRule>
    <cfRule type="expression" priority="1219" dxfId="1">
      <formula>AND(IF($Q32=3,1,0),IF($X32&lt;30,1,0))</formula>
    </cfRule>
    <cfRule type="expression" priority="1220" dxfId="0">
      <formula>AND(IF($Q32=3,1,IF($Q32=4,1,0)),IF($F32&lt;=85,1,0))</formula>
    </cfRule>
  </conditionalFormatting>
  <conditionalFormatting sqref="AI32">
    <cfRule type="expression" priority="1213" dxfId="3">
      <formula>AND(IF(OR($Q32=1,$Q32=2),1,0),IF($X32&lt;=20,1,0))</formula>
    </cfRule>
    <cfRule type="expression" priority="1214" dxfId="2">
      <formula>AND(IF($Q32=2,1,0),IF($X32&lt;30,1,0))</formula>
    </cfRule>
    <cfRule type="expression" priority="1215" dxfId="1">
      <formula>AND(IF($Q32=3,1,0),IF($X32&lt;30,1,0))</formula>
    </cfRule>
    <cfRule type="expression" priority="1216" dxfId="0">
      <formula>AND(IF($Q32=3,1,IF($Q32=4,1,0)),IF($F32&lt;=85,1,0))</formula>
    </cfRule>
  </conditionalFormatting>
  <conditionalFormatting sqref="AV33">
    <cfRule type="expression" priority="1211" dxfId="23">
      <formula>AV33="X"</formula>
    </cfRule>
    <cfRule type="expression" priority="1212" dxfId="22">
      <formula>AV33="후보"</formula>
    </cfRule>
  </conditionalFormatting>
  <conditionalFormatting sqref="AC3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N33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E33">
    <cfRule type="expression" priority="1202" dxfId="3">
      <formula>AND(IF(OR($Q33=1,$Q33=2),1,0),IF($X33&lt;=20,1,0))</formula>
    </cfRule>
    <cfRule type="expression" priority="1203" dxfId="2">
      <formula>AND(IF($Q33=2,1,0),IF($X33&lt;30,1,0))</formula>
    </cfRule>
    <cfRule type="expression" priority="1204" dxfId="1">
      <formula>AND(IF($Q33=3,1,0),IF($X33&lt;30,1,0))</formula>
    </cfRule>
    <cfRule type="expression" priority="1205" dxfId="0">
      <formula>AND(IF($Q33=3,1,IF($Q33=4,1,0)),IF($F33&lt;=85,1,0))</formula>
    </cfRule>
  </conditionalFormatting>
  <conditionalFormatting sqref="X33">
    <cfRule type="expression" priority="1198" dxfId="3">
      <formula>AND(IF(OR($Q33=1,$Q33=2),1,0),IF($X33&lt;=20,1,0))</formula>
    </cfRule>
    <cfRule type="expression" priority="1199" dxfId="2">
      <formula>AND(IF($Q33=2,1,0),IF($X33&lt;30,1,0))</formula>
    </cfRule>
    <cfRule type="expression" priority="1200" dxfId="1">
      <formula>AND(IF($Q33=3,1,0),IF($X33&lt;30,1,0))</formula>
    </cfRule>
    <cfRule type="expression" priority="1201" dxfId="0">
      <formula>AND(IF($Q33=3,1,IF($Q33=4,1,0)),IF($F33&lt;=85,1,0))</formula>
    </cfRule>
  </conditionalFormatting>
  <conditionalFormatting sqref="AI33">
    <cfRule type="expression" priority="1194" dxfId="3">
      <formula>AND(IF(OR($Q33=1,$Q33=2),1,0),IF($X33&lt;=20,1,0))</formula>
    </cfRule>
    <cfRule type="expression" priority="1195" dxfId="2">
      <formula>AND(IF($Q33=2,1,0),IF($X33&lt;30,1,0))</formula>
    </cfRule>
    <cfRule type="expression" priority="1196" dxfId="1">
      <formula>AND(IF($Q33=3,1,0),IF($X33&lt;30,1,0))</formula>
    </cfRule>
    <cfRule type="expression" priority="1197" dxfId="0">
      <formula>AND(IF($Q33=3,1,IF($Q33=4,1,0)),IF($F33&lt;=85,1,0))</formula>
    </cfRule>
  </conditionalFormatting>
  <conditionalFormatting sqref="AV34">
    <cfRule type="expression" priority="1192" dxfId="23">
      <formula>AV34="X"</formula>
    </cfRule>
    <cfRule type="expression" priority="1193" dxfId="22">
      <formula>AV34="후보"</formula>
    </cfRule>
  </conditionalFormatting>
  <conditionalFormatting sqref="AC3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N34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E34">
    <cfRule type="expression" priority="1183" dxfId="3">
      <formula>AND(IF(OR($Q34=1,$Q34=2),1,0),IF($X34&lt;=20,1,0))</formula>
    </cfRule>
    <cfRule type="expression" priority="1184" dxfId="2">
      <formula>AND(IF($Q34=2,1,0),IF($X34&lt;30,1,0))</formula>
    </cfRule>
    <cfRule type="expression" priority="1185" dxfId="1">
      <formula>AND(IF($Q34=3,1,0),IF($X34&lt;30,1,0))</formula>
    </cfRule>
    <cfRule type="expression" priority="1186" dxfId="0">
      <formula>AND(IF($Q34=3,1,IF($Q34=4,1,0)),IF($F34&lt;=85,1,0))</formula>
    </cfRule>
  </conditionalFormatting>
  <conditionalFormatting sqref="X34">
    <cfRule type="expression" priority="1179" dxfId="3">
      <formula>AND(IF(OR($Q34=1,$Q34=2),1,0),IF($X34&lt;=20,1,0))</formula>
    </cfRule>
    <cfRule type="expression" priority="1180" dxfId="2">
      <formula>AND(IF($Q34=2,1,0),IF($X34&lt;30,1,0))</formula>
    </cfRule>
    <cfRule type="expression" priority="1181" dxfId="1">
      <formula>AND(IF($Q34=3,1,0),IF($X34&lt;30,1,0))</formula>
    </cfRule>
    <cfRule type="expression" priority="1182" dxfId="0">
      <formula>AND(IF($Q34=3,1,IF($Q34=4,1,0)),IF($F34&lt;=85,1,0))</formula>
    </cfRule>
  </conditionalFormatting>
  <conditionalFormatting sqref="AI34">
    <cfRule type="expression" priority="1175" dxfId="3">
      <formula>AND(IF(OR($Q34=1,$Q34=2),1,0),IF($X34&lt;=20,1,0))</formula>
    </cfRule>
    <cfRule type="expression" priority="1176" dxfId="2">
      <formula>AND(IF($Q34=2,1,0),IF($X34&lt;30,1,0))</formula>
    </cfRule>
    <cfRule type="expression" priority="1177" dxfId="1">
      <formula>AND(IF($Q34=3,1,0),IF($X34&lt;30,1,0))</formula>
    </cfRule>
    <cfRule type="expression" priority="1178" dxfId="0">
      <formula>AND(IF($Q34=3,1,IF($Q34=4,1,0)),IF($F34&lt;=85,1,0))</formula>
    </cfRule>
  </conditionalFormatting>
  <conditionalFormatting sqref="AV35">
    <cfRule type="expression" priority="1173" dxfId="23">
      <formula>AV35="X"</formula>
    </cfRule>
    <cfRule type="expression" priority="1174" dxfId="22">
      <formula>AV35="후보"</formula>
    </cfRule>
  </conditionalFormatting>
  <conditionalFormatting sqref="AC3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N35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E35">
    <cfRule type="expression" priority="1164" dxfId="3">
      <formula>AND(IF(OR($Q35=1,$Q35=2),1,0),IF($X35&lt;=20,1,0))</formula>
    </cfRule>
    <cfRule type="expression" priority="1165" dxfId="2">
      <formula>AND(IF($Q35=2,1,0),IF($X35&lt;30,1,0))</formula>
    </cfRule>
    <cfRule type="expression" priority="1166" dxfId="1">
      <formula>AND(IF($Q35=3,1,0),IF($X35&lt;30,1,0))</formula>
    </cfRule>
    <cfRule type="expression" priority="1167" dxfId="0">
      <formula>AND(IF($Q35=3,1,IF($Q35=4,1,0)),IF($F35&lt;=85,1,0))</formula>
    </cfRule>
  </conditionalFormatting>
  <conditionalFormatting sqref="X35">
    <cfRule type="expression" priority="1160" dxfId="3">
      <formula>AND(IF(OR($Q35=1,$Q35=2),1,0),IF($X35&lt;=20,1,0))</formula>
    </cfRule>
    <cfRule type="expression" priority="1161" dxfId="2">
      <formula>AND(IF($Q35=2,1,0),IF($X35&lt;30,1,0))</formula>
    </cfRule>
    <cfRule type="expression" priority="1162" dxfId="1">
      <formula>AND(IF($Q35=3,1,0),IF($X35&lt;30,1,0))</formula>
    </cfRule>
    <cfRule type="expression" priority="1163" dxfId="0">
      <formula>AND(IF($Q35=3,1,IF($Q35=4,1,0)),IF($F35&lt;=85,1,0))</formula>
    </cfRule>
  </conditionalFormatting>
  <conditionalFormatting sqref="AI35">
    <cfRule type="expression" priority="1156" dxfId="3">
      <formula>AND(IF(OR($Q35=1,$Q35=2),1,0),IF($X35&lt;=20,1,0))</formula>
    </cfRule>
    <cfRule type="expression" priority="1157" dxfId="2">
      <formula>AND(IF($Q35=2,1,0),IF($X35&lt;30,1,0))</formula>
    </cfRule>
    <cfRule type="expression" priority="1158" dxfId="1">
      <formula>AND(IF($Q35=3,1,0),IF($X35&lt;30,1,0))</formula>
    </cfRule>
    <cfRule type="expression" priority="1159" dxfId="0">
      <formula>AND(IF($Q35=3,1,IF($Q35=4,1,0)),IF($F35&lt;=85,1,0))</formula>
    </cfRule>
  </conditionalFormatting>
  <conditionalFormatting sqref="AV36">
    <cfRule type="expression" priority="1154" dxfId="23">
      <formula>AV36="X"</formula>
    </cfRule>
    <cfRule type="expression" priority="1155" dxfId="22">
      <formula>AV36="후보"</formula>
    </cfRule>
  </conditionalFormatting>
  <conditionalFormatting sqref="AC36 N3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AV37">
    <cfRule type="expression" priority="1149" dxfId="23">
      <formula>AV37="X"</formula>
    </cfRule>
    <cfRule type="expression" priority="1150" dxfId="22">
      <formula>AV37="후보"</formula>
    </cfRule>
  </conditionalFormatting>
  <conditionalFormatting sqref="AC3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N3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E37">
    <cfRule type="expression" priority="1140" dxfId="3">
      <formula>AND(IF(OR($Q37=1,$Q37=2),1,0),IF($X37&lt;=20,1,0))</formula>
    </cfRule>
    <cfRule type="expression" priority="1141" dxfId="2">
      <formula>AND(IF($Q37=2,1,0),IF($X37&lt;30,1,0))</formula>
    </cfRule>
    <cfRule type="expression" priority="1142" dxfId="1">
      <formula>AND(IF($Q37=3,1,0),IF($X37&lt;30,1,0))</formula>
    </cfRule>
    <cfRule type="expression" priority="1143" dxfId="0">
      <formula>AND(IF($Q37=3,1,IF($Q37=4,1,0)),IF($F37&lt;=85,1,0))</formula>
    </cfRule>
  </conditionalFormatting>
  <conditionalFormatting sqref="X37">
    <cfRule type="expression" priority="1136" dxfId="3">
      <formula>AND(IF(OR($Q37=1,$Q37=2),1,0),IF($X37&lt;=20,1,0))</formula>
    </cfRule>
    <cfRule type="expression" priority="1137" dxfId="2">
      <formula>AND(IF($Q37=2,1,0),IF($X37&lt;30,1,0))</formula>
    </cfRule>
    <cfRule type="expression" priority="1138" dxfId="1">
      <formula>AND(IF($Q37=3,1,0),IF($X37&lt;30,1,0))</formula>
    </cfRule>
    <cfRule type="expression" priority="1139" dxfId="0">
      <formula>AND(IF($Q37=3,1,IF($Q37=4,1,0)),IF($F37&lt;=85,1,0))</formula>
    </cfRule>
  </conditionalFormatting>
  <conditionalFormatting sqref="AI37">
    <cfRule type="expression" priority="1132" dxfId="3">
      <formula>AND(IF(OR($Q37=1,$Q37=2),1,0),IF($X37&lt;=20,1,0))</formula>
    </cfRule>
    <cfRule type="expression" priority="1133" dxfId="2">
      <formula>AND(IF($Q37=2,1,0),IF($X37&lt;30,1,0))</formula>
    </cfRule>
    <cfRule type="expression" priority="1134" dxfId="1">
      <formula>AND(IF($Q37=3,1,0),IF($X37&lt;30,1,0))</formula>
    </cfRule>
    <cfRule type="expression" priority="1135" dxfId="0">
      <formula>AND(IF($Q37=3,1,IF($Q37=4,1,0)),IF($F37&lt;=85,1,0))</formula>
    </cfRule>
  </conditionalFormatting>
  <conditionalFormatting sqref="AV38">
    <cfRule type="expression" priority="1130" dxfId="23">
      <formula>AV38="X"</formula>
    </cfRule>
    <cfRule type="expression" priority="1131" dxfId="22">
      <formula>AV38="후보"</formula>
    </cfRule>
  </conditionalFormatting>
  <conditionalFormatting sqref="AC3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N38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E38">
    <cfRule type="expression" priority="1121" dxfId="3">
      <formula>AND(IF(OR($Q38=1,$Q38=2),1,0),IF($X38&lt;=20,1,0))</formula>
    </cfRule>
    <cfRule type="expression" priority="1122" dxfId="2">
      <formula>AND(IF($Q38=2,1,0),IF($X38&lt;30,1,0))</formula>
    </cfRule>
    <cfRule type="expression" priority="1123" dxfId="1">
      <formula>AND(IF($Q38=3,1,0),IF($X38&lt;30,1,0))</formula>
    </cfRule>
    <cfRule type="expression" priority="1124" dxfId="0">
      <formula>AND(IF($Q38=3,1,IF($Q38=4,1,0)),IF($F38&lt;=85,1,0))</formula>
    </cfRule>
  </conditionalFormatting>
  <conditionalFormatting sqref="X38">
    <cfRule type="expression" priority="1117" dxfId="3">
      <formula>AND(IF(OR($Q38=1,$Q38=2),1,0),IF($X38&lt;=20,1,0))</formula>
    </cfRule>
    <cfRule type="expression" priority="1118" dxfId="2">
      <formula>AND(IF($Q38=2,1,0),IF($X38&lt;30,1,0))</formula>
    </cfRule>
    <cfRule type="expression" priority="1119" dxfId="1">
      <formula>AND(IF($Q38=3,1,0),IF($X38&lt;30,1,0))</formula>
    </cfRule>
    <cfRule type="expression" priority="1120" dxfId="0">
      <formula>AND(IF($Q38=3,1,IF($Q38=4,1,0)),IF($F38&lt;=85,1,0))</formula>
    </cfRule>
  </conditionalFormatting>
  <conditionalFormatting sqref="AI38">
    <cfRule type="expression" priority="1113" dxfId="3">
      <formula>AND(IF(OR($Q38=1,$Q38=2),1,0),IF($X38&lt;=20,1,0))</formula>
    </cfRule>
    <cfRule type="expression" priority="1114" dxfId="2">
      <formula>AND(IF($Q38=2,1,0),IF($X38&lt;30,1,0))</formula>
    </cfRule>
    <cfRule type="expression" priority="1115" dxfId="1">
      <formula>AND(IF($Q38=3,1,0),IF($X38&lt;30,1,0))</formula>
    </cfRule>
    <cfRule type="expression" priority="1116" dxfId="0">
      <formula>AND(IF($Q38=3,1,IF($Q38=4,1,0)),IF($F38&lt;=85,1,0))</formula>
    </cfRule>
  </conditionalFormatting>
  <conditionalFormatting sqref="AV39">
    <cfRule type="expression" priority="1111" dxfId="23">
      <formula>AV39="X"</formula>
    </cfRule>
    <cfRule type="expression" priority="1112" dxfId="22">
      <formula>AV39="후보"</formula>
    </cfRule>
  </conditionalFormatting>
  <conditionalFormatting sqref="AC3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N39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E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X39">
    <cfRule type="expression" priority="1098" dxfId="3">
      <formula>AND(IF(OR($Q39=1,$Q39=2),1,0),IF($X39&lt;=20,1,0))</formula>
    </cfRule>
    <cfRule type="expression" priority="1099" dxfId="2">
      <formula>AND(IF($Q39=2,1,0),IF($X39&lt;30,1,0))</formula>
    </cfRule>
    <cfRule type="expression" priority="1100" dxfId="1">
      <formula>AND(IF($Q39=3,1,0),IF($X39&lt;30,1,0))</formula>
    </cfRule>
    <cfRule type="expression" priority="1101" dxfId="0">
      <formula>AND(IF($Q39=3,1,IF($Q39=4,1,0)),IF($F39&lt;=85,1,0))</formula>
    </cfRule>
  </conditionalFormatting>
  <conditionalFormatting sqref="AI39">
    <cfRule type="expression" priority="1094" dxfId="3">
      <formula>AND(IF(OR($Q39=1,$Q39=2),1,0),IF($X39&lt;=20,1,0))</formula>
    </cfRule>
    <cfRule type="expression" priority="1095" dxfId="2">
      <formula>AND(IF($Q39=2,1,0),IF($X39&lt;30,1,0))</formula>
    </cfRule>
    <cfRule type="expression" priority="1096" dxfId="1">
      <formula>AND(IF($Q39=3,1,0),IF($X39&lt;30,1,0))</formula>
    </cfRule>
    <cfRule type="expression" priority="1097" dxfId="0">
      <formula>AND(IF($Q39=3,1,IF($Q39=4,1,0)),IF($F39&lt;=85,1,0))</formula>
    </cfRule>
  </conditionalFormatting>
  <conditionalFormatting sqref="AV40">
    <cfRule type="expression" priority="1092" dxfId="23">
      <formula>AV40="X"</formula>
    </cfRule>
    <cfRule type="expression" priority="1093" dxfId="22">
      <formula>AV40="후보"</formula>
    </cfRule>
  </conditionalFormatting>
  <conditionalFormatting sqref="AC4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N40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E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X40">
    <cfRule type="expression" priority="1079" dxfId="3">
      <formula>AND(IF(OR($Q40=1,$Q40=2),1,0),IF($X40&lt;=20,1,0))</formula>
    </cfRule>
    <cfRule type="expression" priority="1080" dxfId="2">
      <formula>AND(IF($Q40=2,1,0),IF($X40&lt;30,1,0))</formula>
    </cfRule>
    <cfRule type="expression" priority="1081" dxfId="1">
      <formula>AND(IF($Q40=3,1,0),IF($X40&lt;30,1,0))</formula>
    </cfRule>
    <cfRule type="expression" priority="1082" dxfId="0">
      <formula>AND(IF($Q40=3,1,IF($Q40=4,1,0)),IF($F40&lt;=85,1,0))</formula>
    </cfRule>
  </conditionalFormatting>
  <conditionalFormatting sqref="AI40">
    <cfRule type="expression" priority="1075" dxfId="3">
      <formula>AND(IF(OR($Q40=1,$Q40=2),1,0),IF($X40&lt;=20,1,0))</formula>
    </cfRule>
    <cfRule type="expression" priority="1076" dxfId="2">
      <formula>AND(IF($Q40=2,1,0),IF($X40&lt;30,1,0))</formula>
    </cfRule>
    <cfRule type="expression" priority="1077" dxfId="1">
      <formula>AND(IF($Q40=3,1,0),IF($X40&lt;30,1,0))</formula>
    </cfRule>
    <cfRule type="expression" priority="1078" dxfId="0">
      <formula>AND(IF($Q40=3,1,IF($Q40=4,1,0)),IF($F40&lt;=85,1,0))</formula>
    </cfRule>
  </conditionalFormatting>
  <conditionalFormatting sqref="AV41">
    <cfRule type="expression" priority="1073" dxfId="23">
      <formula>AV41="X"</formula>
    </cfRule>
    <cfRule type="expression" priority="1074" dxfId="22">
      <formula>AV41="후보"</formula>
    </cfRule>
  </conditionalFormatting>
  <conditionalFormatting sqref="AC41 N4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AV42">
    <cfRule type="expression" priority="1068" dxfId="23">
      <formula>AV42="X"</formula>
    </cfRule>
    <cfRule type="expression" priority="1069" dxfId="22">
      <formula>AV42="후보"</formula>
    </cfRule>
  </conditionalFormatting>
  <conditionalFormatting sqref="AC4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N42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E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X42">
    <cfRule type="expression" priority="1055" dxfId="3">
      <formula>AND(IF(OR($Q42=1,$Q42=2),1,0),IF($X42&lt;=20,1,0))</formula>
    </cfRule>
    <cfRule type="expression" priority="1056" dxfId="2">
      <formula>AND(IF($Q42=2,1,0),IF($X42&lt;30,1,0))</formula>
    </cfRule>
    <cfRule type="expression" priority="1057" dxfId="1">
      <formula>AND(IF($Q42=3,1,0),IF($X42&lt;30,1,0))</formula>
    </cfRule>
    <cfRule type="expression" priority="1058" dxfId="0">
      <formula>AND(IF($Q42=3,1,IF($Q42=4,1,0)),IF($F42&lt;=85,1,0))</formula>
    </cfRule>
  </conditionalFormatting>
  <conditionalFormatting sqref="AI42">
    <cfRule type="expression" priority="1051" dxfId="3">
      <formula>AND(IF(OR($Q42=1,$Q42=2),1,0),IF($X42&lt;=20,1,0))</formula>
    </cfRule>
    <cfRule type="expression" priority="1052" dxfId="2">
      <formula>AND(IF($Q42=2,1,0),IF($X42&lt;30,1,0))</formula>
    </cfRule>
    <cfRule type="expression" priority="1053" dxfId="1">
      <formula>AND(IF($Q42=3,1,0),IF($X42&lt;30,1,0))</formula>
    </cfRule>
    <cfRule type="expression" priority="1054" dxfId="0">
      <formula>AND(IF($Q42=3,1,IF($Q42=4,1,0)),IF($F42&lt;=85,1,0))</formula>
    </cfRule>
  </conditionalFormatting>
  <conditionalFormatting sqref="AV43">
    <cfRule type="expression" priority="1049" dxfId="23">
      <formula>AV43="X"</formula>
    </cfRule>
    <cfRule type="expression" priority="1050" dxfId="22">
      <formula>AV43="후보"</formula>
    </cfRule>
  </conditionalFormatting>
  <conditionalFormatting sqref="AC4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N43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E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X43">
    <cfRule type="expression" priority="1036" dxfId="3">
      <formula>AND(IF(OR($Q43=1,$Q43=2),1,0),IF($X43&lt;=20,1,0))</formula>
    </cfRule>
    <cfRule type="expression" priority="1037" dxfId="2">
      <formula>AND(IF($Q43=2,1,0),IF($X43&lt;30,1,0))</formula>
    </cfRule>
    <cfRule type="expression" priority="1038" dxfId="1">
      <formula>AND(IF($Q43=3,1,0),IF($X43&lt;30,1,0))</formula>
    </cfRule>
    <cfRule type="expression" priority="1039" dxfId="0">
      <formula>AND(IF($Q43=3,1,IF($Q43=4,1,0)),IF($F43&lt;=85,1,0))</formula>
    </cfRule>
  </conditionalFormatting>
  <conditionalFormatting sqref="AI43">
    <cfRule type="expression" priority="1032" dxfId="3">
      <formula>AND(IF(OR($Q43=1,$Q43=2),1,0),IF($X43&lt;=20,1,0))</formula>
    </cfRule>
    <cfRule type="expression" priority="1033" dxfId="2">
      <formula>AND(IF($Q43=2,1,0),IF($X43&lt;30,1,0))</formula>
    </cfRule>
    <cfRule type="expression" priority="1034" dxfId="1">
      <formula>AND(IF($Q43=3,1,0),IF($X43&lt;30,1,0))</formula>
    </cfRule>
    <cfRule type="expression" priority="1035" dxfId="0">
      <formula>AND(IF($Q43=3,1,IF($Q43=4,1,0)),IF($F43&lt;=85,1,0))</formula>
    </cfRule>
  </conditionalFormatting>
  <conditionalFormatting sqref="AV44">
    <cfRule type="expression" priority="1030" dxfId="23">
      <formula>AV44="X"</formula>
    </cfRule>
    <cfRule type="expression" priority="1031" dxfId="22">
      <formula>AV44="후보"</formula>
    </cfRule>
  </conditionalFormatting>
  <conditionalFormatting sqref="AC4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44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X44">
    <cfRule type="expression" priority="1017" dxfId="3">
      <formula>AND(IF(OR($Q44=1,$Q44=2),1,0),IF($X44&lt;=20,1,0))</formula>
    </cfRule>
    <cfRule type="expression" priority="1018" dxfId="2">
      <formula>AND(IF($Q44=2,1,0),IF($X44&lt;30,1,0))</formula>
    </cfRule>
    <cfRule type="expression" priority="1019" dxfId="1">
      <formula>AND(IF($Q44=3,1,0),IF($X44&lt;30,1,0))</formula>
    </cfRule>
    <cfRule type="expression" priority="1020" dxfId="0">
      <formula>AND(IF($Q44=3,1,IF($Q44=4,1,0)),IF($F44&lt;=85,1,0))</formula>
    </cfRule>
  </conditionalFormatting>
  <conditionalFormatting sqref="AI44">
    <cfRule type="expression" priority="1013" dxfId="3">
      <formula>AND(IF(OR($Q44=1,$Q44=2),1,0),IF($X44&lt;=20,1,0))</formula>
    </cfRule>
    <cfRule type="expression" priority="1014" dxfId="2">
      <formula>AND(IF($Q44=2,1,0),IF($X44&lt;30,1,0))</formula>
    </cfRule>
    <cfRule type="expression" priority="1015" dxfId="1">
      <formula>AND(IF($Q44=3,1,0),IF($X44&lt;30,1,0))</formula>
    </cfRule>
    <cfRule type="expression" priority="1016" dxfId="0">
      <formula>AND(IF($Q44=3,1,IF($Q44=4,1,0)),IF($F44&lt;=85,1,0))</formula>
    </cfRule>
  </conditionalFormatting>
  <conditionalFormatting sqref="AV45">
    <cfRule type="expression" priority="1011" dxfId="23">
      <formula>AV45="X"</formula>
    </cfRule>
    <cfRule type="expression" priority="1012" dxfId="22">
      <formula>AV45="후보"</formula>
    </cfRule>
  </conditionalFormatting>
  <conditionalFormatting sqref="AC45 N4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AV46">
    <cfRule type="expression" priority="1006" dxfId="23">
      <formula>AV46="X"</formula>
    </cfRule>
    <cfRule type="expression" priority="1007" dxfId="22">
      <formula>AV46="후보"</formula>
    </cfRule>
  </conditionalFormatting>
  <conditionalFormatting sqref="AC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4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E46">
    <cfRule type="expression" priority="997" dxfId="3">
      <formula>AND(IF(OR($Q46=1,$Q46=2),1,0),IF($X46&lt;=20,1,0))</formula>
    </cfRule>
    <cfRule type="expression" priority="998" dxfId="2">
      <formula>AND(IF($Q46=2,1,0),IF($X46&lt;30,1,0))</formula>
    </cfRule>
    <cfRule type="expression" priority="999" dxfId="1">
      <formula>AND(IF($Q46=3,1,0),IF($X46&lt;30,1,0))</formula>
    </cfRule>
    <cfRule type="expression" priority="1000" dxfId="0">
      <formula>AND(IF($Q46=3,1,IF($Q46=4,1,0)),IF($F46&lt;=85,1,0))</formula>
    </cfRule>
  </conditionalFormatting>
  <conditionalFormatting sqref="X46">
    <cfRule type="expression" priority="993" dxfId="3">
      <formula>AND(IF(OR($Q46=1,$Q46=2),1,0),IF($X46&lt;=20,1,0))</formula>
    </cfRule>
    <cfRule type="expression" priority="994" dxfId="2">
      <formula>AND(IF($Q46=2,1,0),IF($X46&lt;30,1,0))</formula>
    </cfRule>
    <cfRule type="expression" priority="995" dxfId="1">
      <formula>AND(IF($Q46=3,1,0),IF($X46&lt;30,1,0))</formula>
    </cfRule>
    <cfRule type="expression" priority="996" dxfId="0">
      <formula>AND(IF($Q46=3,1,IF($Q46=4,1,0)),IF($F46&lt;=85,1,0))</formula>
    </cfRule>
  </conditionalFormatting>
  <conditionalFormatting sqref="AI46">
    <cfRule type="expression" priority="989" dxfId="3">
      <formula>AND(IF(OR($Q46=1,$Q46=2),1,0),IF($X46&lt;=20,1,0))</formula>
    </cfRule>
    <cfRule type="expression" priority="990" dxfId="2">
      <formula>AND(IF($Q46=2,1,0),IF($X46&lt;30,1,0))</formula>
    </cfRule>
    <cfRule type="expression" priority="991" dxfId="1">
      <formula>AND(IF($Q46=3,1,0),IF($X46&lt;30,1,0))</formula>
    </cfRule>
    <cfRule type="expression" priority="992" dxfId="0">
      <formula>AND(IF($Q46=3,1,IF($Q46=4,1,0)),IF($F46&lt;=85,1,0))</formula>
    </cfRule>
  </conditionalFormatting>
  <conditionalFormatting sqref="AV47">
    <cfRule type="expression" priority="987" dxfId="23">
      <formula>AV47="X"</formula>
    </cfRule>
    <cfRule type="expression" priority="988" dxfId="22">
      <formula>AV47="후보"</formula>
    </cfRule>
  </conditionalFormatting>
  <conditionalFormatting sqref="AC4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4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47">
    <cfRule type="expression" priority="978" dxfId="3">
      <formula>AND(IF(OR($Q47=1,$Q47=2),1,0),IF($X47&lt;=20,1,0))</formula>
    </cfRule>
    <cfRule type="expression" priority="979" dxfId="2">
      <formula>AND(IF($Q47=2,1,0),IF($X47&lt;30,1,0))</formula>
    </cfRule>
    <cfRule type="expression" priority="980" dxfId="1">
      <formula>AND(IF($Q47=3,1,0),IF($X47&lt;30,1,0))</formula>
    </cfRule>
    <cfRule type="expression" priority="981" dxfId="0">
      <formula>AND(IF($Q47=3,1,IF($Q47=4,1,0)),IF($F47&lt;=85,1,0))</formula>
    </cfRule>
  </conditionalFormatting>
  <conditionalFormatting sqref="X47">
    <cfRule type="expression" priority="974" dxfId="3">
      <formula>AND(IF(OR($Q47=1,$Q47=2),1,0),IF($X47&lt;=20,1,0))</formula>
    </cfRule>
    <cfRule type="expression" priority="975" dxfId="2">
      <formula>AND(IF($Q47=2,1,0),IF($X47&lt;30,1,0))</formula>
    </cfRule>
    <cfRule type="expression" priority="976" dxfId="1">
      <formula>AND(IF($Q47=3,1,0),IF($X47&lt;30,1,0))</formula>
    </cfRule>
    <cfRule type="expression" priority="977" dxfId="0">
      <formula>AND(IF($Q47=3,1,IF($Q47=4,1,0)),IF($F47&lt;=85,1,0))</formula>
    </cfRule>
  </conditionalFormatting>
  <conditionalFormatting sqref="AI47">
    <cfRule type="expression" priority="970" dxfId="3">
      <formula>AND(IF(OR($Q47=1,$Q47=2),1,0),IF($X47&lt;=20,1,0))</formula>
    </cfRule>
    <cfRule type="expression" priority="971" dxfId="2">
      <formula>AND(IF($Q47=2,1,0),IF($X47&lt;30,1,0))</formula>
    </cfRule>
    <cfRule type="expression" priority="972" dxfId="1">
      <formula>AND(IF($Q47=3,1,0),IF($X47&lt;30,1,0))</formula>
    </cfRule>
    <cfRule type="expression" priority="973" dxfId="0">
      <formula>AND(IF($Q47=3,1,IF($Q47=4,1,0)),IF($F47&lt;=85,1,0))</formula>
    </cfRule>
  </conditionalFormatting>
  <conditionalFormatting sqref="AV48">
    <cfRule type="expression" priority="968" dxfId="23">
      <formula>AV48="X"</formula>
    </cfRule>
    <cfRule type="expression" priority="969" dxfId="22">
      <formula>AV48="후보"</formula>
    </cfRule>
  </conditionalFormatting>
  <conditionalFormatting sqref="AC4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N4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E48">
    <cfRule type="expression" priority="959" dxfId="3">
      <formula>AND(IF(OR($Q48=1,$Q48=2),1,0),IF($X48&lt;=20,1,0))</formula>
    </cfRule>
    <cfRule type="expression" priority="960" dxfId="2">
      <formula>AND(IF($Q48=2,1,0),IF($X48&lt;30,1,0))</formula>
    </cfRule>
    <cfRule type="expression" priority="961" dxfId="1">
      <formula>AND(IF($Q48=3,1,0),IF($X48&lt;30,1,0))</formula>
    </cfRule>
    <cfRule type="expression" priority="962" dxfId="0">
      <formula>AND(IF($Q48=3,1,IF($Q48=4,1,0)),IF($F48&lt;=85,1,0))</formula>
    </cfRule>
  </conditionalFormatting>
  <conditionalFormatting sqref="X48">
    <cfRule type="expression" priority="955" dxfId="3">
      <formula>AND(IF(OR($Q48=1,$Q48=2),1,0),IF($X48&lt;=20,1,0))</formula>
    </cfRule>
    <cfRule type="expression" priority="956" dxfId="2">
      <formula>AND(IF($Q48=2,1,0),IF($X48&lt;30,1,0))</formula>
    </cfRule>
    <cfRule type="expression" priority="957" dxfId="1">
      <formula>AND(IF($Q48=3,1,0),IF($X48&lt;30,1,0))</formula>
    </cfRule>
    <cfRule type="expression" priority="958" dxfId="0">
      <formula>AND(IF($Q48=3,1,IF($Q48=4,1,0)),IF($F48&lt;=85,1,0))</formula>
    </cfRule>
  </conditionalFormatting>
  <conditionalFormatting sqref="AI48">
    <cfRule type="expression" priority="951" dxfId="3">
      <formula>AND(IF(OR($Q48=1,$Q48=2),1,0),IF($X48&lt;=20,1,0))</formula>
    </cfRule>
    <cfRule type="expression" priority="952" dxfId="2">
      <formula>AND(IF($Q48=2,1,0),IF($X48&lt;30,1,0))</formula>
    </cfRule>
    <cfRule type="expression" priority="953" dxfId="1">
      <formula>AND(IF($Q48=3,1,0),IF($X48&lt;30,1,0))</formula>
    </cfRule>
    <cfRule type="expression" priority="954" dxfId="0">
      <formula>AND(IF($Q48=3,1,IF($Q48=4,1,0)),IF($F48&lt;=85,1,0))</formula>
    </cfRule>
  </conditionalFormatting>
  <conditionalFormatting sqref="AV49">
    <cfRule type="expression" priority="949" dxfId="23">
      <formula>AV49="X"</formula>
    </cfRule>
    <cfRule type="expression" priority="950" dxfId="22">
      <formula>AV49="후보"</formula>
    </cfRule>
  </conditionalFormatting>
  <conditionalFormatting sqref="AC4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N4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E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X49">
    <cfRule type="expression" priority="936" dxfId="3">
      <formula>AND(IF(OR($Q49=1,$Q49=2),1,0),IF($X49&lt;=20,1,0))</formula>
    </cfRule>
    <cfRule type="expression" priority="937" dxfId="2">
      <formula>AND(IF($Q49=2,1,0),IF($X49&lt;30,1,0))</formula>
    </cfRule>
    <cfRule type="expression" priority="938" dxfId="1">
      <formula>AND(IF($Q49=3,1,0),IF($X49&lt;30,1,0))</formula>
    </cfRule>
    <cfRule type="expression" priority="939" dxfId="0">
      <formula>AND(IF($Q49=3,1,IF($Q49=4,1,0)),IF($F49&lt;=85,1,0))</formula>
    </cfRule>
  </conditionalFormatting>
  <conditionalFormatting sqref="AI49">
    <cfRule type="expression" priority="932" dxfId="3">
      <formula>AND(IF(OR($Q49=1,$Q49=2),1,0),IF($X49&lt;=20,1,0))</formula>
    </cfRule>
    <cfRule type="expression" priority="933" dxfId="2">
      <formula>AND(IF($Q49=2,1,0),IF($X49&lt;30,1,0))</formula>
    </cfRule>
    <cfRule type="expression" priority="934" dxfId="1">
      <formula>AND(IF($Q49=3,1,0),IF($X49&lt;30,1,0))</formula>
    </cfRule>
    <cfRule type="expression" priority="935" dxfId="0">
      <formula>AND(IF($Q49=3,1,IF($Q49=4,1,0)),IF($F49&lt;=85,1,0))</formula>
    </cfRule>
  </conditionalFormatting>
  <conditionalFormatting sqref="AV50">
    <cfRule type="expression" priority="930" dxfId="23">
      <formula>AV50="X"</formula>
    </cfRule>
    <cfRule type="expression" priority="931" dxfId="22">
      <formula>AV50="후보"</formula>
    </cfRule>
  </conditionalFormatting>
  <conditionalFormatting sqref="AC50 N5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AV51">
    <cfRule type="expression" priority="925" dxfId="23">
      <formula>AV51="X"</formula>
    </cfRule>
    <cfRule type="expression" priority="926" dxfId="22">
      <formula>AV51="후보"</formula>
    </cfRule>
  </conditionalFormatting>
  <conditionalFormatting sqref="AC5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5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51">
    <cfRule type="expression" priority="916" dxfId="3">
      <formula>AND(IF(OR($Q51=1,$Q51=2),1,0),IF($X51&lt;=20,1,0))</formula>
    </cfRule>
    <cfRule type="expression" priority="917" dxfId="2">
      <formula>AND(IF($Q51=2,1,0),IF($X51&lt;30,1,0))</formula>
    </cfRule>
    <cfRule type="expression" priority="918" dxfId="1">
      <formula>AND(IF($Q51=3,1,0),IF($X51&lt;30,1,0))</formula>
    </cfRule>
    <cfRule type="expression" priority="919" dxfId="0">
      <formula>AND(IF($Q51=3,1,IF($Q51=4,1,0)),IF($F51&lt;=85,1,0))</formula>
    </cfRule>
  </conditionalFormatting>
  <conditionalFormatting sqref="X51">
    <cfRule type="expression" priority="912" dxfId="3">
      <formula>AND(IF(OR($Q51=1,$Q51=2),1,0),IF($X51&lt;=20,1,0))</formula>
    </cfRule>
    <cfRule type="expression" priority="913" dxfId="2">
      <formula>AND(IF($Q51=2,1,0),IF($X51&lt;30,1,0))</formula>
    </cfRule>
    <cfRule type="expression" priority="914" dxfId="1">
      <formula>AND(IF($Q51=3,1,0),IF($X51&lt;30,1,0))</formula>
    </cfRule>
    <cfRule type="expression" priority="915" dxfId="0">
      <formula>AND(IF($Q51=3,1,IF($Q51=4,1,0)),IF($F51&lt;=85,1,0))</formula>
    </cfRule>
  </conditionalFormatting>
  <conditionalFormatting sqref="AI51">
    <cfRule type="expression" priority="908" dxfId="3">
      <formula>AND(IF(OR($Q51=1,$Q51=2),1,0),IF($X51&lt;=20,1,0))</formula>
    </cfRule>
    <cfRule type="expression" priority="909" dxfId="2">
      <formula>AND(IF($Q51=2,1,0),IF($X51&lt;30,1,0))</formula>
    </cfRule>
    <cfRule type="expression" priority="910" dxfId="1">
      <formula>AND(IF($Q51=3,1,0),IF($X51&lt;30,1,0))</formula>
    </cfRule>
    <cfRule type="expression" priority="911" dxfId="0">
      <formula>AND(IF($Q51=3,1,IF($Q51=4,1,0)),IF($F51&lt;=85,1,0))</formula>
    </cfRule>
  </conditionalFormatting>
  <conditionalFormatting sqref="AV52">
    <cfRule type="expression" priority="906" dxfId="23">
      <formula>AV52="X"</formula>
    </cfRule>
    <cfRule type="expression" priority="907" dxfId="22">
      <formula>AV52="후보"</formula>
    </cfRule>
  </conditionalFormatting>
  <conditionalFormatting sqref="AC5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5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52">
    <cfRule type="expression" priority="897" dxfId="3">
      <formula>AND(IF(OR($Q52=1,$Q52=2),1,0),IF($X52&lt;=20,1,0))</formula>
    </cfRule>
    <cfRule type="expression" priority="898" dxfId="2">
      <formula>AND(IF($Q52=2,1,0),IF($X52&lt;30,1,0))</formula>
    </cfRule>
    <cfRule type="expression" priority="899" dxfId="1">
      <formula>AND(IF($Q52=3,1,0),IF($X52&lt;30,1,0))</formula>
    </cfRule>
    <cfRule type="expression" priority="900" dxfId="0">
      <formula>AND(IF($Q52=3,1,IF($Q52=4,1,0)),IF($F52&lt;=85,1,0))</formula>
    </cfRule>
  </conditionalFormatting>
  <conditionalFormatting sqref="X52">
    <cfRule type="expression" priority="893" dxfId="3">
      <formula>AND(IF(OR($Q52=1,$Q52=2),1,0),IF($X52&lt;=20,1,0))</formula>
    </cfRule>
    <cfRule type="expression" priority="894" dxfId="2">
      <formula>AND(IF($Q52=2,1,0),IF($X52&lt;30,1,0))</formula>
    </cfRule>
    <cfRule type="expression" priority="895" dxfId="1">
      <formula>AND(IF($Q52=3,1,0),IF($X52&lt;30,1,0))</formula>
    </cfRule>
    <cfRule type="expression" priority="896" dxfId="0">
      <formula>AND(IF($Q52=3,1,IF($Q52=4,1,0)),IF($F52&lt;=85,1,0))</formula>
    </cfRule>
  </conditionalFormatting>
  <conditionalFormatting sqref="AI52">
    <cfRule type="expression" priority="889" dxfId="3">
      <formula>AND(IF(OR($Q52=1,$Q52=2),1,0),IF($X52&lt;=20,1,0))</formula>
    </cfRule>
    <cfRule type="expression" priority="890" dxfId="2">
      <formula>AND(IF($Q52=2,1,0),IF($X52&lt;30,1,0))</formula>
    </cfRule>
    <cfRule type="expression" priority="891" dxfId="1">
      <formula>AND(IF($Q52=3,1,0),IF($X52&lt;30,1,0))</formula>
    </cfRule>
    <cfRule type="expression" priority="892" dxfId="0">
      <formula>AND(IF($Q52=3,1,IF($Q52=4,1,0)),IF($F52&lt;=85,1,0))</formula>
    </cfRule>
  </conditionalFormatting>
  <conditionalFormatting sqref="AV53">
    <cfRule type="expression" priority="887" dxfId="23">
      <formula>AV53="X"</formula>
    </cfRule>
    <cfRule type="expression" priority="888" dxfId="22">
      <formula>AV53="후보"</formula>
    </cfRule>
  </conditionalFormatting>
  <conditionalFormatting sqref="AC53 N5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AV54">
    <cfRule type="expression" priority="882" dxfId="23">
      <formula>AV54="X"</formula>
    </cfRule>
    <cfRule type="expression" priority="883" dxfId="22">
      <formula>AV54="후보"</formula>
    </cfRule>
  </conditionalFormatting>
  <conditionalFormatting sqref="AC5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X54">
    <cfRule type="expression" priority="869" dxfId="3">
      <formula>AND(IF(OR($Q54=1,$Q54=2),1,0),IF($X54&lt;=20,1,0))</formula>
    </cfRule>
    <cfRule type="expression" priority="870" dxfId="2">
      <formula>AND(IF($Q54=2,1,0),IF($X54&lt;30,1,0))</formula>
    </cfRule>
    <cfRule type="expression" priority="871" dxfId="1">
      <formula>AND(IF($Q54=3,1,0),IF($X54&lt;30,1,0))</formula>
    </cfRule>
    <cfRule type="expression" priority="872" dxfId="0">
      <formula>AND(IF($Q54=3,1,IF($Q54=4,1,0)),IF($F54&lt;=85,1,0))</formula>
    </cfRule>
  </conditionalFormatting>
  <conditionalFormatting sqref="AI54">
    <cfRule type="expression" priority="865" dxfId="3">
      <formula>AND(IF(OR($Q54=1,$Q54=2),1,0),IF($X54&lt;=20,1,0))</formula>
    </cfRule>
    <cfRule type="expression" priority="866" dxfId="2">
      <formula>AND(IF($Q54=2,1,0),IF($X54&lt;30,1,0))</formula>
    </cfRule>
    <cfRule type="expression" priority="867" dxfId="1">
      <formula>AND(IF($Q54=3,1,0),IF($X54&lt;30,1,0))</formula>
    </cfRule>
    <cfRule type="expression" priority="868" dxfId="0">
      <formula>AND(IF($Q54=3,1,IF($Q54=4,1,0)),IF($F54&lt;=85,1,0))</formula>
    </cfRule>
  </conditionalFormatting>
  <conditionalFormatting sqref="AV55">
    <cfRule type="expression" priority="863" dxfId="23">
      <formula>AV55="X"</formula>
    </cfRule>
    <cfRule type="expression" priority="864" dxfId="22">
      <formula>AV55="후보"</formula>
    </cfRule>
  </conditionalFormatting>
  <conditionalFormatting sqref="AC5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55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55">
    <cfRule type="expression" priority="854" dxfId="3">
      <formula>AND(IF(OR($Q55=1,$Q55=2),1,0),IF($X55&lt;=20,1,0))</formula>
    </cfRule>
    <cfRule type="expression" priority="855" dxfId="2">
      <formula>AND(IF($Q55=2,1,0),IF($X55&lt;30,1,0))</formula>
    </cfRule>
    <cfRule type="expression" priority="856" dxfId="1">
      <formula>AND(IF($Q55=3,1,0),IF($X55&lt;30,1,0))</formula>
    </cfRule>
    <cfRule type="expression" priority="857" dxfId="0">
      <formula>AND(IF($Q55=3,1,IF($Q55=4,1,0)),IF($F55&lt;=85,1,0))</formula>
    </cfRule>
  </conditionalFormatting>
  <conditionalFormatting sqref="X55">
    <cfRule type="expression" priority="850" dxfId="3">
      <formula>AND(IF(OR($Q55=1,$Q55=2),1,0),IF($X55&lt;=20,1,0))</formula>
    </cfRule>
    <cfRule type="expression" priority="851" dxfId="2">
      <formula>AND(IF($Q55=2,1,0),IF($X55&lt;30,1,0))</formula>
    </cfRule>
    <cfRule type="expression" priority="852" dxfId="1">
      <formula>AND(IF($Q55=3,1,0),IF($X55&lt;30,1,0))</formula>
    </cfRule>
    <cfRule type="expression" priority="853" dxfId="0">
      <formula>AND(IF($Q55=3,1,IF($Q55=4,1,0)),IF($F55&lt;=85,1,0))</formula>
    </cfRule>
  </conditionalFormatting>
  <conditionalFormatting sqref="AI55">
    <cfRule type="expression" priority="846" dxfId="3">
      <formula>AND(IF(OR($Q55=1,$Q55=2),1,0),IF($X55&lt;=20,1,0))</formula>
    </cfRule>
    <cfRule type="expression" priority="847" dxfId="2">
      <formula>AND(IF($Q55=2,1,0),IF($X55&lt;30,1,0))</formula>
    </cfRule>
    <cfRule type="expression" priority="848" dxfId="1">
      <formula>AND(IF($Q55=3,1,0),IF($X55&lt;30,1,0))</formula>
    </cfRule>
    <cfRule type="expression" priority="849" dxfId="0">
      <formula>AND(IF($Q55=3,1,IF($Q55=4,1,0)),IF($F55&lt;=85,1,0))</formula>
    </cfRule>
  </conditionalFormatting>
  <conditionalFormatting sqref="AV56">
    <cfRule type="expression" priority="844" dxfId="23">
      <formula>AV56="X"</formula>
    </cfRule>
    <cfRule type="expression" priority="845" dxfId="22">
      <formula>AV56="후보"</formula>
    </cfRule>
  </conditionalFormatting>
  <conditionalFormatting sqref="AC56 N5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AV57">
    <cfRule type="expression" priority="839" dxfId="23">
      <formula>AV57="X"</formula>
    </cfRule>
    <cfRule type="expression" priority="840" dxfId="22">
      <formula>AV57="후보"</formula>
    </cfRule>
  </conditionalFormatting>
  <conditionalFormatting sqref="AC57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57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X57">
    <cfRule type="expression" priority="826" dxfId="3">
      <formula>AND(IF(OR($Q57=1,$Q57=2),1,0),IF($X57&lt;=20,1,0))</formula>
    </cfRule>
    <cfRule type="expression" priority="827" dxfId="2">
      <formula>AND(IF($Q57=2,1,0),IF($X57&lt;30,1,0))</formula>
    </cfRule>
    <cfRule type="expression" priority="828" dxfId="1">
      <formula>AND(IF($Q57=3,1,0),IF($X57&lt;30,1,0))</formula>
    </cfRule>
    <cfRule type="expression" priority="829" dxfId="0">
      <formula>AND(IF($Q57=3,1,IF($Q57=4,1,0)),IF($F57&lt;=85,1,0))</formula>
    </cfRule>
  </conditionalFormatting>
  <conditionalFormatting sqref="AI57">
    <cfRule type="expression" priority="822" dxfId="3">
      <formula>AND(IF(OR($Q57=1,$Q57=2),1,0),IF($X57&lt;=20,1,0))</formula>
    </cfRule>
    <cfRule type="expression" priority="823" dxfId="2">
      <formula>AND(IF($Q57=2,1,0),IF($X57&lt;30,1,0))</formula>
    </cfRule>
    <cfRule type="expression" priority="824" dxfId="1">
      <formula>AND(IF($Q57=3,1,0),IF($X57&lt;30,1,0))</formula>
    </cfRule>
    <cfRule type="expression" priority="825" dxfId="0">
      <formula>AND(IF($Q57=3,1,IF($Q57=4,1,0)),IF($F57&lt;=85,1,0))</formula>
    </cfRule>
  </conditionalFormatting>
  <conditionalFormatting sqref="AV58">
    <cfRule type="expression" priority="820" dxfId="23">
      <formula>AV58="X"</formula>
    </cfRule>
    <cfRule type="expression" priority="821" dxfId="22">
      <formula>AV58="후보"</formula>
    </cfRule>
  </conditionalFormatting>
  <conditionalFormatting sqref="AC58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58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58">
    <cfRule type="expression" priority="811" dxfId="3">
      <formula>AND(IF(OR($Q58=1,$Q58=2),1,0),IF($X58&lt;=20,1,0))</formula>
    </cfRule>
    <cfRule type="expression" priority="812" dxfId="2">
      <formula>AND(IF($Q58=2,1,0),IF($X58&lt;30,1,0))</formula>
    </cfRule>
    <cfRule type="expression" priority="813" dxfId="1">
      <formula>AND(IF($Q58=3,1,0),IF($X58&lt;30,1,0))</formula>
    </cfRule>
    <cfRule type="expression" priority="814" dxfId="0">
      <formula>AND(IF($Q58=3,1,IF($Q58=4,1,0)),IF($F58&lt;=85,1,0))</formula>
    </cfRule>
  </conditionalFormatting>
  <conditionalFormatting sqref="X58">
    <cfRule type="expression" priority="807" dxfId="3">
      <formula>AND(IF(OR($Q58=1,$Q58=2),1,0),IF($X58&lt;=20,1,0))</formula>
    </cfRule>
    <cfRule type="expression" priority="808" dxfId="2">
      <formula>AND(IF($Q58=2,1,0),IF($X58&lt;30,1,0))</formula>
    </cfRule>
    <cfRule type="expression" priority="809" dxfId="1">
      <formula>AND(IF($Q58=3,1,0),IF($X58&lt;30,1,0))</formula>
    </cfRule>
    <cfRule type="expression" priority="810" dxfId="0">
      <formula>AND(IF($Q58=3,1,IF($Q58=4,1,0)),IF($F58&lt;=85,1,0))</formula>
    </cfRule>
  </conditionalFormatting>
  <conditionalFormatting sqref="AI58">
    <cfRule type="expression" priority="803" dxfId="3">
      <formula>AND(IF(OR($Q58=1,$Q58=2),1,0),IF($X58&lt;=20,1,0))</formula>
    </cfRule>
    <cfRule type="expression" priority="804" dxfId="2">
      <formula>AND(IF($Q58=2,1,0),IF($X58&lt;30,1,0))</formula>
    </cfRule>
    <cfRule type="expression" priority="805" dxfId="1">
      <formula>AND(IF($Q58=3,1,0),IF($X58&lt;30,1,0))</formula>
    </cfRule>
    <cfRule type="expression" priority="806" dxfId="0">
      <formula>AND(IF($Q58=3,1,IF($Q58=4,1,0)),IF($F58&lt;=85,1,0))</formula>
    </cfRule>
  </conditionalFormatting>
  <conditionalFormatting sqref="AV59">
    <cfRule type="expression" priority="801" dxfId="23">
      <formula>AV59="X"</formula>
    </cfRule>
    <cfRule type="expression" priority="802" dxfId="22">
      <formula>AV59="후보"</formula>
    </cfRule>
  </conditionalFormatting>
  <conditionalFormatting sqref="AC5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5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59">
    <cfRule type="expression" priority="792" dxfId="3">
      <formula>AND(IF(OR($Q59=1,$Q59=2),1,0),IF($X59&lt;=20,1,0))</formula>
    </cfRule>
    <cfRule type="expression" priority="793" dxfId="2">
      <formula>AND(IF($Q59=2,1,0),IF($X59&lt;30,1,0))</formula>
    </cfRule>
    <cfRule type="expression" priority="794" dxfId="1">
      <formula>AND(IF($Q59=3,1,0),IF($X59&lt;30,1,0))</formula>
    </cfRule>
    <cfRule type="expression" priority="795" dxfId="0">
      <formula>AND(IF($Q59=3,1,IF($Q59=4,1,0)),IF($F59&lt;=85,1,0))</formula>
    </cfRule>
  </conditionalFormatting>
  <conditionalFormatting sqref="X59">
    <cfRule type="expression" priority="788" dxfId="3">
      <formula>AND(IF(OR($Q59=1,$Q59=2),1,0),IF($X59&lt;=20,1,0))</formula>
    </cfRule>
    <cfRule type="expression" priority="789" dxfId="2">
      <formula>AND(IF($Q59=2,1,0),IF($X59&lt;30,1,0))</formula>
    </cfRule>
    <cfRule type="expression" priority="790" dxfId="1">
      <formula>AND(IF($Q59=3,1,0),IF($X59&lt;30,1,0))</formula>
    </cfRule>
    <cfRule type="expression" priority="791" dxfId="0">
      <formula>AND(IF($Q59=3,1,IF($Q59=4,1,0)),IF($F59&lt;=85,1,0))</formula>
    </cfRule>
  </conditionalFormatting>
  <conditionalFormatting sqref="AI59">
    <cfRule type="expression" priority="784" dxfId="3">
      <formula>AND(IF(OR($Q59=1,$Q59=2),1,0),IF($X59&lt;=20,1,0))</formula>
    </cfRule>
    <cfRule type="expression" priority="785" dxfId="2">
      <formula>AND(IF($Q59=2,1,0),IF($X59&lt;30,1,0))</formula>
    </cfRule>
    <cfRule type="expression" priority="786" dxfId="1">
      <formula>AND(IF($Q59=3,1,0),IF($X59&lt;30,1,0))</formula>
    </cfRule>
    <cfRule type="expression" priority="787" dxfId="0">
      <formula>AND(IF($Q59=3,1,IF($Q59=4,1,0)),IF($F59&lt;=85,1,0))</formula>
    </cfRule>
  </conditionalFormatting>
  <conditionalFormatting sqref="AV60">
    <cfRule type="expression" priority="782" dxfId="23">
      <formula>AV60="X"</formula>
    </cfRule>
    <cfRule type="expression" priority="783" dxfId="22">
      <formula>AV60="후보"</formula>
    </cfRule>
  </conditionalFormatting>
  <conditionalFormatting sqref="AC6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N6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E60">
    <cfRule type="expression" priority="773" dxfId="3">
      <formula>AND(IF(OR($Q60=1,$Q60=2),1,0),IF($X60&lt;=20,1,0))</formula>
    </cfRule>
    <cfRule type="expression" priority="774" dxfId="2">
      <formula>AND(IF($Q60=2,1,0),IF($X60&lt;30,1,0))</formula>
    </cfRule>
    <cfRule type="expression" priority="775" dxfId="1">
      <formula>AND(IF($Q60=3,1,0),IF($X60&lt;30,1,0))</formula>
    </cfRule>
    <cfRule type="expression" priority="776" dxfId="0">
      <formula>AND(IF($Q60=3,1,IF($Q60=4,1,0)),IF($F60&lt;=85,1,0))</formula>
    </cfRule>
  </conditionalFormatting>
  <conditionalFormatting sqref="X60">
    <cfRule type="expression" priority="769" dxfId="3">
      <formula>AND(IF(OR($Q60=1,$Q60=2),1,0),IF($X60&lt;=20,1,0))</formula>
    </cfRule>
    <cfRule type="expression" priority="770" dxfId="2">
      <formula>AND(IF($Q60=2,1,0),IF($X60&lt;30,1,0))</formula>
    </cfRule>
    <cfRule type="expression" priority="771" dxfId="1">
      <formula>AND(IF($Q60=3,1,0),IF($X60&lt;30,1,0))</formula>
    </cfRule>
    <cfRule type="expression" priority="772" dxfId="0">
      <formula>AND(IF($Q60=3,1,IF($Q60=4,1,0)),IF($F60&lt;=85,1,0))</formula>
    </cfRule>
  </conditionalFormatting>
  <conditionalFormatting sqref="AI60">
    <cfRule type="expression" priority="765" dxfId="3">
      <formula>AND(IF(OR($Q60=1,$Q60=2),1,0),IF($X60&lt;=20,1,0))</formula>
    </cfRule>
    <cfRule type="expression" priority="766" dxfId="2">
      <formula>AND(IF($Q60=2,1,0),IF($X60&lt;30,1,0))</formula>
    </cfRule>
    <cfRule type="expression" priority="767" dxfId="1">
      <formula>AND(IF($Q60=3,1,0),IF($X60&lt;30,1,0))</formula>
    </cfRule>
    <cfRule type="expression" priority="768" dxfId="0">
      <formula>AND(IF($Q60=3,1,IF($Q60=4,1,0)),IF($F60&lt;=85,1,0))</formula>
    </cfRule>
  </conditionalFormatting>
  <conditionalFormatting sqref="AV61">
    <cfRule type="expression" priority="763" dxfId="23">
      <formula>AV61="X"</formula>
    </cfRule>
    <cfRule type="expression" priority="764" dxfId="22">
      <formula>AV61="후보"</formula>
    </cfRule>
  </conditionalFormatting>
  <conditionalFormatting sqref="AC6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N6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E61">
    <cfRule type="expression" priority="754" dxfId="3">
      <formula>AND(IF(OR($Q61=1,$Q61=2),1,0),IF($X61&lt;=20,1,0))</formula>
    </cfRule>
    <cfRule type="expression" priority="755" dxfId="2">
      <formula>AND(IF($Q61=2,1,0),IF($X61&lt;30,1,0))</formula>
    </cfRule>
    <cfRule type="expression" priority="756" dxfId="1">
      <formula>AND(IF($Q61=3,1,0),IF($X61&lt;30,1,0))</formula>
    </cfRule>
    <cfRule type="expression" priority="757" dxfId="0">
      <formula>AND(IF($Q61=3,1,IF($Q61=4,1,0)),IF($F61&lt;=85,1,0))</formula>
    </cfRule>
  </conditionalFormatting>
  <conditionalFormatting sqref="X61">
    <cfRule type="expression" priority="750" dxfId="3">
      <formula>AND(IF(OR($Q61=1,$Q61=2),1,0),IF($X61&lt;=20,1,0))</formula>
    </cfRule>
    <cfRule type="expression" priority="751" dxfId="2">
      <formula>AND(IF($Q61=2,1,0),IF($X61&lt;30,1,0))</formula>
    </cfRule>
    <cfRule type="expression" priority="752" dxfId="1">
      <formula>AND(IF($Q61=3,1,0),IF($X61&lt;30,1,0))</formula>
    </cfRule>
    <cfRule type="expression" priority="753" dxfId="0">
      <formula>AND(IF($Q61=3,1,IF($Q61=4,1,0)),IF($F61&lt;=85,1,0))</formula>
    </cfRule>
  </conditionalFormatting>
  <conditionalFormatting sqref="AI61">
    <cfRule type="expression" priority="746" dxfId="3">
      <formula>AND(IF(OR($Q61=1,$Q61=2),1,0),IF($X61&lt;=20,1,0))</formula>
    </cfRule>
    <cfRule type="expression" priority="747" dxfId="2">
      <formula>AND(IF($Q61=2,1,0),IF($X61&lt;30,1,0))</formula>
    </cfRule>
    <cfRule type="expression" priority="748" dxfId="1">
      <formula>AND(IF($Q61=3,1,0),IF($X61&lt;30,1,0))</formula>
    </cfRule>
    <cfRule type="expression" priority="749" dxfId="0">
      <formula>AND(IF($Q61=3,1,IF($Q61=4,1,0)),IF($F61&lt;=85,1,0))</formula>
    </cfRule>
  </conditionalFormatting>
  <conditionalFormatting sqref="AV62">
    <cfRule type="expression" priority="744" dxfId="23">
      <formula>AV62="X"</formula>
    </cfRule>
    <cfRule type="expression" priority="745" dxfId="22">
      <formula>AV62="후보"</formula>
    </cfRule>
  </conditionalFormatting>
  <conditionalFormatting sqref="AC6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6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E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X62">
    <cfRule type="expression" priority="731" dxfId="3">
      <formula>AND(IF(OR($Q62=1,$Q62=2),1,0),IF($X62&lt;=20,1,0))</formula>
    </cfRule>
    <cfRule type="expression" priority="732" dxfId="2">
      <formula>AND(IF($Q62=2,1,0),IF($X62&lt;30,1,0))</formula>
    </cfRule>
    <cfRule type="expression" priority="733" dxfId="1">
      <formula>AND(IF($Q62=3,1,0),IF($X62&lt;30,1,0))</formula>
    </cfRule>
    <cfRule type="expression" priority="734" dxfId="0">
      <formula>AND(IF($Q62=3,1,IF($Q62=4,1,0)),IF($F62&lt;=85,1,0))</formula>
    </cfRule>
  </conditionalFormatting>
  <conditionalFormatting sqref="AI62">
    <cfRule type="expression" priority="727" dxfId="3">
      <formula>AND(IF(OR($Q62=1,$Q62=2),1,0),IF($X62&lt;=20,1,0))</formula>
    </cfRule>
    <cfRule type="expression" priority="728" dxfId="2">
      <formula>AND(IF($Q62=2,1,0),IF($X62&lt;30,1,0))</formula>
    </cfRule>
    <cfRule type="expression" priority="729" dxfId="1">
      <formula>AND(IF($Q62=3,1,0),IF($X62&lt;30,1,0))</formula>
    </cfRule>
    <cfRule type="expression" priority="730" dxfId="0">
      <formula>AND(IF($Q62=3,1,IF($Q62=4,1,0)),IF($F62&lt;=85,1,0))</formula>
    </cfRule>
  </conditionalFormatting>
  <conditionalFormatting sqref="AV63">
    <cfRule type="expression" priority="725" dxfId="23">
      <formula>AV63="X"</formula>
    </cfRule>
    <cfRule type="expression" priority="726" dxfId="22">
      <formula>AV63="후보"</formula>
    </cfRule>
  </conditionalFormatting>
  <conditionalFormatting sqref="AC63 N6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AV64">
    <cfRule type="expression" priority="720" dxfId="23">
      <formula>AV64="X"</formula>
    </cfRule>
    <cfRule type="expression" priority="721" dxfId="22">
      <formula>AV64="후보"</formula>
    </cfRule>
  </conditionalFormatting>
  <conditionalFormatting sqref="AC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4">
    <cfRule type="expression" priority="711" dxfId="3">
      <formula>AND(IF(OR($Q64=1,$Q64=2),1,0),IF($X64&lt;=20,1,0))</formula>
    </cfRule>
    <cfRule type="expression" priority="712" dxfId="2">
      <formula>AND(IF($Q64=2,1,0),IF($X64&lt;30,1,0))</formula>
    </cfRule>
    <cfRule type="expression" priority="713" dxfId="1">
      <formula>AND(IF($Q64=3,1,0),IF($X64&lt;30,1,0))</formula>
    </cfRule>
    <cfRule type="expression" priority="714" dxfId="0">
      <formula>AND(IF($Q64=3,1,IF($Q64=4,1,0)),IF($F64&lt;=85,1,0))</formula>
    </cfRule>
  </conditionalFormatting>
  <conditionalFormatting sqref="X64">
    <cfRule type="expression" priority="707" dxfId="3">
      <formula>AND(IF(OR($Q64=1,$Q64=2),1,0),IF($X64&lt;=20,1,0))</formula>
    </cfRule>
    <cfRule type="expression" priority="708" dxfId="2">
      <formula>AND(IF($Q64=2,1,0),IF($X64&lt;30,1,0))</formula>
    </cfRule>
    <cfRule type="expression" priority="709" dxfId="1">
      <formula>AND(IF($Q64=3,1,0),IF($X64&lt;30,1,0))</formula>
    </cfRule>
    <cfRule type="expression" priority="710" dxfId="0">
      <formula>AND(IF($Q64=3,1,IF($Q64=4,1,0)),IF($F64&lt;=85,1,0))</formula>
    </cfRule>
  </conditionalFormatting>
  <conditionalFormatting sqref="AI64">
    <cfRule type="expression" priority="703" dxfId="3">
      <formula>AND(IF(OR($Q64=1,$Q64=2),1,0),IF($X64&lt;=20,1,0))</formula>
    </cfRule>
    <cfRule type="expression" priority="704" dxfId="2">
      <formula>AND(IF($Q64=2,1,0),IF($X64&lt;30,1,0))</formula>
    </cfRule>
    <cfRule type="expression" priority="705" dxfId="1">
      <formula>AND(IF($Q64=3,1,0),IF($X64&lt;30,1,0))</formula>
    </cfRule>
    <cfRule type="expression" priority="706" dxfId="0">
      <formula>AND(IF($Q64=3,1,IF($Q64=4,1,0)),IF($F64&lt;=85,1,0))</formula>
    </cfRule>
  </conditionalFormatting>
  <conditionalFormatting sqref="AV65">
    <cfRule type="expression" priority="701" dxfId="23">
      <formula>AV65="X"</formula>
    </cfRule>
    <cfRule type="expression" priority="702" dxfId="22">
      <formula>AV65="후보"</formula>
    </cfRule>
  </conditionalFormatting>
  <conditionalFormatting sqref="AC65 N6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AV66">
    <cfRule type="expression" priority="696" dxfId="23">
      <formula>AV66="X"</formula>
    </cfRule>
    <cfRule type="expression" priority="697" dxfId="22">
      <formula>AV66="후보"</formula>
    </cfRule>
  </conditionalFormatting>
  <conditionalFormatting sqref="AC6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66">
    <cfRule type="expression" priority="687" dxfId="3">
      <formula>AND(IF(OR($Q66=1,$Q66=2),1,0),IF($X66&lt;=20,1,0))</formula>
    </cfRule>
    <cfRule type="expression" priority="688" dxfId="2">
      <formula>AND(IF($Q66=2,1,0),IF($X66&lt;30,1,0))</formula>
    </cfRule>
    <cfRule type="expression" priority="689" dxfId="1">
      <formula>AND(IF($Q66=3,1,0),IF($X66&lt;30,1,0))</formula>
    </cfRule>
    <cfRule type="expression" priority="690" dxfId="0">
      <formula>AND(IF($Q66=3,1,IF($Q66=4,1,0)),IF($F66&lt;=85,1,0))</formula>
    </cfRule>
  </conditionalFormatting>
  <conditionalFormatting sqref="X66">
    <cfRule type="expression" priority="683" dxfId="3">
      <formula>AND(IF(OR($Q66=1,$Q66=2),1,0),IF($X66&lt;=20,1,0))</formula>
    </cfRule>
    <cfRule type="expression" priority="684" dxfId="2">
      <formula>AND(IF($Q66=2,1,0),IF($X66&lt;30,1,0))</formula>
    </cfRule>
    <cfRule type="expression" priority="685" dxfId="1">
      <formula>AND(IF($Q66=3,1,0),IF($X66&lt;30,1,0))</formula>
    </cfRule>
    <cfRule type="expression" priority="686" dxfId="0">
      <formula>AND(IF($Q66=3,1,IF($Q66=4,1,0)),IF($F66&lt;=85,1,0))</formula>
    </cfRule>
  </conditionalFormatting>
  <conditionalFormatting sqref="AI66">
    <cfRule type="expression" priority="679" dxfId="3">
      <formula>AND(IF(OR($Q66=1,$Q66=2),1,0),IF($X66&lt;=20,1,0))</formula>
    </cfRule>
    <cfRule type="expression" priority="680" dxfId="2">
      <formula>AND(IF($Q66=2,1,0),IF($X66&lt;30,1,0))</formula>
    </cfRule>
    <cfRule type="expression" priority="681" dxfId="1">
      <formula>AND(IF($Q66=3,1,0),IF($X66&lt;30,1,0))</formula>
    </cfRule>
    <cfRule type="expression" priority="682" dxfId="0">
      <formula>AND(IF($Q66=3,1,IF($Q66=4,1,0)),IF($F66&lt;=85,1,0))</formula>
    </cfRule>
  </conditionalFormatting>
  <conditionalFormatting sqref="AV67">
    <cfRule type="expression" priority="677" dxfId="23">
      <formula>AV67="X"</formula>
    </cfRule>
    <cfRule type="expression" priority="678" dxfId="22">
      <formula>AV67="후보"</formula>
    </cfRule>
  </conditionalFormatting>
  <conditionalFormatting sqref="AC67 N6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68">
    <cfRule type="expression" priority="672" dxfId="23">
      <formula>AV68="X"</formula>
    </cfRule>
    <cfRule type="expression" priority="673" dxfId="22">
      <formula>AV68="후보"</formula>
    </cfRule>
  </conditionalFormatting>
  <conditionalFormatting sqref="AC68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6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68">
    <cfRule type="expression" priority="663" dxfId="3">
      <formula>AND(IF(OR($Q68=1,$Q68=2),1,0),IF($X68&lt;=20,1,0))</formula>
    </cfRule>
    <cfRule type="expression" priority="664" dxfId="2">
      <formula>AND(IF($Q68=2,1,0),IF($X68&lt;30,1,0))</formula>
    </cfRule>
    <cfRule type="expression" priority="665" dxfId="1">
      <formula>AND(IF($Q68=3,1,0),IF($X68&lt;30,1,0))</formula>
    </cfRule>
    <cfRule type="expression" priority="666" dxfId="0">
      <formula>AND(IF($Q68=3,1,IF($Q68=4,1,0)),IF($F68&lt;=85,1,0))</formula>
    </cfRule>
  </conditionalFormatting>
  <conditionalFormatting sqref="X68">
    <cfRule type="expression" priority="659" dxfId="3">
      <formula>AND(IF(OR($Q68=1,$Q68=2),1,0),IF($X68&lt;=20,1,0))</formula>
    </cfRule>
    <cfRule type="expression" priority="660" dxfId="2">
      <formula>AND(IF($Q68=2,1,0),IF($X68&lt;30,1,0))</formula>
    </cfRule>
    <cfRule type="expression" priority="661" dxfId="1">
      <formula>AND(IF($Q68=3,1,0),IF($X68&lt;30,1,0))</formula>
    </cfRule>
    <cfRule type="expression" priority="662" dxfId="0">
      <formula>AND(IF($Q68=3,1,IF($Q68=4,1,0)),IF($F68&lt;=85,1,0))</formula>
    </cfRule>
  </conditionalFormatting>
  <conditionalFormatting sqref="AI68">
    <cfRule type="expression" priority="655" dxfId="3">
      <formula>AND(IF(OR($Q68=1,$Q68=2),1,0),IF($X68&lt;=20,1,0))</formula>
    </cfRule>
    <cfRule type="expression" priority="656" dxfId="2">
      <formula>AND(IF($Q68=2,1,0),IF($X68&lt;30,1,0))</formula>
    </cfRule>
    <cfRule type="expression" priority="657" dxfId="1">
      <formula>AND(IF($Q68=3,1,0),IF($X68&lt;30,1,0))</formula>
    </cfRule>
    <cfRule type="expression" priority="658" dxfId="0">
      <formula>AND(IF($Q68=3,1,IF($Q68=4,1,0)),IF($F68&lt;=85,1,0))</formula>
    </cfRule>
  </conditionalFormatting>
  <conditionalFormatting sqref="AV69">
    <cfRule type="expression" priority="653" dxfId="23">
      <formula>AV69="X"</formula>
    </cfRule>
    <cfRule type="expression" priority="654" dxfId="22">
      <formula>AV69="후보"</formula>
    </cfRule>
  </conditionalFormatting>
  <conditionalFormatting sqref="AC69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6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69">
    <cfRule type="expression" priority="644" dxfId="3">
      <formula>AND(IF(OR($Q69=1,$Q69=2),1,0),IF($X69&lt;=20,1,0))</formula>
    </cfRule>
    <cfRule type="expression" priority="645" dxfId="2">
      <formula>AND(IF($Q69=2,1,0),IF($X69&lt;30,1,0))</formula>
    </cfRule>
    <cfRule type="expression" priority="646" dxfId="1">
      <formula>AND(IF($Q69=3,1,0),IF($X69&lt;30,1,0))</formula>
    </cfRule>
    <cfRule type="expression" priority="647" dxfId="0">
      <formula>AND(IF($Q69=3,1,IF($Q69=4,1,0)),IF($F69&lt;=85,1,0))</formula>
    </cfRule>
  </conditionalFormatting>
  <conditionalFormatting sqref="X69">
    <cfRule type="expression" priority="640" dxfId="3">
      <formula>AND(IF(OR($Q69=1,$Q69=2),1,0),IF($X69&lt;=20,1,0))</formula>
    </cfRule>
    <cfRule type="expression" priority="641" dxfId="2">
      <formula>AND(IF($Q69=2,1,0),IF($X69&lt;30,1,0))</formula>
    </cfRule>
    <cfRule type="expression" priority="642" dxfId="1">
      <formula>AND(IF($Q69=3,1,0),IF($X69&lt;30,1,0))</formula>
    </cfRule>
    <cfRule type="expression" priority="643" dxfId="0">
      <formula>AND(IF($Q69=3,1,IF($Q69=4,1,0)),IF($F69&lt;=85,1,0))</formula>
    </cfRule>
  </conditionalFormatting>
  <conditionalFormatting sqref="AI69">
    <cfRule type="expression" priority="636" dxfId="3">
      <formula>AND(IF(OR($Q69=1,$Q69=2),1,0),IF($X69&lt;=20,1,0))</formula>
    </cfRule>
    <cfRule type="expression" priority="637" dxfId="2">
      <formula>AND(IF($Q69=2,1,0),IF($X69&lt;30,1,0))</formula>
    </cfRule>
    <cfRule type="expression" priority="638" dxfId="1">
      <formula>AND(IF($Q69=3,1,0),IF($X69&lt;30,1,0))</formula>
    </cfRule>
    <cfRule type="expression" priority="639" dxfId="0">
      <formula>AND(IF($Q69=3,1,IF($Q69=4,1,0)),IF($F69&lt;=85,1,0))</formula>
    </cfRule>
  </conditionalFormatting>
  <conditionalFormatting sqref="AV70">
    <cfRule type="expression" priority="634" dxfId="23">
      <formula>AV70="X"</formula>
    </cfRule>
    <cfRule type="expression" priority="635" dxfId="22">
      <formula>AV70="후보"</formula>
    </cfRule>
  </conditionalFormatting>
  <conditionalFormatting sqref="AC70 N70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71">
    <cfRule type="expression" priority="629" dxfId="23">
      <formula>AV71="X"</formula>
    </cfRule>
    <cfRule type="expression" priority="630" dxfId="22">
      <formula>AV71="후보"</formula>
    </cfRule>
  </conditionalFormatting>
  <conditionalFormatting sqref="AC71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7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X71">
    <cfRule type="expression" priority="616" dxfId="3">
      <formula>AND(IF(OR($Q71=1,$Q71=2),1,0),IF($X71&lt;=20,1,0))</formula>
    </cfRule>
    <cfRule type="expression" priority="617" dxfId="2">
      <formula>AND(IF($Q71=2,1,0),IF($X71&lt;30,1,0))</formula>
    </cfRule>
    <cfRule type="expression" priority="618" dxfId="1">
      <formula>AND(IF($Q71=3,1,0),IF($X71&lt;30,1,0))</formula>
    </cfRule>
    <cfRule type="expression" priority="619" dxfId="0">
      <formula>AND(IF($Q71=3,1,IF($Q71=4,1,0)),IF($F71&lt;=85,1,0))</formula>
    </cfRule>
  </conditionalFormatting>
  <conditionalFormatting sqref="AI71">
    <cfRule type="expression" priority="612" dxfId="3">
      <formula>AND(IF(OR($Q71=1,$Q71=2),1,0),IF($X71&lt;=20,1,0))</formula>
    </cfRule>
    <cfRule type="expression" priority="613" dxfId="2">
      <formula>AND(IF($Q71=2,1,0),IF($X71&lt;30,1,0))</formula>
    </cfRule>
    <cfRule type="expression" priority="614" dxfId="1">
      <formula>AND(IF($Q71=3,1,0),IF($X71&lt;30,1,0))</formula>
    </cfRule>
    <cfRule type="expression" priority="615" dxfId="0">
      <formula>AND(IF($Q71=3,1,IF($Q71=4,1,0)),IF($F71&lt;=85,1,0))</formula>
    </cfRule>
  </conditionalFormatting>
  <conditionalFormatting sqref="AV72">
    <cfRule type="expression" priority="610" dxfId="23">
      <formula>AV72="X"</formula>
    </cfRule>
    <cfRule type="expression" priority="611" dxfId="22">
      <formula>AV72="후보"</formula>
    </cfRule>
  </conditionalFormatting>
  <conditionalFormatting sqref="AC7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72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X72">
    <cfRule type="expression" priority="597" dxfId="3">
      <formula>AND(IF(OR($Q72=1,$Q72=2),1,0),IF($X72&lt;=20,1,0))</formula>
    </cfRule>
    <cfRule type="expression" priority="598" dxfId="2">
      <formula>AND(IF($Q72=2,1,0),IF($X72&lt;30,1,0))</formula>
    </cfRule>
    <cfRule type="expression" priority="599" dxfId="1">
      <formula>AND(IF($Q72=3,1,0),IF($X72&lt;30,1,0))</formula>
    </cfRule>
    <cfRule type="expression" priority="600" dxfId="0">
      <formula>AND(IF($Q72=3,1,IF($Q72=4,1,0)),IF($F72&lt;=85,1,0))</formula>
    </cfRule>
  </conditionalFormatting>
  <conditionalFormatting sqref="AI72">
    <cfRule type="expression" priority="593" dxfId="3">
      <formula>AND(IF(OR($Q72=1,$Q72=2),1,0),IF($X72&lt;=20,1,0))</formula>
    </cfRule>
    <cfRule type="expression" priority="594" dxfId="2">
      <formula>AND(IF($Q72=2,1,0),IF($X72&lt;30,1,0))</formula>
    </cfRule>
    <cfRule type="expression" priority="595" dxfId="1">
      <formula>AND(IF($Q72=3,1,0),IF($X72&lt;30,1,0))</formula>
    </cfRule>
    <cfRule type="expression" priority="596" dxfId="0">
      <formula>AND(IF($Q72=3,1,IF($Q72=4,1,0)),IF($F72&lt;=85,1,0))</formula>
    </cfRule>
  </conditionalFormatting>
  <conditionalFormatting sqref="AV73">
    <cfRule type="expression" priority="591" dxfId="23">
      <formula>AV73="X"</formula>
    </cfRule>
    <cfRule type="expression" priority="592" dxfId="22">
      <formula>AV73="후보"</formula>
    </cfRule>
  </conditionalFormatting>
  <conditionalFormatting sqref="AC73 N73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74">
    <cfRule type="expression" priority="586" dxfId="23">
      <formula>AV74="X"</formula>
    </cfRule>
    <cfRule type="expression" priority="587" dxfId="22">
      <formula>AV74="후보"</formula>
    </cfRule>
  </conditionalFormatting>
  <conditionalFormatting sqref="AC74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7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74">
    <cfRule type="expression" priority="577" dxfId="3">
      <formula>AND(IF(OR($Q74=1,$Q74=2),1,0),IF($X74&lt;=20,1,0))</formula>
    </cfRule>
    <cfRule type="expression" priority="578" dxfId="2">
      <formula>AND(IF($Q74=2,1,0),IF($X74&lt;30,1,0))</formula>
    </cfRule>
    <cfRule type="expression" priority="579" dxfId="1">
      <formula>AND(IF($Q74=3,1,0),IF($X74&lt;30,1,0))</formula>
    </cfRule>
    <cfRule type="expression" priority="580" dxfId="0">
      <formula>AND(IF($Q74=3,1,IF($Q74=4,1,0)),IF($F74&lt;=85,1,0))</formula>
    </cfRule>
  </conditionalFormatting>
  <conditionalFormatting sqref="X74">
    <cfRule type="expression" priority="573" dxfId="3">
      <formula>AND(IF(OR($Q74=1,$Q74=2),1,0),IF($X74&lt;=20,1,0))</formula>
    </cfRule>
    <cfRule type="expression" priority="574" dxfId="2">
      <formula>AND(IF($Q74=2,1,0),IF($X74&lt;30,1,0))</formula>
    </cfRule>
    <cfRule type="expression" priority="575" dxfId="1">
      <formula>AND(IF($Q74=3,1,0),IF($X74&lt;30,1,0))</formula>
    </cfRule>
    <cfRule type="expression" priority="576" dxfId="0">
      <formula>AND(IF($Q74=3,1,IF($Q74=4,1,0)),IF($F74&lt;=85,1,0))</formula>
    </cfRule>
  </conditionalFormatting>
  <conditionalFormatting sqref="AI74">
    <cfRule type="expression" priority="569" dxfId="3">
      <formula>AND(IF(OR($Q74=1,$Q74=2),1,0),IF($X74&lt;=20,1,0))</formula>
    </cfRule>
    <cfRule type="expression" priority="570" dxfId="2">
      <formula>AND(IF($Q74=2,1,0),IF($X74&lt;30,1,0))</formula>
    </cfRule>
    <cfRule type="expression" priority="571" dxfId="1">
      <formula>AND(IF($Q74=3,1,0),IF($X74&lt;30,1,0))</formula>
    </cfRule>
    <cfRule type="expression" priority="572" dxfId="0">
      <formula>AND(IF($Q74=3,1,IF($Q74=4,1,0)),IF($F74&lt;=85,1,0))</formula>
    </cfRule>
  </conditionalFormatting>
  <conditionalFormatting sqref="AV75">
    <cfRule type="expression" priority="567" dxfId="23">
      <formula>AV75="X"</formula>
    </cfRule>
    <cfRule type="expression" priority="568" dxfId="22">
      <formula>AV75="후보"</formula>
    </cfRule>
  </conditionalFormatting>
  <conditionalFormatting sqref="AC75 N7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76">
    <cfRule type="expression" priority="562" dxfId="23">
      <formula>AV76="X"</formula>
    </cfRule>
    <cfRule type="expression" priority="563" dxfId="22">
      <formula>AV76="후보"</formula>
    </cfRule>
  </conditionalFormatting>
  <conditionalFormatting sqref="AC76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6">
    <cfRule type="expression" priority="553" dxfId="3">
      <formula>AND(IF(OR($Q76=1,$Q76=2),1,0),IF($X76&lt;=20,1,0))</formula>
    </cfRule>
    <cfRule type="expression" priority="554" dxfId="2">
      <formula>AND(IF($Q76=2,1,0),IF($X76&lt;30,1,0))</formula>
    </cfRule>
    <cfRule type="expression" priority="555" dxfId="1">
      <formula>AND(IF($Q76=3,1,0),IF($X76&lt;30,1,0))</formula>
    </cfRule>
    <cfRule type="expression" priority="556" dxfId="0">
      <formula>AND(IF($Q76=3,1,IF($Q76=4,1,0)),IF($F76&lt;=85,1,0))</formula>
    </cfRule>
  </conditionalFormatting>
  <conditionalFormatting sqref="X76">
    <cfRule type="expression" priority="549" dxfId="3">
      <formula>AND(IF(OR($Q76=1,$Q76=2),1,0),IF($X76&lt;=20,1,0))</formula>
    </cfRule>
    <cfRule type="expression" priority="550" dxfId="2">
      <formula>AND(IF($Q76=2,1,0),IF($X76&lt;30,1,0))</formula>
    </cfRule>
    <cfRule type="expression" priority="551" dxfId="1">
      <formula>AND(IF($Q76=3,1,0),IF($X76&lt;30,1,0))</formula>
    </cfRule>
    <cfRule type="expression" priority="552" dxfId="0">
      <formula>AND(IF($Q76=3,1,IF($Q76=4,1,0)),IF($F76&lt;=85,1,0))</formula>
    </cfRule>
  </conditionalFormatting>
  <conditionalFormatting sqref="AI76">
    <cfRule type="expression" priority="545" dxfId="3">
      <formula>AND(IF(OR($Q76=1,$Q76=2),1,0),IF($X76&lt;=20,1,0))</formula>
    </cfRule>
    <cfRule type="expression" priority="546" dxfId="2">
      <formula>AND(IF($Q76=2,1,0),IF($X76&lt;30,1,0))</formula>
    </cfRule>
    <cfRule type="expression" priority="547" dxfId="1">
      <formula>AND(IF($Q76=3,1,0),IF($X76&lt;30,1,0))</formula>
    </cfRule>
    <cfRule type="expression" priority="548" dxfId="0">
      <formula>AND(IF($Q76=3,1,IF($Q76=4,1,0)),IF($F76&lt;=85,1,0))</formula>
    </cfRule>
  </conditionalFormatting>
  <conditionalFormatting sqref="AV77">
    <cfRule type="expression" priority="543" dxfId="23">
      <formula>AV77="X"</formula>
    </cfRule>
    <cfRule type="expression" priority="544" dxfId="22">
      <formula>AV77="후보"</formula>
    </cfRule>
  </conditionalFormatting>
  <conditionalFormatting sqref="AC77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7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77">
    <cfRule type="expression" priority="534" dxfId="3">
      <formula>AND(IF(OR($Q77=1,$Q77=2),1,0),IF($X77&lt;=20,1,0))</formula>
    </cfRule>
    <cfRule type="expression" priority="535" dxfId="2">
      <formula>AND(IF($Q77=2,1,0),IF($X77&lt;30,1,0))</formula>
    </cfRule>
    <cfRule type="expression" priority="536" dxfId="1">
      <formula>AND(IF($Q77=3,1,0),IF($X77&lt;30,1,0))</formula>
    </cfRule>
    <cfRule type="expression" priority="537" dxfId="0">
      <formula>AND(IF($Q77=3,1,IF($Q77=4,1,0)),IF($F77&lt;=85,1,0))</formula>
    </cfRule>
  </conditionalFormatting>
  <conditionalFormatting sqref="X77">
    <cfRule type="expression" priority="530" dxfId="3">
      <formula>AND(IF(OR($Q77=1,$Q77=2),1,0),IF($X77&lt;=20,1,0))</formula>
    </cfRule>
    <cfRule type="expression" priority="531" dxfId="2">
      <formula>AND(IF($Q77=2,1,0),IF($X77&lt;30,1,0))</formula>
    </cfRule>
    <cfRule type="expression" priority="532" dxfId="1">
      <formula>AND(IF($Q77=3,1,0),IF($X77&lt;30,1,0))</formula>
    </cfRule>
    <cfRule type="expression" priority="533" dxfId="0">
      <formula>AND(IF($Q77=3,1,IF($Q77=4,1,0)),IF($F77&lt;=85,1,0))</formula>
    </cfRule>
  </conditionalFormatting>
  <conditionalFormatting sqref="AI77">
    <cfRule type="expression" priority="526" dxfId="3">
      <formula>AND(IF(OR($Q77=1,$Q77=2),1,0),IF($X77&lt;=20,1,0))</formula>
    </cfRule>
    <cfRule type="expression" priority="527" dxfId="2">
      <formula>AND(IF($Q77=2,1,0),IF($X77&lt;30,1,0))</formula>
    </cfRule>
    <cfRule type="expression" priority="528" dxfId="1">
      <formula>AND(IF($Q77=3,1,0),IF($X77&lt;30,1,0))</formula>
    </cfRule>
    <cfRule type="expression" priority="529" dxfId="0">
      <formula>AND(IF($Q77=3,1,IF($Q77=4,1,0)),IF($F77&lt;=85,1,0))</formula>
    </cfRule>
  </conditionalFormatting>
  <conditionalFormatting sqref="AV78">
    <cfRule type="expression" priority="524" dxfId="23">
      <formula>AV78="X"</formula>
    </cfRule>
    <cfRule type="expression" priority="525" dxfId="22">
      <formula>AV78="후보"</formula>
    </cfRule>
  </conditionalFormatting>
  <conditionalFormatting sqref="AC78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7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78">
    <cfRule type="expression" priority="515" dxfId="3">
      <formula>AND(IF(OR($Q78=1,$Q78=2),1,0),IF($X78&lt;=20,1,0))</formula>
    </cfRule>
    <cfRule type="expression" priority="516" dxfId="2">
      <formula>AND(IF($Q78=2,1,0),IF($X78&lt;30,1,0))</formula>
    </cfRule>
    <cfRule type="expression" priority="517" dxfId="1">
      <formula>AND(IF($Q78=3,1,0),IF($X78&lt;30,1,0))</formula>
    </cfRule>
    <cfRule type="expression" priority="518" dxfId="0">
      <formula>AND(IF($Q78=3,1,IF($Q78=4,1,0)),IF($F78&lt;=85,1,0))</formula>
    </cfRule>
  </conditionalFormatting>
  <conditionalFormatting sqref="X78">
    <cfRule type="expression" priority="511" dxfId="3">
      <formula>AND(IF(OR($Q78=1,$Q78=2),1,0),IF($X78&lt;=20,1,0))</formula>
    </cfRule>
    <cfRule type="expression" priority="512" dxfId="2">
      <formula>AND(IF($Q78=2,1,0),IF($X78&lt;30,1,0))</formula>
    </cfRule>
    <cfRule type="expression" priority="513" dxfId="1">
      <formula>AND(IF($Q78=3,1,0),IF($X78&lt;30,1,0))</formula>
    </cfRule>
    <cfRule type="expression" priority="514" dxfId="0">
      <formula>AND(IF($Q78=3,1,IF($Q78=4,1,0)),IF($F78&lt;=85,1,0))</formula>
    </cfRule>
  </conditionalFormatting>
  <conditionalFormatting sqref="AI78">
    <cfRule type="expression" priority="507" dxfId="3">
      <formula>AND(IF(OR($Q78=1,$Q78=2),1,0),IF($X78&lt;=20,1,0))</formula>
    </cfRule>
    <cfRule type="expression" priority="508" dxfId="2">
      <formula>AND(IF($Q78=2,1,0),IF($X78&lt;30,1,0))</formula>
    </cfRule>
    <cfRule type="expression" priority="509" dxfId="1">
      <formula>AND(IF($Q78=3,1,0),IF($X78&lt;30,1,0))</formula>
    </cfRule>
    <cfRule type="expression" priority="510" dxfId="0">
      <formula>AND(IF($Q78=3,1,IF($Q78=4,1,0)),IF($F78&lt;=85,1,0))</formula>
    </cfRule>
  </conditionalFormatting>
  <conditionalFormatting sqref="AV79">
    <cfRule type="expression" priority="505" dxfId="23">
      <formula>AV79="X"</formula>
    </cfRule>
    <cfRule type="expression" priority="506" dxfId="22">
      <formula>AV79="후보"</formula>
    </cfRule>
  </conditionalFormatting>
  <conditionalFormatting sqref="AC79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7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79">
    <cfRule type="expression" priority="496" dxfId="3">
      <formula>AND(IF(OR($Q79=1,$Q79=2),1,0),IF($X79&lt;=20,1,0))</formula>
    </cfRule>
    <cfRule type="expression" priority="497" dxfId="2">
      <formula>AND(IF($Q79=2,1,0),IF($X79&lt;30,1,0))</formula>
    </cfRule>
    <cfRule type="expression" priority="498" dxfId="1">
      <formula>AND(IF($Q79=3,1,0),IF($X79&lt;30,1,0))</formula>
    </cfRule>
    <cfRule type="expression" priority="499" dxfId="0">
      <formula>AND(IF($Q79=3,1,IF($Q79=4,1,0)),IF($F79&lt;=85,1,0))</formula>
    </cfRule>
  </conditionalFormatting>
  <conditionalFormatting sqref="X79">
    <cfRule type="expression" priority="492" dxfId="3">
      <formula>AND(IF(OR($Q79=1,$Q79=2),1,0),IF($X79&lt;=20,1,0))</formula>
    </cfRule>
    <cfRule type="expression" priority="493" dxfId="2">
      <formula>AND(IF($Q79=2,1,0),IF($X79&lt;30,1,0))</formula>
    </cfRule>
    <cfRule type="expression" priority="494" dxfId="1">
      <formula>AND(IF($Q79=3,1,0),IF($X79&lt;30,1,0))</formula>
    </cfRule>
    <cfRule type="expression" priority="495" dxfId="0">
      <formula>AND(IF($Q79=3,1,IF($Q79=4,1,0)),IF($F79&lt;=85,1,0))</formula>
    </cfRule>
  </conditionalFormatting>
  <conditionalFormatting sqref="AI79">
    <cfRule type="expression" priority="488" dxfId="3">
      <formula>AND(IF(OR($Q79=1,$Q79=2),1,0),IF($X79&lt;=20,1,0))</formula>
    </cfRule>
    <cfRule type="expression" priority="489" dxfId="2">
      <formula>AND(IF($Q79=2,1,0),IF($X79&lt;30,1,0))</formula>
    </cfRule>
    <cfRule type="expression" priority="490" dxfId="1">
      <formula>AND(IF($Q79=3,1,0),IF($X79&lt;30,1,0))</formula>
    </cfRule>
    <cfRule type="expression" priority="491" dxfId="0">
      <formula>AND(IF($Q79=3,1,IF($Q79=4,1,0)),IF($F79&lt;=85,1,0))</formula>
    </cfRule>
  </conditionalFormatting>
  <conditionalFormatting sqref="AV80">
    <cfRule type="expression" priority="486" dxfId="23">
      <formula>AV80="X"</formula>
    </cfRule>
    <cfRule type="expression" priority="487" dxfId="22">
      <formula>AV80="후보"</formula>
    </cfRule>
  </conditionalFormatting>
  <conditionalFormatting sqref="AC8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0">
    <cfRule type="expression" priority="477" dxfId="3">
      <formula>AND(IF(OR($Q80=1,$Q80=2),1,0),IF($X80&lt;=20,1,0))</formula>
    </cfRule>
    <cfRule type="expression" priority="478" dxfId="2">
      <formula>AND(IF($Q80=2,1,0),IF($X80&lt;30,1,0))</formula>
    </cfRule>
    <cfRule type="expression" priority="479" dxfId="1">
      <formula>AND(IF($Q80=3,1,0),IF($X80&lt;30,1,0))</formula>
    </cfRule>
    <cfRule type="expression" priority="480" dxfId="0">
      <formula>AND(IF($Q80=3,1,IF($Q80=4,1,0)),IF($F80&lt;=85,1,0))</formula>
    </cfRule>
  </conditionalFormatting>
  <conditionalFormatting sqref="X80">
    <cfRule type="expression" priority="473" dxfId="3">
      <formula>AND(IF(OR($Q80=1,$Q80=2),1,0),IF($X80&lt;=20,1,0))</formula>
    </cfRule>
    <cfRule type="expression" priority="474" dxfId="2">
      <formula>AND(IF($Q80=2,1,0),IF($X80&lt;30,1,0))</formula>
    </cfRule>
    <cfRule type="expression" priority="475" dxfId="1">
      <formula>AND(IF($Q80=3,1,0),IF($X80&lt;30,1,0))</formula>
    </cfRule>
    <cfRule type="expression" priority="476" dxfId="0">
      <formula>AND(IF($Q80=3,1,IF($Q80=4,1,0)),IF($F80&lt;=85,1,0))</formula>
    </cfRule>
  </conditionalFormatting>
  <conditionalFormatting sqref="AI80">
    <cfRule type="expression" priority="469" dxfId="3">
      <formula>AND(IF(OR($Q80=1,$Q80=2),1,0),IF($X80&lt;=20,1,0))</formula>
    </cfRule>
    <cfRule type="expression" priority="470" dxfId="2">
      <formula>AND(IF($Q80=2,1,0),IF($X80&lt;30,1,0))</formula>
    </cfRule>
    <cfRule type="expression" priority="471" dxfId="1">
      <formula>AND(IF($Q80=3,1,0),IF($X80&lt;30,1,0))</formula>
    </cfRule>
    <cfRule type="expression" priority="472" dxfId="0">
      <formula>AND(IF($Q80=3,1,IF($Q80=4,1,0)),IF($F80&lt;=85,1,0))</formula>
    </cfRule>
  </conditionalFormatting>
  <conditionalFormatting sqref="AV81">
    <cfRule type="expression" priority="467" dxfId="23">
      <formula>AV81="X"</formula>
    </cfRule>
    <cfRule type="expression" priority="468" dxfId="22">
      <formula>AV81="후보"</formula>
    </cfRule>
  </conditionalFormatting>
  <conditionalFormatting sqref="AC81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8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81">
    <cfRule type="expression" priority="458" dxfId="3">
      <formula>AND(IF(OR($Q81=1,$Q81=2),1,0),IF($X81&lt;=20,1,0))</formula>
    </cfRule>
    <cfRule type="expression" priority="459" dxfId="2">
      <formula>AND(IF($Q81=2,1,0),IF($X81&lt;30,1,0))</formula>
    </cfRule>
    <cfRule type="expression" priority="460" dxfId="1">
      <formula>AND(IF($Q81=3,1,0),IF($X81&lt;30,1,0))</formula>
    </cfRule>
    <cfRule type="expression" priority="461" dxfId="0">
      <formula>AND(IF($Q81=3,1,IF($Q81=4,1,0)),IF($F81&lt;=85,1,0))</formula>
    </cfRule>
  </conditionalFormatting>
  <conditionalFormatting sqref="X81">
    <cfRule type="expression" priority="454" dxfId="3">
      <formula>AND(IF(OR($Q81=1,$Q81=2),1,0),IF($X81&lt;=20,1,0))</formula>
    </cfRule>
    <cfRule type="expression" priority="455" dxfId="2">
      <formula>AND(IF($Q81=2,1,0),IF($X81&lt;30,1,0))</formula>
    </cfRule>
    <cfRule type="expression" priority="456" dxfId="1">
      <formula>AND(IF($Q81=3,1,0),IF($X81&lt;30,1,0))</formula>
    </cfRule>
    <cfRule type="expression" priority="457" dxfId="0">
      <formula>AND(IF($Q81=3,1,IF($Q81=4,1,0)),IF($F81&lt;=85,1,0))</formula>
    </cfRule>
  </conditionalFormatting>
  <conditionalFormatting sqref="AI81">
    <cfRule type="expression" priority="450" dxfId="3">
      <formula>AND(IF(OR($Q81=1,$Q81=2),1,0),IF($X81&lt;=20,1,0))</formula>
    </cfRule>
    <cfRule type="expression" priority="451" dxfId="2">
      <formula>AND(IF($Q81=2,1,0),IF($X81&lt;30,1,0))</formula>
    </cfRule>
    <cfRule type="expression" priority="452" dxfId="1">
      <formula>AND(IF($Q81=3,1,0),IF($X81&lt;30,1,0))</formula>
    </cfRule>
    <cfRule type="expression" priority="453" dxfId="0">
      <formula>AND(IF($Q81=3,1,IF($Q81=4,1,0)),IF($F81&lt;=85,1,0))</formula>
    </cfRule>
  </conditionalFormatting>
  <conditionalFormatting sqref="AV82">
    <cfRule type="expression" priority="448" dxfId="23">
      <formula>AV82="X"</formula>
    </cfRule>
    <cfRule type="expression" priority="449" dxfId="22">
      <formula>AV82="후보"</formula>
    </cfRule>
  </conditionalFormatting>
  <conditionalFormatting sqref="AC82 N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83">
    <cfRule type="expression" priority="443" dxfId="23">
      <formula>AV83="X"</formula>
    </cfRule>
    <cfRule type="expression" priority="444" dxfId="22">
      <formula>AV83="후보"</formula>
    </cfRule>
  </conditionalFormatting>
  <conditionalFormatting sqref="AC83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83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83">
    <cfRule type="expression" priority="434" dxfId="3">
      <formula>AND(IF(OR($Q83=1,$Q83=2),1,0),IF($X83&lt;=20,1,0))</formula>
    </cfRule>
    <cfRule type="expression" priority="435" dxfId="2">
      <formula>AND(IF($Q83=2,1,0),IF($X83&lt;30,1,0))</formula>
    </cfRule>
    <cfRule type="expression" priority="436" dxfId="1">
      <formula>AND(IF($Q83=3,1,0),IF($X83&lt;30,1,0))</formula>
    </cfRule>
    <cfRule type="expression" priority="437" dxfId="0">
      <formula>AND(IF($Q83=3,1,IF($Q83=4,1,0)),IF($F83&lt;=85,1,0))</formula>
    </cfRule>
  </conditionalFormatting>
  <conditionalFormatting sqref="X83">
    <cfRule type="expression" priority="430" dxfId="3">
      <formula>AND(IF(OR($Q83=1,$Q83=2),1,0),IF($X83&lt;=20,1,0))</formula>
    </cfRule>
    <cfRule type="expression" priority="431" dxfId="2">
      <formula>AND(IF($Q83=2,1,0),IF($X83&lt;30,1,0))</formula>
    </cfRule>
    <cfRule type="expression" priority="432" dxfId="1">
      <formula>AND(IF($Q83=3,1,0),IF($X83&lt;30,1,0))</formula>
    </cfRule>
    <cfRule type="expression" priority="433" dxfId="0">
      <formula>AND(IF($Q83=3,1,IF($Q83=4,1,0)),IF($F83&lt;=85,1,0))</formula>
    </cfRule>
  </conditionalFormatting>
  <conditionalFormatting sqref="AI83">
    <cfRule type="expression" priority="426" dxfId="3">
      <formula>AND(IF(OR($Q83=1,$Q83=2),1,0),IF($X83&lt;=20,1,0))</formula>
    </cfRule>
    <cfRule type="expression" priority="427" dxfId="2">
      <formula>AND(IF($Q83=2,1,0),IF($X83&lt;30,1,0))</formula>
    </cfRule>
    <cfRule type="expression" priority="428" dxfId="1">
      <formula>AND(IF($Q83=3,1,0),IF($X83&lt;30,1,0))</formula>
    </cfRule>
    <cfRule type="expression" priority="429" dxfId="0">
      <formula>AND(IF($Q83=3,1,IF($Q83=4,1,0)),IF($F83&lt;=85,1,0))</formula>
    </cfRule>
  </conditionalFormatting>
  <conditionalFormatting sqref="AV84">
    <cfRule type="expression" priority="424" dxfId="23">
      <formula>AV84="X"</formula>
    </cfRule>
    <cfRule type="expression" priority="425" dxfId="22">
      <formula>AV84="후보"</formula>
    </cfRule>
  </conditionalFormatting>
  <conditionalFormatting sqref="AC84 N84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85">
    <cfRule type="expression" priority="419" dxfId="23">
      <formula>AV85="X"</formula>
    </cfRule>
    <cfRule type="expression" priority="420" dxfId="22">
      <formula>AV85="후보"</formula>
    </cfRule>
  </conditionalFormatting>
  <conditionalFormatting sqref="AC85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5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5">
    <cfRule type="expression" priority="410" dxfId="3">
      <formula>AND(IF(OR($Q85=1,$Q85=2),1,0),IF($X85&lt;=20,1,0))</formula>
    </cfRule>
    <cfRule type="expression" priority="411" dxfId="2">
      <formula>AND(IF($Q85=2,1,0),IF($X85&lt;30,1,0))</formula>
    </cfRule>
    <cfRule type="expression" priority="412" dxfId="1">
      <formula>AND(IF($Q85=3,1,0),IF($X85&lt;30,1,0))</formula>
    </cfRule>
    <cfRule type="expression" priority="413" dxfId="0">
      <formula>AND(IF($Q85=3,1,IF($Q85=4,1,0)),IF($F85&lt;=85,1,0))</formula>
    </cfRule>
  </conditionalFormatting>
  <conditionalFormatting sqref="X85">
    <cfRule type="expression" priority="406" dxfId="3">
      <formula>AND(IF(OR($Q85=1,$Q85=2),1,0),IF($X85&lt;=20,1,0))</formula>
    </cfRule>
    <cfRule type="expression" priority="407" dxfId="2">
      <formula>AND(IF($Q85=2,1,0),IF($X85&lt;30,1,0))</formula>
    </cfRule>
    <cfRule type="expression" priority="408" dxfId="1">
      <formula>AND(IF($Q85=3,1,0),IF($X85&lt;30,1,0))</formula>
    </cfRule>
    <cfRule type="expression" priority="409" dxfId="0">
      <formula>AND(IF($Q85=3,1,IF($Q85=4,1,0)),IF($F85&lt;=85,1,0))</formula>
    </cfRule>
  </conditionalFormatting>
  <conditionalFormatting sqref="AI85">
    <cfRule type="expression" priority="402" dxfId="3">
      <formula>AND(IF(OR($Q85=1,$Q85=2),1,0),IF($X85&lt;=20,1,0))</formula>
    </cfRule>
    <cfRule type="expression" priority="403" dxfId="2">
      <formula>AND(IF($Q85=2,1,0),IF($X85&lt;30,1,0))</formula>
    </cfRule>
    <cfRule type="expression" priority="404" dxfId="1">
      <formula>AND(IF($Q85=3,1,0),IF($X85&lt;30,1,0))</formula>
    </cfRule>
    <cfRule type="expression" priority="405" dxfId="0">
      <formula>AND(IF($Q85=3,1,IF($Q85=4,1,0)),IF($F85&lt;=85,1,0))</formula>
    </cfRule>
  </conditionalFormatting>
  <conditionalFormatting sqref="AV86">
    <cfRule type="expression" priority="400" dxfId="23">
      <formula>AV86="X"</formula>
    </cfRule>
    <cfRule type="expression" priority="401" dxfId="22">
      <formula>AV86="후보"</formula>
    </cfRule>
  </conditionalFormatting>
  <conditionalFormatting sqref="AC86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86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86">
    <cfRule type="expression" priority="391" dxfId="3">
      <formula>AND(IF(OR($Q86=1,$Q86=2),1,0),IF($X86&lt;=20,1,0))</formula>
    </cfRule>
    <cfRule type="expression" priority="392" dxfId="2">
      <formula>AND(IF($Q86=2,1,0),IF($X86&lt;30,1,0))</formula>
    </cfRule>
    <cfRule type="expression" priority="393" dxfId="1">
      <formula>AND(IF($Q86=3,1,0),IF($X86&lt;30,1,0))</formula>
    </cfRule>
    <cfRule type="expression" priority="394" dxfId="0">
      <formula>AND(IF($Q86=3,1,IF($Q86=4,1,0)),IF($F86&lt;=85,1,0))</formula>
    </cfRule>
  </conditionalFormatting>
  <conditionalFormatting sqref="X86">
    <cfRule type="expression" priority="387" dxfId="3">
      <formula>AND(IF(OR($Q86=1,$Q86=2),1,0),IF($X86&lt;=20,1,0))</formula>
    </cfRule>
    <cfRule type="expression" priority="388" dxfId="2">
      <formula>AND(IF($Q86=2,1,0),IF($X86&lt;30,1,0))</formula>
    </cfRule>
    <cfRule type="expression" priority="389" dxfId="1">
      <formula>AND(IF($Q86=3,1,0),IF($X86&lt;30,1,0))</formula>
    </cfRule>
    <cfRule type="expression" priority="390" dxfId="0">
      <formula>AND(IF($Q86=3,1,IF($Q86=4,1,0)),IF($F86&lt;=85,1,0))</formula>
    </cfRule>
  </conditionalFormatting>
  <conditionalFormatting sqref="AI86">
    <cfRule type="expression" priority="383" dxfId="3">
      <formula>AND(IF(OR($Q86=1,$Q86=2),1,0),IF($X86&lt;=20,1,0))</formula>
    </cfRule>
    <cfRule type="expression" priority="384" dxfId="2">
      <formula>AND(IF($Q86=2,1,0),IF($X86&lt;30,1,0))</formula>
    </cfRule>
    <cfRule type="expression" priority="385" dxfId="1">
      <formula>AND(IF($Q86=3,1,0),IF($X86&lt;30,1,0))</formula>
    </cfRule>
    <cfRule type="expression" priority="386" dxfId="0">
      <formula>AND(IF($Q86=3,1,IF($Q86=4,1,0)),IF($F86&lt;=85,1,0))</formula>
    </cfRule>
  </conditionalFormatting>
  <conditionalFormatting sqref="AV87">
    <cfRule type="expression" priority="381" dxfId="23">
      <formula>AV87="X"</formula>
    </cfRule>
    <cfRule type="expression" priority="382" dxfId="22">
      <formula>AV87="후보"</formula>
    </cfRule>
  </conditionalFormatting>
  <conditionalFormatting sqref="AC87 N87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88">
    <cfRule type="expression" priority="376" dxfId="23">
      <formula>AV88="X"</formula>
    </cfRule>
    <cfRule type="expression" priority="377" dxfId="22">
      <formula>AV88="후보"</formula>
    </cfRule>
  </conditionalFormatting>
  <conditionalFormatting sqref="AC8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88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88">
    <cfRule type="expression" priority="367" dxfId="3">
      <formula>AND(IF(OR($Q88=1,$Q88=2),1,0),IF($X88&lt;=20,1,0))</formula>
    </cfRule>
    <cfRule type="expression" priority="368" dxfId="2">
      <formula>AND(IF($Q88=2,1,0),IF($X88&lt;30,1,0))</formula>
    </cfRule>
    <cfRule type="expression" priority="369" dxfId="1">
      <formula>AND(IF($Q88=3,1,0),IF($X88&lt;30,1,0))</formula>
    </cfRule>
    <cfRule type="expression" priority="370" dxfId="0">
      <formula>AND(IF($Q88=3,1,IF($Q88=4,1,0)),IF($F88&lt;=85,1,0))</formula>
    </cfRule>
  </conditionalFormatting>
  <conditionalFormatting sqref="X88">
    <cfRule type="expression" priority="363" dxfId="3">
      <formula>AND(IF(OR($Q88=1,$Q88=2),1,0),IF($X88&lt;=20,1,0))</formula>
    </cfRule>
    <cfRule type="expression" priority="364" dxfId="2">
      <formula>AND(IF($Q88=2,1,0),IF($X88&lt;30,1,0))</formula>
    </cfRule>
    <cfRule type="expression" priority="365" dxfId="1">
      <formula>AND(IF($Q88=3,1,0),IF($X88&lt;30,1,0))</formula>
    </cfRule>
    <cfRule type="expression" priority="366" dxfId="0">
      <formula>AND(IF($Q88=3,1,IF($Q88=4,1,0)),IF($F88&lt;=85,1,0))</formula>
    </cfRule>
  </conditionalFormatting>
  <conditionalFormatting sqref="AI88">
    <cfRule type="expression" priority="359" dxfId="3">
      <formula>AND(IF(OR($Q88=1,$Q88=2),1,0),IF($X88&lt;=20,1,0))</formula>
    </cfRule>
    <cfRule type="expression" priority="360" dxfId="2">
      <formula>AND(IF($Q88=2,1,0),IF($X88&lt;30,1,0))</formula>
    </cfRule>
    <cfRule type="expression" priority="361" dxfId="1">
      <formula>AND(IF($Q88=3,1,0),IF($X88&lt;30,1,0))</formula>
    </cfRule>
    <cfRule type="expression" priority="362" dxfId="0">
      <formula>AND(IF($Q88=3,1,IF($Q88=4,1,0)),IF($F88&lt;=85,1,0))</formula>
    </cfRule>
  </conditionalFormatting>
  <conditionalFormatting sqref="AV89">
    <cfRule type="expression" priority="357" dxfId="23">
      <formula>AV89="X"</formula>
    </cfRule>
    <cfRule type="expression" priority="358" dxfId="22">
      <formula>AV89="후보"</formula>
    </cfRule>
  </conditionalFormatting>
  <conditionalFormatting sqref="AC89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89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89">
    <cfRule type="expression" priority="348" dxfId="3">
      <formula>AND(IF(OR($Q89=1,$Q89=2),1,0),IF($X89&lt;=20,1,0))</formula>
    </cfRule>
    <cfRule type="expression" priority="349" dxfId="2">
      <formula>AND(IF($Q89=2,1,0),IF($X89&lt;30,1,0))</formula>
    </cfRule>
    <cfRule type="expression" priority="350" dxfId="1">
      <formula>AND(IF($Q89=3,1,0),IF($X89&lt;30,1,0))</formula>
    </cfRule>
    <cfRule type="expression" priority="351" dxfId="0">
      <formula>AND(IF($Q89=3,1,IF($Q89=4,1,0)),IF($F89&lt;=85,1,0))</formula>
    </cfRule>
  </conditionalFormatting>
  <conditionalFormatting sqref="X89">
    <cfRule type="expression" priority="344" dxfId="3">
      <formula>AND(IF(OR($Q89=1,$Q89=2),1,0),IF($X89&lt;=20,1,0))</formula>
    </cfRule>
    <cfRule type="expression" priority="345" dxfId="2">
      <formula>AND(IF($Q89=2,1,0),IF($X89&lt;30,1,0))</formula>
    </cfRule>
    <cfRule type="expression" priority="346" dxfId="1">
      <formula>AND(IF($Q89=3,1,0),IF($X89&lt;30,1,0))</formula>
    </cfRule>
    <cfRule type="expression" priority="347" dxfId="0">
      <formula>AND(IF($Q89=3,1,IF($Q89=4,1,0)),IF($F89&lt;=85,1,0))</formula>
    </cfRule>
  </conditionalFormatting>
  <conditionalFormatting sqref="AI89">
    <cfRule type="expression" priority="340" dxfId="3">
      <formula>AND(IF(OR($Q89=1,$Q89=2),1,0),IF($X89&lt;=20,1,0))</formula>
    </cfRule>
    <cfRule type="expression" priority="341" dxfId="2">
      <formula>AND(IF($Q89=2,1,0),IF($X89&lt;30,1,0))</formula>
    </cfRule>
    <cfRule type="expression" priority="342" dxfId="1">
      <formula>AND(IF($Q89=3,1,0),IF($X89&lt;30,1,0))</formula>
    </cfRule>
    <cfRule type="expression" priority="343" dxfId="0">
      <formula>AND(IF($Q89=3,1,IF($Q89=4,1,0)),IF($F89&lt;=85,1,0))</formula>
    </cfRule>
  </conditionalFormatting>
  <conditionalFormatting sqref="AV90">
    <cfRule type="expression" priority="338" dxfId="23">
      <formula>AV90="X"</formula>
    </cfRule>
    <cfRule type="expression" priority="339" dxfId="22">
      <formula>AV90="후보"</formula>
    </cfRule>
  </conditionalFormatting>
  <conditionalFormatting sqref="AC90 N90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91">
    <cfRule type="expression" priority="333" dxfId="23">
      <formula>AV91="X"</formula>
    </cfRule>
    <cfRule type="expression" priority="334" dxfId="22">
      <formula>AV91="후보"</formula>
    </cfRule>
  </conditionalFormatting>
  <conditionalFormatting sqref="AC9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9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91">
    <cfRule type="expression" priority="324" dxfId="3">
      <formula>AND(IF(OR($Q91=1,$Q91=2),1,0),IF($X91&lt;=20,1,0))</formula>
    </cfRule>
    <cfRule type="expression" priority="325" dxfId="2">
      <formula>AND(IF($Q91=2,1,0),IF($X91&lt;30,1,0))</formula>
    </cfRule>
    <cfRule type="expression" priority="326" dxfId="1">
      <formula>AND(IF($Q91=3,1,0),IF($X91&lt;30,1,0))</formula>
    </cfRule>
    <cfRule type="expression" priority="327" dxfId="0">
      <formula>AND(IF($Q91=3,1,IF($Q91=4,1,0)),IF($F91&lt;=85,1,0))</formula>
    </cfRule>
  </conditionalFormatting>
  <conditionalFormatting sqref="X91">
    <cfRule type="expression" priority="320" dxfId="3">
      <formula>AND(IF(OR($Q91=1,$Q91=2),1,0),IF($X91&lt;=20,1,0))</formula>
    </cfRule>
    <cfRule type="expression" priority="321" dxfId="2">
      <formula>AND(IF($Q91=2,1,0),IF($X91&lt;30,1,0))</formula>
    </cfRule>
    <cfRule type="expression" priority="322" dxfId="1">
      <formula>AND(IF($Q91=3,1,0),IF($X91&lt;30,1,0))</formula>
    </cfRule>
    <cfRule type="expression" priority="323" dxfId="0">
      <formula>AND(IF($Q91=3,1,IF($Q91=4,1,0)),IF($F91&lt;=85,1,0))</formula>
    </cfRule>
  </conditionalFormatting>
  <conditionalFormatting sqref="AI91">
    <cfRule type="expression" priority="316" dxfId="3">
      <formula>AND(IF(OR($Q91=1,$Q91=2),1,0),IF($X91&lt;=20,1,0))</formula>
    </cfRule>
    <cfRule type="expression" priority="317" dxfId="2">
      <formula>AND(IF($Q91=2,1,0),IF($X91&lt;30,1,0))</formula>
    </cfRule>
    <cfRule type="expression" priority="318" dxfId="1">
      <formula>AND(IF($Q91=3,1,0),IF($X91&lt;30,1,0))</formula>
    </cfRule>
    <cfRule type="expression" priority="319" dxfId="0">
      <formula>AND(IF($Q91=3,1,IF($Q91=4,1,0)),IF($F91&lt;=85,1,0))</formula>
    </cfRule>
  </conditionalFormatting>
  <conditionalFormatting sqref="AV92">
    <cfRule type="expression" priority="314" dxfId="23">
      <formula>AV92="X"</formula>
    </cfRule>
    <cfRule type="expression" priority="315" dxfId="22">
      <formula>AV92="후보"</formula>
    </cfRule>
  </conditionalFormatting>
  <conditionalFormatting sqref="AC92 N9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93">
    <cfRule type="expression" priority="309" dxfId="23">
      <formula>AV93="X"</formula>
    </cfRule>
    <cfRule type="expression" priority="310" dxfId="22">
      <formula>AV93="후보"</formula>
    </cfRule>
  </conditionalFormatting>
  <conditionalFormatting sqref="AC9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3">
    <cfRule type="expression" priority="300" dxfId="3">
      <formula>AND(IF(OR($Q93=1,$Q93=2),1,0),IF($X93&lt;=20,1,0))</formula>
    </cfRule>
    <cfRule type="expression" priority="301" dxfId="2">
      <formula>AND(IF($Q93=2,1,0),IF($X93&lt;30,1,0))</formula>
    </cfRule>
    <cfRule type="expression" priority="302" dxfId="1">
      <formula>AND(IF($Q93=3,1,0),IF($X93&lt;30,1,0))</formula>
    </cfRule>
    <cfRule type="expression" priority="303" dxfId="0">
      <formula>AND(IF($Q93=3,1,IF($Q93=4,1,0)),IF($F93&lt;=85,1,0))</formula>
    </cfRule>
  </conditionalFormatting>
  <conditionalFormatting sqref="X93">
    <cfRule type="expression" priority="296" dxfId="3">
      <formula>AND(IF(OR($Q93=1,$Q93=2),1,0),IF($X93&lt;=20,1,0))</formula>
    </cfRule>
    <cfRule type="expression" priority="297" dxfId="2">
      <formula>AND(IF($Q93=2,1,0),IF($X93&lt;30,1,0))</formula>
    </cfRule>
    <cfRule type="expression" priority="298" dxfId="1">
      <formula>AND(IF($Q93=3,1,0),IF($X93&lt;30,1,0))</formula>
    </cfRule>
    <cfRule type="expression" priority="299" dxfId="0">
      <formula>AND(IF($Q93=3,1,IF($Q93=4,1,0)),IF($F93&lt;=85,1,0))</formula>
    </cfRule>
  </conditionalFormatting>
  <conditionalFormatting sqref="AI93">
    <cfRule type="expression" priority="292" dxfId="3">
      <formula>AND(IF(OR($Q93=1,$Q93=2),1,0),IF($X93&lt;=20,1,0))</formula>
    </cfRule>
    <cfRule type="expression" priority="293" dxfId="2">
      <formula>AND(IF($Q93=2,1,0),IF($X93&lt;30,1,0))</formula>
    </cfRule>
    <cfRule type="expression" priority="294" dxfId="1">
      <formula>AND(IF($Q93=3,1,0),IF($X93&lt;30,1,0))</formula>
    </cfRule>
    <cfRule type="expression" priority="295" dxfId="0">
      <formula>AND(IF($Q93=3,1,IF($Q93=4,1,0)),IF($F93&lt;=85,1,0))</formula>
    </cfRule>
  </conditionalFormatting>
  <conditionalFormatting sqref="AV94">
    <cfRule type="expression" priority="290" dxfId="23">
      <formula>AV94="X"</formula>
    </cfRule>
    <cfRule type="expression" priority="291" dxfId="22">
      <formula>AV94="후보"</formula>
    </cfRule>
  </conditionalFormatting>
  <conditionalFormatting sqref="AC9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94">
    <cfRule type="expression" priority="281" dxfId="3">
      <formula>AND(IF(OR($Q94=1,$Q94=2),1,0),IF($X94&lt;=20,1,0))</formula>
    </cfRule>
    <cfRule type="expression" priority="282" dxfId="2">
      <formula>AND(IF($Q94=2,1,0),IF($X94&lt;30,1,0))</formula>
    </cfRule>
    <cfRule type="expression" priority="283" dxfId="1">
      <formula>AND(IF($Q94=3,1,0),IF($X94&lt;30,1,0))</formula>
    </cfRule>
    <cfRule type="expression" priority="284" dxfId="0">
      <formula>AND(IF($Q94=3,1,IF($Q94=4,1,0)),IF($F94&lt;=85,1,0))</formula>
    </cfRule>
  </conditionalFormatting>
  <conditionalFormatting sqref="X94">
    <cfRule type="expression" priority="277" dxfId="3">
      <formula>AND(IF(OR($Q94=1,$Q94=2),1,0),IF($X94&lt;=20,1,0))</formula>
    </cfRule>
    <cfRule type="expression" priority="278" dxfId="2">
      <formula>AND(IF($Q94=2,1,0),IF($X94&lt;30,1,0))</formula>
    </cfRule>
    <cfRule type="expression" priority="279" dxfId="1">
      <formula>AND(IF($Q94=3,1,0),IF($X94&lt;30,1,0))</formula>
    </cfRule>
    <cfRule type="expression" priority="280" dxfId="0">
      <formula>AND(IF($Q94=3,1,IF($Q94=4,1,0)),IF($F94&lt;=85,1,0))</formula>
    </cfRule>
  </conditionalFormatting>
  <conditionalFormatting sqref="AI94">
    <cfRule type="expression" priority="273" dxfId="3">
      <formula>AND(IF(OR($Q94=1,$Q94=2),1,0),IF($X94&lt;=20,1,0))</formula>
    </cfRule>
    <cfRule type="expression" priority="274" dxfId="2">
      <formula>AND(IF($Q94=2,1,0),IF($X94&lt;30,1,0))</formula>
    </cfRule>
    <cfRule type="expression" priority="275" dxfId="1">
      <formula>AND(IF($Q94=3,1,0),IF($X94&lt;30,1,0))</formula>
    </cfRule>
    <cfRule type="expression" priority="276" dxfId="0">
      <formula>AND(IF($Q94=3,1,IF($Q94=4,1,0)),IF($F94&lt;=85,1,0))</formula>
    </cfRule>
  </conditionalFormatting>
  <conditionalFormatting sqref="AV95">
    <cfRule type="expression" priority="271" dxfId="23">
      <formula>AV95="X"</formula>
    </cfRule>
    <cfRule type="expression" priority="272" dxfId="22">
      <formula>AV95="후보"</formula>
    </cfRule>
  </conditionalFormatting>
  <conditionalFormatting sqref="AC9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9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95">
    <cfRule type="expression" priority="262" dxfId="3">
      <formula>AND(IF(OR($Q95=1,$Q95=2),1,0),IF($X95&lt;=20,1,0))</formula>
    </cfRule>
    <cfRule type="expression" priority="263" dxfId="2">
      <formula>AND(IF($Q95=2,1,0),IF($X95&lt;30,1,0))</formula>
    </cfRule>
    <cfRule type="expression" priority="264" dxfId="1">
      <formula>AND(IF($Q95=3,1,0),IF($X95&lt;30,1,0))</formula>
    </cfRule>
    <cfRule type="expression" priority="265" dxfId="0">
      <formula>AND(IF($Q95=3,1,IF($Q95=4,1,0)),IF($F95&lt;=85,1,0))</formula>
    </cfRule>
  </conditionalFormatting>
  <conditionalFormatting sqref="X95">
    <cfRule type="expression" priority="258" dxfId="3">
      <formula>AND(IF(OR($Q95=1,$Q95=2),1,0),IF($X95&lt;=20,1,0))</formula>
    </cfRule>
    <cfRule type="expression" priority="259" dxfId="2">
      <formula>AND(IF($Q95=2,1,0),IF($X95&lt;30,1,0))</formula>
    </cfRule>
    <cfRule type="expression" priority="260" dxfId="1">
      <formula>AND(IF($Q95=3,1,0),IF($X95&lt;30,1,0))</formula>
    </cfRule>
    <cfRule type="expression" priority="261" dxfId="0">
      <formula>AND(IF($Q95=3,1,IF($Q95=4,1,0)),IF($F95&lt;=85,1,0))</formula>
    </cfRule>
  </conditionalFormatting>
  <conditionalFormatting sqref="AI95">
    <cfRule type="expression" priority="254" dxfId="3">
      <formula>AND(IF(OR($Q95=1,$Q95=2),1,0),IF($X95&lt;=20,1,0))</formula>
    </cfRule>
    <cfRule type="expression" priority="255" dxfId="2">
      <formula>AND(IF($Q95=2,1,0),IF($X95&lt;30,1,0))</formula>
    </cfRule>
    <cfRule type="expression" priority="256" dxfId="1">
      <formula>AND(IF($Q95=3,1,0),IF($X95&lt;30,1,0))</formula>
    </cfRule>
    <cfRule type="expression" priority="257" dxfId="0">
      <formula>AND(IF($Q95=3,1,IF($Q95=4,1,0)),IF($F95&lt;=85,1,0))</formula>
    </cfRule>
  </conditionalFormatting>
  <conditionalFormatting sqref="AV96">
    <cfRule type="expression" priority="252" dxfId="23">
      <formula>AV96="X"</formula>
    </cfRule>
    <cfRule type="expression" priority="253" dxfId="22">
      <formula>AV96="후보"</formula>
    </cfRule>
  </conditionalFormatting>
  <conditionalFormatting sqref="AC96 N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7">
    <cfRule type="expression" priority="247" dxfId="23">
      <formula>AV97="X"</formula>
    </cfRule>
    <cfRule type="expression" priority="248" dxfId="22">
      <formula>AV97="후보"</formula>
    </cfRule>
  </conditionalFormatting>
  <conditionalFormatting sqref="AC9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7">
    <cfRule type="expression" priority="238" dxfId="3">
      <formula>AND(IF(OR($Q97=1,$Q97=2),1,0),IF($X97&lt;=20,1,0))</formula>
    </cfRule>
    <cfRule type="expression" priority="239" dxfId="2">
      <formula>AND(IF($Q97=2,1,0),IF($X97&lt;30,1,0))</formula>
    </cfRule>
    <cfRule type="expression" priority="240" dxfId="1">
      <formula>AND(IF($Q97=3,1,0),IF($X97&lt;30,1,0))</formula>
    </cfRule>
    <cfRule type="expression" priority="241" dxfId="0">
      <formula>AND(IF($Q97=3,1,IF($Q97=4,1,0)),IF($F97&lt;=85,1,0))</formula>
    </cfRule>
  </conditionalFormatting>
  <conditionalFormatting sqref="X97">
    <cfRule type="expression" priority="234" dxfId="3">
      <formula>AND(IF(OR($Q97=1,$Q97=2),1,0),IF($X97&lt;=20,1,0))</formula>
    </cfRule>
    <cfRule type="expression" priority="235" dxfId="2">
      <formula>AND(IF($Q97=2,1,0),IF($X97&lt;30,1,0))</formula>
    </cfRule>
    <cfRule type="expression" priority="236" dxfId="1">
      <formula>AND(IF($Q97=3,1,0),IF($X97&lt;30,1,0))</formula>
    </cfRule>
    <cfRule type="expression" priority="237" dxfId="0">
      <formula>AND(IF($Q97=3,1,IF($Q97=4,1,0)),IF($F97&lt;=85,1,0))</formula>
    </cfRule>
  </conditionalFormatting>
  <conditionalFormatting sqref="AI97">
    <cfRule type="expression" priority="230" dxfId="3">
      <formula>AND(IF(OR($Q97=1,$Q97=2),1,0),IF($X97&lt;=20,1,0))</formula>
    </cfRule>
    <cfRule type="expression" priority="231" dxfId="2">
      <formula>AND(IF($Q97=2,1,0),IF($X97&lt;30,1,0))</formula>
    </cfRule>
    <cfRule type="expression" priority="232" dxfId="1">
      <formula>AND(IF($Q97=3,1,0),IF($X97&lt;30,1,0))</formula>
    </cfRule>
    <cfRule type="expression" priority="233" dxfId="0">
      <formula>AND(IF($Q97=3,1,IF($Q97=4,1,0)),IF($F97&lt;=85,1,0))</formula>
    </cfRule>
  </conditionalFormatting>
  <conditionalFormatting sqref="AV98">
    <cfRule type="expression" priority="228" dxfId="23">
      <formula>AV98="X"</formula>
    </cfRule>
    <cfRule type="expression" priority="229" dxfId="22">
      <formula>AV98="후보"</formula>
    </cfRule>
  </conditionalFormatting>
  <conditionalFormatting sqref="AC98 N9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0">
    <cfRule type="expression" priority="195" dxfId="3">
      <formula>AND(IF(OR($Q100=1,$Q100=2),1,0),IF($X100&lt;=20,1,0))</formula>
    </cfRule>
    <cfRule type="expression" priority="196" dxfId="2">
      <formula>AND(IF($Q100=2,1,0),IF($X100&lt;30,1,0))</formula>
    </cfRule>
    <cfRule type="expression" priority="197" dxfId="1">
      <formula>AND(IF($Q100=3,1,0),IF($X100&lt;30,1,0))</formula>
    </cfRule>
    <cfRule type="expression" priority="198" dxfId="0">
      <formula>AND(IF($Q100=3,1,IF($Q100=4,1,0)),IF($F100&lt;=85,1,0))</formula>
    </cfRule>
  </conditionalFormatting>
  <conditionalFormatting sqref="X100">
    <cfRule type="expression" priority="191" dxfId="3">
      <formula>AND(IF(OR($Q100=1,$Q100=2),1,0),IF($X100&lt;=20,1,0))</formula>
    </cfRule>
    <cfRule type="expression" priority="192" dxfId="2">
      <formula>AND(IF($Q100=2,1,0),IF($X100&lt;30,1,0))</formula>
    </cfRule>
    <cfRule type="expression" priority="193" dxfId="1">
      <formula>AND(IF($Q100=3,1,0),IF($X100&lt;30,1,0))</formula>
    </cfRule>
    <cfRule type="expression" priority="194" dxfId="0">
      <formula>AND(IF($Q100=3,1,IF($Q100=4,1,0)),IF($F100&lt;=85,1,0))</formula>
    </cfRule>
  </conditionalFormatting>
  <conditionalFormatting sqref="AI100">
    <cfRule type="expression" priority="187" dxfId="3">
      <formula>AND(IF(OR($Q100=1,$Q100=2),1,0),IF($X100&lt;=20,1,0))</formula>
    </cfRule>
    <cfRule type="expression" priority="188" dxfId="2">
      <formula>AND(IF($Q100=2,1,0),IF($X100&lt;30,1,0))</formula>
    </cfRule>
    <cfRule type="expression" priority="189" dxfId="1">
      <formula>AND(IF($Q100=3,1,0),IF($X100&lt;30,1,0))</formula>
    </cfRule>
    <cfRule type="expression" priority="190" dxfId="0">
      <formula>AND(IF($Q100=3,1,IF($Q100=4,1,0)),IF($F100&lt;=85,1,0))</formula>
    </cfRule>
  </conditionalFormatting>
  <conditionalFormatting sqref="AV101">
    <cfRule type="expression" priority="185" dxfId="23">
      <formula>AV101="X"</formula>
    </cfRule>
    <cfRule type="expression" priority="186" dxfId="22">
      <formula>AV101="후보"</formula>
    </cfRule>
  </conditionalFormatting>
  <conditionalFormatting sqref="AC10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1">
    <cfRule type="expression" priority="176" dxfId="3">
      <formula>AND(IF(OR($Q101=1,$Q101=2),1,0),IF($X101&lt;=20,1,0))</formula>
    </cfRule>
    <cfRule type="expression" priority="177" dxfId="2">
      <formula>AND(IF($Q101=2,1,0),IF($X101&lt;30,1,0))</formula>
    </cfRule>
    <cfRule type="expression" priority="178" dxfId="1">
      <formula>AND(IF($Q101=3,1,0),IF($X101&lt;30,1,0))</formula>
    </cfRule>
    <cfRule type="expression" priority="179" dxfId="0">
      <formula>AND(IF($Q101=3,1,IF($Q101=4,1,0)),IF($F101&lt;=85,1,0))</formula>
    </cfRule>
  </conditionalFormatting>
  <conditionalFormatting sqref="X101">
    <cfRule type="expression" priority="172" dxfId="3">
      <formula>AND(IF(OR($Q101=1,$Q101=2),1,0),IF($X101&lt;=20,1,0))</formula>
    </cfRule>
    <cfRule type="expression" priority="173" dxfId="2">
      <formula>AND(IF($Q101=2,1,0),IF($X101&lt;30,1,0))</formula>
    </cfRule>
    <cfRule type="expression" priority="174" dxfId="1">
      <formula>AND(IF($Q101=3,1,0),IF($X101&lt;30,1,0))</formula>
    </cfRule>
    <cfRule type="expression" priority="175" dxfId="0">
      <formula>AND(IF($Q101=3,1,IF($Q101=4,1,0)),IF($F101&lt;=85,1,0))</formula>
    </cfRule>
  </conditionalFormatting>
  <conditionalFormatting sqref="AI101">
    <cfRule type="expression" priority="168" dxfId="3">
      <formula>AND(IF(OR($Q101=1,$Q101=2),1,0),IF($X101&lt;=20,1,0))</formula>
    </cfRule>
    <cfRule type="expression" priority="169" dxfId="2">
      <formula>AND(IF($Q101=2,1,0),IF($X101&lt;30,1,0))</formula>
    </cfRule>
    <cfRule type="expression" priority="170" dxfId="1">
      <formula>AND(IF($Q101=3,1,0),IF($X101&lt;30,1,0))</formula>
    </cfRule>
    <cfRule type="expression" priority="171" dxfId="0">
      <formula>AND(IF($Q101=3,1,IF($Q101=4,1,0)),IF($F101&lt;=85,1,0))</formula>
    </cfRule>
  </conditionalFormatting>
  <conditionalFormatting sqref="AV102">
    <cfRule type="expression" priority="166" dxfId="23">
      <formula>AV102="X"</formula>
    </cfRule>
    <cfRule type="expression" priority="167" dxfId="22">
      <formula>AV102="후보"</formula>
    </cfRule>
  </conditionalFormatting>
  <conditionalFormatting sqref="AC10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0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02">
    <cfRule type="expression" priority="157" dxfId="3">
      <formula>AND(IF(OR($Q102=1,$Q102=2),1,0),IF($X102&lt;=20,1,0))</formula>
    </cfRule>
    <cfRule type="expression" priority="158" dxfId="2">
      <formula>AND(IF($Q102=2,1,0),IF($X102&lt;30,1,0))</formula>
    </cfRule>
    <cfRule type="expression" priority="159" dxfId="1">
      <formula>AND(IF($Q102=3,1,0),IF($X102&lt;30,1,0))</formula>
    </cfRule>
    <cfRule type="expression" priority="160" dxfId="0">
      <formula>AND(IF($Q102=3,1,IF($Q102=4,1,0)),IF($F102&lt;=85,1,0))</formula>
    </cfRule>
  </conditionalFormatting>
  <conditionalFormatting sqref="X102">
    <cfRule type="expression" priority="153" dxfId="3">
      <formula>AND(IF(OR($Q102=1,$Q102=2),1,0),IF($X102&lt;=20,1,0))</formula>
    </cfRule>
    <cfRule type="expression" priority="154" dxfId="2">
      <formula>AND(IF($Q102=2,1,0),IF($X102&lt;30,1,0))</formula>
    </cfRule>
    <cfRule type="expression" priority="155" dxfId="1">
      <formula>AND(IF($Q102=3,1,0),IF($X102&lt;30,1,0))</formula>
    </cfRule>
    <cfRule type="expression" priority="156" dxfId="0">
      <formula>AND(IF($Q102=3,1,IF($Q102=4,1,0)),IF($F102&lt;=85,1,0))</formula>
    </cfRule>
  </conditionalFormatting>
  <conditionalFormatting sqref="AI102">
    <cfRule type="expression" priority="149" dxfId="3">
      <formula>AND(IF(OR($Q102=1,$Q102=2),1,0),IF($X102&lt;=20,1,0))</formula>
    </cfRule>
    <cfRule type="expression" priority="150" dxfId="2">
      <formula>AND(IF($Q102=2,1,0),IF($X102&lt;30,1,0))</formula>
    </cfRule>
    <cfRule type="expression" priority="151" dxfId="1">
      <formula>AND(IF($Q102=3,1,0),IF($X102&lt;30,1,0))</formula>
    </cfRule>
    <cfRule type="expression" priority="152" dxfId="0">
      <formula>AND(IF($Q102=3,1,IF($Q102=4,1,0)),IF($F102&lt;=85,1,0))</formula>
    </cfRule>
  </conditionalFormatting>
  <conditionalFormatting sqref="AV103">
    <cfRule type="expression" priority="147" dxfId="23">
      <formula>AV103="X"</formula>
    </cfRule>
    <cfRule type="expression" priority="148" dxfId="22">
      <formula>AV103="후보"</formula>
    </cfRule>
  </conditionalFormatting>
  <conditionalFormatting sqref="AC10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0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03">
    <cfRule type="expression" priority="138" dxfId="3">
      <formula>AND(IF(OR($Q103=1,$Q103=2),1,0),IF($X103&lt;=20,1,0))</formula>
    </cfRule>
    <cfRule type="expression" priority="139" dxfId="2">
      <formula>AND(IF($Q103=2,1,0),IF($X103&lt;30,1,0))</formula>
    </cfRule>
    <cfRule type="expression" priority="140" dxfId="1">
      <formula>AND(IF($Q103=3,1,0),IF($X103&lt;30,1,0))</formula>
    </cfRule>
    <cfRule type="expression" priority="141" dxfId="0">
      <formula>AND(IF($Q103=3,1,IF($Q103=4,1,0)),IF($F103&lt;=85,1,0))</formula>
    </cfRule>
  </conditionalFormatting>
  <conditionalFormatting sqref="X103">
    <cfRule type="expression" priority="134" dxfId="3">
      <formula>AND(IF(OR($Q103=1,$Q103=2),1,0),IF($X103&lt;=20,1,0))</formula>
    </cfRule>
    <cfRule type="expression" priority="135" dxfId="2">
      <formula>AND(IF($Q103=2,1,0),IF($X103&lt;30,1,0))</formula>
    </cfRule>
    <cfRule type="expression" priority="136" dxfId="1">
      <formula>AND(IF($Q103=3,1,0),IF($X103&lt;30,1,0))</formula>
    </cfRule>
    <cfRule type="expression" priority="137" dxfId="0">
      <formula>AND(IF($Q103=3,1,IF($Q103=4,1,0)),IF($F103&lt;=85,1,0))</formula>
    </cfRule>
  </conditionalFormatting>
  <conditionalFormatting sqref="AI103">
    <cfRule type="expression" priority="130" dxfId="3">
      <formula>AND(IF(OR($Q103=1,$Q103=2),1,0),IF($X103&lt;=20,1,0))</formula>
    </cfRule>
    <cfRule type="expression" priority="131" dxfId="2">
      <formula>AND(IF($Q103=2,1,0),IF($X103&lt;30,1,0))</formula>
    </cfRule>
    <cfRule type="expression" priority="132" dxfId="1">
      <formula>AND(IF($Q103=3,1,0),IF($X103&lt;30,1,0))</formula>
    </cfRule>
    <cfRule type="expression" priority="133" dxfId="0">
      <formula>AND(IF($Q103=3,1,IF($Q103=4,1,0)),IF($F103&lt;=85,1,0))</formula>
    </cfRule>
  </conditionalFormatting>
  <conditionalFormatting sqref="AV104">
    <cfRule type="expression" priority="128" dxfId="23">
      <formula>AV104="X"</formula>
    </cfRule>
    <cfRule type="expression" priority="129" dxfId="22">
      <formula>AV104="후보"</formula>
    </cfRule>
  </conditionalFormatting>
  <conditionalFormatting sqref="AC104 N10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5">
    <cfRule type="expression" priority="114" dxfId="3">
      <formula>AND(IF(OR($Q105=1,$Q105=2),1,0),IF($X105&lt;=20,1,0))</formula>
    </cfRule>
    <cfRule type="expression" priority="115" dxfId="2">
      <formula>AND(IF($Q105=2,1,0),IF($X105&lt;30,1,0))</formula>
    </cfRule>
    <cfRule type="expression" priority="116" dxfId="1">
      <formula>AND(IF($Q105=3,1,0),IF($X105&lt;30,1,0))</formula>
    </cfRule>
    <cfRule type="expression" priority="117" dxfId="0">
      <formula>AND(IF($Q105=3,1,IF($Q105=4,1,0)),IF($F105&lt;=85,1,0))</formula>
    </cfRule>
  </conditionalFormatting>
  <conditionalFormatting sqref="X105">
    <cfRule type="expression" priority="110" dxfId="3">
      <formula>AND(IF(OR($Q105=1,$Q105=2),1,0),IF($X105&lt;=20,1,0))</formula>
    </cfRule>
    <cfRule type="expression" priority="111" dxfId="2">
      <formula>AND(IF($Q105=2,1,0),IF($X105&lt;30,1,0))</formula>
    </cfRule>
    <cfRule type="expression" priority="112" dxfId="1">
      <formula>AND(IF($Q105=3,1,0),IF($X105&lt;30,1,0))</formula>
    </cfRule>
    <cfRule type="expression" priority="113" dxfId="0">
      <formula>AND(IF($Q105=3,1,IF($Q105=4,1,0)),IF($F105&lt;=85,1,0))</formula>
    </cfRule>
  </conditionalFormatting>
  <conditionalFormatting sqref="AI105">
    <cfRule type="expression" priority="106" dxfId="3">
      <formula>AND(IF(OR($Q105=1,$Q105=2),1,0),IF($X105&lt;=20,1,0))</formula>
    </cfRule>
    <cfRule type="expression" priority="107" dxfId="2">
      <formula>AND(IF($Q105=2,1,0),IF($X105&lt;30,1,0))</formula>
    </cfRule>
    <cfRule type="expression" priority="108" dxfId="1">
      <formula>AND(IF($Q105=3,1,0),IF($X105&lt;30,1,0))</formula>
    </cfRule>
    <cfRule type="expression" priority="109" dxfId="0">
      <formula>AND(IF($Q105=3,1,IF($Q105=4,1,0)),IF($F105&lt;=85,1,0))</formula>
    </cfRule>
  </conditionalFormatting>
  <conditionalFormatting sqref="AV106">
    <cfRule type="expression" priority="104" dxfId="23">
      <formula>AV106="X"</formula>
    </cfRule>
    <cfRule type="expression" priority="105" dxfId="22">
      <formula>AV106="후보"</formula>
    </cfRule>
  </conditionalFormatting>
  <conditionalFormatting sqref="AC10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6">
    <cfRule type="expression" priority="95" dxfId="3">
      <formula>AND(IF(OR($Q106=1,$Q106=2),1,0),IF($X106&lt;=20,1,0))</formula>
    </cfRule>
    <cfRule type="expression" priority="96" dxfId="2">
      <formula>AND(IF($Q106=2,1,0),IF($X106&lt;30,1,0))</formula>
    </cfRule>
    <cfRule type="expression" priority="97" dxfId="1">
      <formula>AND(IF($Q106=3,1,0),IF($X106&lt;30,1,0))</formula>
    </cfRule>
    <cfRule type="expression" priority="98" dxfId="0">
      <formula>AND(IF($Q106=3,1,IF($Q106=4,1,0)),IF($F106&lt;=85,1,0))</formula>
    </cfRule>
  </conditionalFormatting>
  <conditionalFormatting sqref="X106">
    <cfRule type="expression" priority="91" dxfId="3">
      <formula>AND(IF(OR($Q106=1,$Q106=2),1,0),IF($X106&lt;=20,1,0))</formula>
    </cfRule>
    <cfRule type="expression" priority="92" dxfId="2">
      <formula>AND(IF($Q106=2,1,0),IF($X106&lt;30,1,0))</formula>
    </cfRule>
    <cfRule type="expression" priority="93" dxfId="1">
      <formula>AND(IF($Q106=3,1,0),IF($X106&lt;30,1,0))</formula>
    </cfRule>
    <cfRule type="expression" priority="94" dxfId="0">
      <formula>AND(IF($Q106=3,1,IF($Q106=4,1,0)),IF($F106&lt;=85,1,0))</formula>
    </cfRule>
  </conditionalFormatting>
  <conditionalFormatting sqref="AI106">
    <cfRule type="expression" priority="87" dxfId="3">
      <formula>AND(IF(OR($Q106=1,$Q106=2),1,0),IF($X106&lt;=20,1,0))</formula>
    </cfRule>
    <cfRule type="expression" priority="88" dxfId="2">
      <formula>AND(IF($Q106=2,1,0),IF($X106&lt;30,1,0))</formula>
    </cfRule>
    <cfRule type="expression" priority="89" dxfId="1">
      <formula>AND(IF($Q106=3,1,0),IF($X106&lt;30,1,0))</formula>
    </cfRule>
    <cfRule type="expression" priority="90" dxfId="0">
      <formula>AND(IF($Q106=3,1,IF($Q106=4,1,0)),IF($F106&lt;=85,1,0))</formula>
    </cfRule>
  </conditionalFormatting>
  <conditionalFormatting sqref="AV107">
    <cfRule type="expression" priority="85" dxfId="23">
      <formula>AV107="X"</formula>
    </cfRule>
    <cfRule type="expression" priority="86" dxfId="22">
      <formula>AV107="후보"</formula>
    </cfRule>
  </conditionalFormatting>
  <conditionalFormatting sqref="AC107 N10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용정동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우미린에듀파크1단지</t>
        </is>
      </c>
      <c r="B6" s="10" t="inlineStr">
        <is>
          <t>'17.11.</t>
        </is>
      </c>
      <c r="C6" s="134" t="n">
        <v>390</v>
      </c>
      <c r="D6" s="132" t="n">
        <v>107.9</v>
      </c>
      <c r="E6" s="133" t="n">
        <v>33</v>
      </c>
      <c r="F6" s="132" t="n">
        <v>85</v>
      </c>
      <c r="G6" s="17" t="n">
        <v>26</v>
      </c>
      <c r="H6" s="134" t="n">
        <v>65</v>
      </c>
      <c r="I6" s="135" t="n">
        <v>44000</v>
      </c>
      <c r="J6" s="135" t="inlineStr">
        <is>
          <t>7</t>
        </is>
      </c>
      <c r="K6" s="135" t="n">
        <v>33000</v>
      </c>
      <c r="L6" s="135" t="inlineStr">
        <is>
          <t>21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1070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우미린에듀파크1단지</t>
        </is>
      </c>
      <c r="B7" s="10" t="inlineStr">
        <is>
          <t>'17.11.</t>
        </is>
      </c>
      <c r="C7" s="134" t="n">
        <v>390</v>
      </c>
      <c r="D7" s="132" t="n">
        <v>107.7</v>
      </c>
      <c r="E7" s="133" t="n">
        <v>33</v>
      </c>
      <c r="F7" s="132" t="n">
        <v>85</v>
      </c>
      <c r="G7" s="17" t="n">
        <v>26</v>
      </c>
      <c r="H7" s="134" t="n">
        <v>64</v>
      </c>
      <c r="I7" s="135" t="n">
        <v>40500</v>
      </c>
      <c r="J7" s="135" t="inlineStr">
        <is>
          <t>10</t>
        </is>
      </c>
      <c r="K7" s="135" t="n">
        <v>34000</v>
      </c>
      <c r="L7" s="135" t="inlineStr">
        <is>
          <t>14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10700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우미린에듀파크1단지</t>
        </is>
      </c>
      <c r="B8" s="10" t="inlineStr">
        <is>
          <t>'17.11.</t>
        </is>
      </c>
      <c r="C8" s="134" t="n">
        <v>390</v>
      </c>
      <c r="D8" s="132" t="n">
        <v>107.4</v>
      </c>
      <c r="E8" s="133" t="n">
        <v>32</v>
      </c>
      <c r="F8" s="132" t="n">
        <v>85</v>
      </c>
      <c r="G8" s="17" t="n">
        <v>26</v>
      </c>
      <c r="H8" s="134" t="n">
        <v>50</v>
      </c>
      <c r="I8" s="135" t="n">
        <v>42000</v>
      </c>
      <c r="J8" s="135" t="inlineStr">
        <is>
          <t>14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107A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우미린에듀파크1단지</t>
        </is>
      </c>
      <c r="B9" s="10" t="inlineStr">
        <is>
          <t>'17.11.</t>
        </is>
      </c>
      <c r="C9" s="134" t="n">
        <v>390</v>
      </c>
      <c r="D9" s="132" t="n">
        <v>142.1</v>
      </c>
      <c r="E9" s="133" t="n">
        <v>43</v>
      </c>
      <c r="F9" s="132" t="n">
        <v>113.9</v>
      </c>
      <c r="G9" s="17" t="n">
        <v>34</v>
      </c>
      <c r="H9" s="134" t="n">
        <v>171</v>
      </c>
      <c r="I9" s="135" t="n">
        <v>59000</v>
      </c>
      <c r="J9" s="135" t="inlineStr">
        <is>
          <t>고</t>
        </is>
      </c>
      <c r="K9" s="135" t="n">
        <v>36000</v>
      </c>
      <c r="L9" s="135" t="inlineStr">
        <is>
          <t>8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142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우미린에듀파크1단지</t>
        </is>
      </c>
      <c r="B10" s="10" t="inlineStr">
        <is>
          <t>'17.11.</t>
        </is>
      </c>
      <c r="C10" s="134" t="n">
        <v>390</v>
      </c>
      <c r="D10" s="132" t="n">
        <v>164</v>
      </c>
      <c r="E10" s="133" t="n">
        <v>50</v>
      </c>
      <c r="F10" s="132" t="n">
        <v>136.5</v>
      </c>
      <c r="G10" s="17" t="n">
        <v>41</v>
      </c>
      <c r="H10" s="134" t="n">
        <v>40</v>
      </c>
      <c r="I10" s="135" t="n">
        <v>73000</v>
      </c>
      <c r="J10" s="135" t="inlineStr">
        <is>
          <t>12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5</v>
      </c>
      <c r="R10" s="119" t="n">
        <v>2</v>
      </c>
      <c r="S10" s="119" t="inlineStr">
        <is>
          <t>계</t>
        </is>
      </c>
      <c r="T10" s="5" t="n">
        <v>163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청주용정한라비발디1단지</t>
        </is>
      </c>
      <c r="B12" s="10" t="inlineStr">
        <is>
          <t>'13.06.</t>
        </is>
      </c>
      <c r="C12" s="134" t="n">
        <v>612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173</v>
      </c>
      <c r="I12" s="135" t="n">
        <v>35500</v>
      </c>
      <c r="J12" s="135" t="inlineStr">
        <is>
          <t>19</t>
        </is>
      </c>
      <c r="K12" s="135" t="n">
        <v>27000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111C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청주용정한라비발디1단지</t>
        </is>
      </c>
      <c r="B13" s="10" t="inlineStr">
        <is>
          <t>'13.06.</t>
        </is>
      </c>
      <c r="C13" s="134" t="n">
        <v>612</v>
      </c>
      <c r="D13" s="132" t="n">
        <v>111.9</v>
      </c>
      <c r="E13" s="133" t="n">
        <v>34</v>
      </c>
      <c r="F13" s="132" t="n">
        <v>84.5</v>
      </c>
      <c r="G13" s="17" t="n">
        <v>26</v>
      </c>
      <c r="H13" s="134" t="n">
        <v>96</v>
      </c>
      <c r="I13" s="135" t="n">
        <v>35000</v>
      </c>
      <c r="J13" s="135" t="inlineStr">
        <is>
          <t>11</t>
        </is>
      </c>
      <c r="K13" s="135" t="n">
        <v>25000</v>
      </c>
      <c r="L13" s="135" t="inlineStr">
        <is>
          <t>14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2</v>
      </c>
      <c r="S13" s="119" t="inlineStr">
        <is>
          <t>계</t>
        </is>
      </c>
      <c r="T13" s="5" t="inlineStr">
        <is>
          <t>111B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청주용정한라비발디1단지</t>
        </is>
      </c>
      <c r="B14" s="10" t="inlineStr">
        <is>
          <t>'13.06.</t>
        </is>
      </c>
      <c r="C14" s="134" t="n">
        <v>612</v>
      </c>
      <c r="D14" s="132" t="n">
        <v>111.8</v>
      </c>
      <c r="E14" s="133" t="n">
        <v>34</v>
      </c>
      <c r="F14" s="132" t="n">
        <v>84.90000000000001</v>
      </c>
      <c r="G14" s="17" t="n">
        <v>26</v>
      </c>
      <c r="H14" s="134" t="n">
        <v>73</v>
      </c>
      <c r="I14" s="135" t="n">
        <v>36500</v>
      </c>
      <c r="J14" s="135" t="inlineStr">
        <is>
          <t>중</t>
        </is>
      </c>
      <c r="K14" s="135" t="n">
        <v>28000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111A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청주용정한라비발디1단지</t>
        </is>
      </c>
      <c r="B15" s="10" t="inlineStr">
        <is>
          <t>'13.06.</t>
        </is>
      </c>
      <c r="C15" s="134" t="n">
        <v>612</v>
      </c>
      <c r="D15" s="132" t="n">
        <v>130.7</v>
      </c>
      <c r="E15" s="133" t="n">
        <v>40</v>
      </c>
      <c r="F15" s="132" t="n">
        <v>102</v>
      </c>
      <c r="G15" s="17" t="n">
        <v>31</v>
      </c>
      <c r="H15" s="134" t="n">
        <v>113</v>
      </c>
      <c r="I15" s="135" t="n">
        <v>45000</v>
      </c>
      <c r="J15" s="135" t="inlineStr">
        <is>
          <t>9</t>
        </is>
      </c>
      <c r="K15" s="135" t="n">
        <v>37000</v>
      </c>
      <c r="L15" s="135" t="inlineStr">
        <is>
          <t>10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청주용정한라비발디1단지</t>
        </is>
      </c>
      <c r="B16" s="10" t="inlineStr">
        <is>
          <t>'13.06.</t>
        </is>
      </c>
      <c r="C16" s="134" t="n">
        <v>612</v>
      </c>
      <c r="D16" s="132" t="n">
        <v>130.2</v>
      </c>
      <c r="E16" s="133" t="n">
        <v>39</v>
      </c>
      <c r="F16" s="132" t="n">
        <v>102</v>
      </c>
      <c r="G16" s="17" t="n">
        <v>31</v>
      </c>
      <c r="H16" s="134" t="n">
        <v>91</v>
      </c>
      <c r="I16" s="135" t="n">
        <v>47000</v>
      </c>
      <c r="J16" s="135" t="inlineStr">
        <is>
          <t>고</t>
        </is>
      </c>
      <c r="K16" s="135" t="n">
        <v>36000</v>
      </c>
      <c r="L16" s="135" t="inlineStr">
        <is>
          <t>18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청주용정한라비발디1단지</t>
        </is>
      </c>
      <c r="B17" s="10" t="inlineStr">
        <is>
          <t>'13.06.</t>
        </is>
      </c>
      <c r="C17" s="134" t="n">
        <v>612</v>
      </c>
      <c r="D17" s="132" t="n">
        <v>130.8</v>
      </c>
      <c r="E17" s="133" t="n">
        <v>40</v>
      </c>
      <c r="F17" s="132" t="n">
        <v>101.9</v>
      </c>
      <c r="G17" s="17" t="n">
        <v>31</v>
      </c>
      <c r="H17" s="134" t="n">
        <v>21</v>
      </c>
      <c r="I17" s="135" t="n">
        <v>43000</v>
      </c>
      <c r="J17" s="135" t="inlineStr">
        <is>
          <t>11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2</v>
      </c>
      <c r="S17" s="119" t="inlineStr">
        <is>
          <t>계</t>
        </is>
      </c>
      <c r="T17" s="5" t="inlineStr">
        <is>
          <t>130B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청주용정한라비발디1단지</t>
        </is>
      </c>
      <c r="B18" s="10" t="inlineStr">
        <is>
          <t>'13.06.</t>
        </is>
      </c>
      <c r="C18" s="134" t="n">
        <v>612</v>
      </c>
      <c r="D18" s="132" t="n">
        <v>171.9</v>
      </c>
      <c r="E18" s="133" t="n">
        <v>52</v>
      </c>
      <c r="F18" s="132" t="n">
        <v>134.3</v>
      </c>
      <c r="G18" s="17" t="n">
        <v>41</v>
      </c>
      <c r="H18" s="134" t="n">
        <v>45</v>
      </c>
      <c r="I18" s="135" t="n">
        <v>64000</v>
      </c>
      <c r="J18" s="135" t="inlineStr">
        <is>
          <t>8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n">
        <v>171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청주용정한라비발디2단지</t>
        </is>
      </c>
      <c r="B20" s="10" t="inlineStr">
        <is>
          <t>'13.06.</t>
        </is>
      </c>
      <c r="C20" s="134" t="n">
        <v>788</v>
      </c>
      <c r="D20" s="132" t="n">
        <v>111.4</v>
      </c>
      <c r="E20" s="133" t="n">
        <v>34</v>
      </c>
      <c r="F20" s="132" t="n">
        <v>85</v>
      </c>
      <c r="G20" s="17" t="n">
        <v>26</v>
      </c>
      <c r="H20" s="134" t="n">
        <v>161</v>
      </c>
      <c r="I20" s="135" t="n">
        <v>37000</v>
      </c>
      <c r="J20" s="135" t="inlineStr">
        <is>
          <t>12</t>
        </is>
      </c>
      <c r="K20" s="135" t="n">
        <v>26000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청주용정한라비발디2단지</t>
        </is>
      </c>
      <c r="B21" s="10" t="inlineStr">
        <is>
          <t>'13.06.</t>
        </is>
      </c>
      <c r="C21" s="134" t="n">
        <v>788</v>
      </c>
      <c r="D21" s="132" t="n">
        <v>112.1</v>
      </c>
      <c r="E21" s="133" t="n">
        <v>34</v>
      </c>
      <c r="F21" s="132" t="n">
        <v>84.90000000000001</v>
      </c>
      <c r="G21" s="17" t="n">
        <v>26</v>
      </c>
      <c r="H21" s="134" t="n">
        <v>186</v>
      </c>
      <c r="I21" s="135" t="n">
        <v>35000</v>
      </c>
      <c r="J21" s="135" t="inlineStr">
        <is>
          <t>18</t>
        </is>
      </c>
      <c r="K21" s="135" t="n">
        <v>25000</v>
      </c>
      <c r="L21" s="135" t="inlineStr">
        <is>
          <t>9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청주용정한라비발디2단지</t>
        </is>
      </c>
      <c r="B22" s="10" t="inlineStr">
        <is>
          <t>'13.06.</t>
        </is>
      </c>
      <c r="C22" s="134" t="n">
        <v>788</v>
      </c>
      <c r="D22" s="132" t="n">
        <v>112.2</v>
      </c>
      <c r="E22" s="133" t="n">
        <v>34</v>
      </c>
      <c r="F22" s="132" t="n">
        <v>84.5</v>
      </c>
      <c r="G22" s="17" t="n">
        <v>26</v>
      </c>
      <c r="H22" s="134" t="n">
        <v>146</v>
      </c>
      <c r="I22" s="135" t="n">
        <v>37000</v>
      </c>
      <c r="J22" s="135" t="inlineStr">
        <is>
          <t>11</t>
        </is>
      </c>
      <c r="K22" s="135" t="n">
        <v>24000</v>
      </c>
      <c r="L22" s="135" t="inlineStr">
        <is>
          <t>14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청주용정한라비발디2단지</t>
        </is>
      </c>
      <c r="B23" s="10" t="inlineStr">
        <is>
          <t>'13.06.</t>
        </is>
      </c>
      <c r="C23" s="134" t="n">
        <v>788</v>
      </c>
      <c r="D23" s="132" t="n">
        <v>130.7</v>
      </c>
      <c r="E23" s="133" t="n">
        <v>40</v>
      </c>
      <c r="F23" s="132" t="n">
        <v>102</v>
      </c>
      <c r="G23" s="17" t="n">
        <v>31</v>
      </c>
      <c r="H23" s="134" t="n">
        <v>135</v>
      </c>
      <c r="I23" s="135" t="n">
        <v>43000</v>
      </c>
      <c r="J23" s="135" t="inlineStr">
        <is>
          <t>22</t>
        </is>
      </c>
      <c r="K23" s="135" t="n">
        <v>38000</v>
      </c>
      <c r="L23" s="135" t="inlineStr">
        <is>
          <t>23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130C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청주용정한라비발디2단지</t>
        </is>
      </c>
      <c r="B24" s="10" t="inlineStr">
        <is>
          <t>'13.06.</t>
        </is>
      </c>
      <c r="C24" s="134" t="n">
        <v>788</v>
      </c>
      <c r="D24" s="132" t="n">
        <v>130.2</v>
      </c>
      <c r="E24" s="133" t="n">
        <v>39</v>
      </c>
      <c r="F24" s="132" t="n">
        <v>102</v>
      </c>
      <c r="G24" s="17" t="n">
        <v>31</v>
      </c>
      <c r="H24" s="134" t="n">
        <v>93</v>
      </c>
      <c r="I24" s="135" t="n">
        <v>43000</v>
      </c>
      <c r="J24" s="135" t="inlineStr">
        <is>
          <t>고</t>
        </is>
      </c>
      <c r="K24" s="135" t="n">
        <v>37000</v>
      </c>
      <c r="L24" s="135" t="inlineStr">
        <is>
          <t>14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130A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청주용정한라비발디2단지</t>
        </is>
      </c>
      <c r="B25" s="10" t="inlineStr">
        <is>
          <t>'13.06.</t>
        </is>
      </c>
      <c r="C25" s="134" t="n">
        <v>788</v>
      </c>
      <c r="D25" s="132" t="n">
        <v>130.8</v>
      </c>
      <c r="E25" s="133" t="n">
        <v>40</v>
      </c>
      <c r="F25" s="132" t="n">
        <v>101.9</v>
      </c>
      <c r="G25" s="17" t="n">
        <v>31</v>
      </c>
      <c r="H25" s="134" t="n">
        <v>67</v>
      </c>
      <c r="I25" s="135" t="n">
        <v>46000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130B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 N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2">
    <cfRule type="expression" priority="251" dxfId="23">
      <formula>AV12="X"</formula>
    </cfRule>
    <cfRule type="expression" priority="252" dxfId="22">
      <formula>AV12="후보"</formula>
    </cfRule>
  </conditionalFormatting>
  <conditionalFormatting sqref="AC1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2">
    <cfRule type="expression" priority="242" dxfId="3">
      <formula>AND(IF(OR($Q12=1,$Q12=2),1,0),IF($X12&lt;=20,1,0))</formula>
    </cfRule>
    <cfRule type="expression" priority="243" dxfId="2">
      <formula>AND(IF($Q12=2,1,0),IF($X12&lt;30,1,0))</formula>
    </cfRule>
    <cfRule type="expression" priority="244" dxfId="1">
      <formula>AND(IF($Q12=3,1,0),IF($X12&lt;30,1,0))</formula>
    </cfRule>
    <cfRule type="expression" priority="245" dxfId="0">
      <formula>AND(IF($Q12=3,1,IF($Q12=4,1,0)),IF($F12&lt;=85,1,0))</formula>
    </cfRule>
  </conditionalFormatting>
  <conditionalFormatting sqref="X12">
    <cfRule type="expression" priority="238" dxfId="3">
      <formula>AND(IF(OR($Q12=1,$Q12=2),1,0),IF($X12&lt;=20,1,0))</formula>
    </cfRule>
    <cfRule type="expression" priority="239" dxfId="2">
      <formula>AND(IF($Q12=2,1,0),IF($X12&lt;30,1,0))</formula>
    </cfRule>
    <cfRule type="expression" priority="240" dxfId="1">
      <formula>AND(IF($Q12=3,1,0),IF($X12&lt;30,1,0))</formula>
    </cfRule>
    <cfRule type="expression" priority="241" dxfId="0">
      <formula>AND(IF($Q12=3,1,IF($Q12=4,1,0)),IF($F12&lt;=85,1,0))</formula>
    </cfRule>
  </conditionalFormatting>
  <conditionalFormatting sqref="AI12">
    <cfRule type="expression" priority="234" dxfId="3">
      <formula>AND(IF(OR($Q12=1,$Q12=2),1,0),IF($X12&lt;=20,1,0))</formula>
    </cfRule>
    <cfRule type="expression" priority="235" dxfId="2">
      <formula>AND(IF($Q12=2,1,0),IF($X12&lt;30,1,0))</formula>
    </cfRule>
    <cfRule type="expression" priority="236" dxfId="1">
      <formula>AND(IF($Q12=3,1,0),IF($X12&lt;30,1,0))</formula>
    </cfRule>
    <cfRule type="expression" priority="237" dxfId="0">
      <formula>AND(IF($Q12=3,1,IF($Q12=4,1,0)),IF($F12&lt;=85,1,0))</formula>
    </cfRule>
  </conditionalFormatting>
  <conditionalFormatting sqref="AV13">
    <cfRule type="expression" priority="232" dxfId="23">
      <formula>AV13="X"</formula>
    </cfRule>
    <cfRule type="expression" priority="233" dxfId="22">
      <formula>AV13="후보"</formula>
    </cfRule>
  </conditionalFormatting>
  <conditionalFormatting sqref="AC1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3">
    <cfRule type="expression" priority="223" dxfId="3">
      <formula>AND(IF(OR($Q13=1,$Q13=2),1,0),IF($X13&lt;=20,1,0))</formula>
    </cfRule>
    <cfRule type="expression" priority="224" dxfId="2">
      <formula>AND(IF($Q13=2,1,0),IF($X13&lt;30,1,0))</formula>
    </cfRule>
    <cfRule type="expression" priority="225" dxfId="1">
      <formula>AND(IF($Q13=3,1,0),IF($X13&lt;30,1,0))</formula>
    </cfRule>
    <cfRule type="expression" priority="226" dxfId="0">
      <formula>AND(IF($Q13=3,1,IF($Q13=4,1,0)),IF($F13&lt;=85,1,0))</formula>
    </cfRule>
  </conditionalFormatting>
  <conditionalFormatting sqref="X13">
    <cfRule type="expression" priority="219" dxfId="3">
      <formula>AND(IF(OR($Q13=1,$Q13=2),1,0),IF($X13&lt;=20,1,0))</formula>
    </cfRule>
    <cfRule type="expression" priority="220" dxfId="2">
      <formula>AND(IF($Q13=2,1,0),IF($X13&lt;30,1,0))</formula>
    </cfRule>
    <cfRule type="expression" priority="221" dxfId="1">
      <formula>AND(IF($Q13=3,1,0),IF($X13&lt;30,1,0))</formula>
    </cfRule>
    <cfRule type="expression" priority="222" dxfId="0">
      <formula>AND(IF($Q13=3,1,IF($Q13=4,1,0)),IF($F13&lt;=85,1,0))</formula>
    </cfRule>
  </conditionalFormatting>
  <conditionalFormatting sqref="AI13">
    <cfRule type="expression" priority="215" dxfId="3">
      <formula>AND(IF(OR($Q13=1,$Q13=2),1,0),IF($X13&lt;=20,1,0))</formula>
    </cfRule>
    <cfRule type="expression" priority="216" dxfId="2">
      <formula>AND(IF($Q13=2,1,0),IF($X13&lt;30,1,0))</formula>
    </cfRule>
    <cfRule type="expression" priority="217" dxfId="1">
      <formula>AND(IF($Q13=3,1,0),IF($X13&lt;30,1,0))</formula>
    </cfRule>
    <cfRule type="expression" priority="218" dxfId="0">
      <formula>AND(IF($Q13=3,1,IF($Q13=4,1,0)),IF($F13&lt;=85,1,0))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운동동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청주동남파라곤</t>
        </is>
      </c>
      <c r="B6" s="10" t="inlineStr">
        <is>
          <t>'22.08.</t>
        </is>
      </c>
      <c r="C6" s="134" t="n">
        <v>562</v>
      </c>
      <c r="D6" s="132" t="n">
        <v>101.6</v>
      </c>
      <c r="E6" s="133" t="n">
        <v>31</v>
      </c>
      <c r="F6" s="132" t="n">
        <v>77.8</v>
      </c>
      <c r="G6" s="17" t="n">
        <v>24</v>
      </c>
      <c r="H6" s="134" t="n">
        <v>119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청주동남파라곤</t>
        </is>
      </c>
      <c r="B7" s="10" t="inlineStr">
        <is>
          <t>'22.08.</t>
        </is>
      </c>
      <c r="C7" s="134" t="n">
        <v>562</v>
      </c>
      <c r="D7" s="132" t="n">
        <v>101</v>
      </c>
      <c r="E7" s="133" t="n">
        <v>31</v>
      </c>
      <c r="F7" s="132" t="n">
        <v>77.5</v>
      </c>
      <c r="G7" s="17" t="n">
        <v>23</v>
      </c>
      <c r="H7" s="134" t="n">
        <v>68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청주동남파라곤</t>
        </is>
      </c>
      <c r="B8" s="10" t="inlineStr">
        <is>
          <t>'22.08.</t>
        </is>
      </c>
      <c r="C8" s="134" t="n">
        <v>562</v>
      </c>
      <c r="D8" s="132" t="n">
        <v>110.1</v>
      </c>
      <c r="E8" s="133" t="n">
        <v>33</v>
      </c>
      <c r="F8" s="132" t="n">
        <v>84.90000000000001</v>
      </c>
      <c r="G8" s="17" t="n">
        <v>26</v>
      </c>
      <c r="H8" s="134" t="n">
        <v>375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W28" sqref="W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탑동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탑동힐데스하임</t>
        </is>
      </c>
      <c r="B6" s="10" t="inlineStr">
        <is>
          <t>'22.11.</t>
        </is>
      </c>
      <c r="C6" s="134" t="n">
        <v>1298</v>
      </c>
      <c r="D6" s="132" t="n">
        <v>90.7</v>
      </c>
      <c r="E6" s="133" t="n">
        <v>27</v>
      </c>
      <c r="F6" s="132" t="n">
        <v>66</v>
      </c>
      <c r="G6" s="17" t="n">
        <v>20</v>
      </c>
      <c r="H6" s="134" t="n">
        <v>348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탑동힐데스하임</t>
        </is>
      </c>
      <c r="B7" s="10" t="inlineStr">
        <is>
          <t>'22.11.</t>
        </is>
      </c>
      <c r="C7" s="134" t="n">
        <v>1298</v>
      </c>
      <c r="D7" s="132" t="n">
        <v>108.3</v>
      </c>
      <c r="E7" s="133" t="n">
        <v>33</v>
      </c>
      <c r="F7" s="132" t="n">
        <v>80.90000000000001</v>
      </c>
      <c r="G7" s="17" t="n">
        <v>24</v>
      </c>
      <c r="H7" s="134" t="n">
        <v>49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탑동힐데스하임</t>
        </is>
      </c>
      <c r="B8" s="10" t="inlineStr">
        <is>
          <t>'22.11.</t>
        </is>
      </c>
      <c r="C8" s="134" t="n">
        <v>1298</v>
      </c>
      <c r="D8" s="132" t="n">
        <v>110.6</v>
      </c>
      <c r="E8" s="133" t="n">
        <v>33</v>
      </c>
      <c r="F8" s="132" t="n">
        <v>84.8</v>
      </c>
      <c r="G8" s="17" t="n">
        <v>26</v>
      </c>
      <c r="H8" s="134" t="n">
        <v>530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탑동힐데스하임</t>
        </is>
      </c>
      <c r="B9" s="10" t="inlineStr">
        <is>
          <t>'22.11.</t>
        </is>
      </c>
      <c r="C9" s="134" t="n">
        <v>1298</v>
      </c>
      <c r="D9" s="132" t="n">
        <v>146.2</v>
      </c>
      <c r="E9" s="133" t="n">
        <v>44</v>
      </c>
      <c r="F9" s="132" t="n">
        <v>112</v>
      </c>
      <c r="G9" s="17" t="n">
        <v>34</v>
      </c>
      <c r="H9" s="134" t="n">
        <v>102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n">
        <v>146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탑동힐데스하임</t>
        </is>
      </c>
      <c r="B10" s="10" t="inlineStr">
        <is>
          <t>'22.11.</t>
        </is>
      </c>
      <c r="C10" s="134" t="n">
        <v>1298</v>
      </c>
      <c r="D10" s="132" t="n">
        <v>169.3</v>
      </c>
      <c r="E10" s="133" t="n">
        <v>51</v>
      </c>
      <c r="F10" s="132" t="n">
        <v>129.8</v>
      </c>
      <c r="G10" s="17" t="n">
        <v>39</v>
      </c>
      <c r="H10" s="134" t="n">
        <v>76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169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LH청주탑동</t>
        </is>
      </c>
      <c r="B12" s="10" t="inlineStr">
        <is>
          <t>'14.03.</t>
        </is>
      </c>
      <c r="C12" s="134" t="n">
        <v>400</v>
      </c>
      <c r="D12" s="132" t="n">
        <v>53</v>
      </c>
      <c r="E12" s="133" t="n">
        <v>16</v>
      </c>
      <c r="F12" s="132" t="n">
        <v>39.9</v>
      </c>
      <c r="G12" s="17" t="n">
        <v>12</v>
      </c>
      <c r="H12" s="134" t="n">
        <v>50</v>
      </c>
      <c r="I12" s="135" t="n">
        <v>13200</v>
      </c>
      <c r="J12" s="135" t="inlineStr">
        <is>
          <t>10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inlineStr">
        <is>
          <t>52A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LH청주탑동</t>
        </is>
      </c>
      <c r="B13" s="10" t="inlineStr">
        <is>
          <t>'14.03.</t>
        </is>
      </c>
      <c r="C13" s="134" t="n">
        <v>400</v>
      </c>
      <c r="D13" s="132" t="n">
        <v>79.5</v>
      </c>
      <c r="E13" s="133" t="n">
        <v>24</v>
      </c>
      <c r="F13" s="132" t="n">
        <v>59.9</v>
      </c>
      <c r="G13" s="17" t="n">
        <v>18</v>
      </c>
      <c r="H13" s="134" t="n">
        <v>36</v>
      </c>
      <c r="I13" s="135" t="n">
        <v>24000</v>
      </c>
      <c r="J13" s="135" t="inlineStr">
        <is>
          <t>12</t>
        </is>
      </c>
      <c r="K13" s="135" t="n">
        <v>21000</v>
      </c>
      <c r="L13" s="135" t="inlineStr">
        <is>
          <t>5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inlineStr">
        <is>
          <t>79A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LH청주탑동</t>
        </is>
      </c>
      <c r="B14" s="10" t="inlineStr">
        <is>
          <t>'14.03.</t>
        </is>
      </c>
      <c r="C14" s="134" t="n">
        <v>400</v>
      </c>
      <c r="D14" s="132" t="n">
        <v>112.7</v>
      </c>
      <c r="E14" s="133" t="n">
        <v>34</v>
      </c>
      <c r="F14" s="132" t="n">
        <v>84.8</v>
      </c>
      <c r="G14" s="17" t="n">
        <v>26</v>
      </c>
      <c r="H14" s="134" t="n">
        <v>239</v>
      </c>
      <c r="I14" s="135" t="n">
        <v>29000</v>
      </c>
      <c r="J14" s="135" t="inlineStr">
        <is>
          <t>6</t>
        </is>
      </c>
      <c r="K14" s="135" t="n">
        <v>20000</v>
      </c>
      <c r="L14" s="135" t="inlineStr">
        <is>
          <t>14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112A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LH청주탑동</t>
        </is>
      </c>
      <c r="B15" s="10" t="inlineStr">
        <is>
          <t>'14.03.</t>
        </is>
      </c>
      <c r="C15" s="134" t="n">
        <v>400</v>
      </c>
      <c r="D15" s="132" t="n">
        <v>112.8</v>
      </c>
      <c r="E15" s="133" t="n">
        <v>34</v>
      </c>
      <c r="F15" s="132" t="n">
        <v>84.90000000000001</v>
      </c>
      <c r="G15" s="17" t="n">
        <v>26</v>
      </c>
      <c r="H15" s="134" t="n">
        <v>57</v>
      </c>
      <c r="I15" s="135" t="n">
        <v>28000</v>
      </c>
      <c r="J15" s="135" t="inlineStr">
        <is>
          <t>18</t>
        </is>
      </c>
      <c r="K15" s="135" t="n">
        <v>23000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112B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LH청주탑동</t>
        </is>
      </c>
      <c r="B16" s="10" t="inlineStr">
        <is>
          <t>'14.03.</t>
        </is>
      </c>
      <c r="C16" s="134" t="n">
        <v>400</v>
      </c>
      <c r="D16" s="132" t="n">
        <v>112.8</v>
      </c>
      <c r="E16" s="133" t="n">
        <v>34</v>
      </c>
      <c r="F16" s="132" t="n">
        <v>84.90000000000001</v>
      </c>
      <c r="G16" s="17" t="n">
        <v>26</v>
      </c>
      <c r="H16" s="134" t="n">
        <v>18</v>
      </c>
      <c r="I16" s="135" t="n">
        <v>28000</v>
      </c>
      <c r="J16" s="135" t="inlineStr">
        <is>
          <t>18</t>
        </is>
      </c>
      <c r="K16" s="135" t="n">
        <v>23000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112C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현대</t>
        </is>
      </c>
      <c r="B18" s="10" t="inlineStr">
        <is>
          <t>'91.04.</t>
        </is>
      </c>
      <c r="C18" s="134" t="n">
        <v>485</v>
      </c>
      <c r="D18" s="132" t="n">
        <v>84</v>
      </c>
      <c r="E18" s="133" t="n">
        <v>25</v>
      </c>
      <c r="F18" s="132" t="n">
        <v>71.2</v>
      </c>
      <c r="G18" s="17" t="n">
        <v>22</v>
      </c>
      <c r="H18" s="134" t="n">
        <v>78</v>
      </c>
      <c r="I18" s="135" t="n">
        <v>13500</v>
      </c>
      <c r="J18" s="135" t="inlineStr">
        <is>
          <t>11</t>
        </is>
      </c>
      <c r="K18" s="135" t="n">
        <v>13000</v>
      </c>
      <c r="L18" s="135" t="inlineStr">
        <is>
          <t>11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83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'91.04.</t>
        </is>
      </c>
      <c r="C19" s="134" t="n">
        <v>485</v>
      </c>
      <c r="D19" s="132" t="n">
        <v>100.2</v>
      </c>
      <c r="E19" s="133" t="n">
        <v>30</v>
      </c>
      <c r="F19" s="132" t="n">
        <v>84.90000000000001</v>
      </c>
      <c r="G19" s="17" t="n">
        <v>26</v>
      </c>
      <c r="H19" s="134" t="n">
        <v>407</v>
      </c>
      <c r="I19" s="135" t="n">
        <v>15300</v>
      </c>
      <c r="J19" s="135" t="inlineStr">
        <is>
          <t>10</t>
        </is>
      </c>
      <c r="K19" s="135" t="n">
        <v>16000</v>
      </c>
      <c r="L19" s="135" t="inlineStr">
        <is>
          <t>8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100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 N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2022-06-27T12:29:23Z</dcterms:modified>
  <cp:lastModifiedBy>MinsuKwon</cp:lastModifiedBy>
  <cp:lastPrinted>2018-04-28T10:52:41Z</cp:lastPrinted>
</cp:coreProperties>
</file>