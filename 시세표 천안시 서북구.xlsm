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P8" sqref="P8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두정동 e편한세상두정2차</t>
        </is>
      </c>
      <c r="B4" s="115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37000</v>
      </c>
      <c r="J4" s="127" t="inlineStr">
        <is>
          <t>19</t>
        </is>
      </c>
      <c r="K4" s="127" t="n">
        <v>30000</v>
      </c>
      <c r="L4" s="127" t="inlineStr">
        <is>
          <t>9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2</v>
      </c>
      <c r="S4" s="111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두정동 e편한세상두정2차</t>
        </is>
      </c>
      <c r="B5" s="115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37000</v>
      </c>
      <c r="J5" s="127" t="inlineStr">
        <is>
          <t>23</t>
        </is>
      </c>
      <c r="K5" s="127" t="n">
        <v>32000</v>
      </c>
      <c r="L5" s="127" t="inlineStr">
        <is>
          <t>5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두정동 e편한세상두정2차</t>
        </is>
      </c>
      <c r="B6" s="115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40000</v>
      </c>
      <c r="J6" s="127" t="inlineStr">
        <is>
          <t>10</t>
        </is>
      </c>
      <c r="K6" s="127" t="n">
        <v>32000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두정동 e편한세상두정2차</t>
        </is>
      </c>
      <c r="B7" s="115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두정동 부경파크빌</t>
        </is>
      </c>
      <c r="B8" s="115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두정동 부경파크빌</t>
        </is>
      </c>
      <c r="B9" s="115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26000</v>
      </c>
      <c r="J9" s="127" t="inlineStr">
        <is>
          <t>고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두정동 부경파크빌</t>
        </is>
      </c>
      <c r="B10" s="115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두정동 부경파크빌</t>
        </is>
      </c>
      <c r="B11" s="115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23500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두정동 부경파크빌</t>
        </is>
      </c>
      <c r="B12" s="115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두정동 부경파크빌</t>
        </is>
      </c>
      <c r="B13" s="115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두정동 주공8단지</t>
        </is>
      </c>
      <c r="B14" s="115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12300</v>
      </c>
      <c r="J14" s="127" t="inlineStr">
        <is>
          <t>5</t>
        </is>
      </c>
      <c r="K14" s="127" t="n">
        <v>8500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두정동 주공8단지</t>
        </is>
      </c>
      <c r="B15" s="115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16300</v>
      </c>
      <c r="J15" s="127" t="inlineStr">
        <is>
          <t>17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두정동 주공8단지</t>
        </is>
      </c>
      <c r="B16" s="115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두정동 주공8단지</t>
        </is>
      </c>
      <c r="B17" s="115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17500</v>
      </c>
      <c r="J17" s="127" t="inlineStr">
        <is>
          <t>19</t>
        </is>
      </c>
      <c r="K17" s="127" t="n">
        <v>16000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두정동 경남아너스빌</t>
        </is>
      </c>
      <c r="B18" s="115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두정동 경남아너스빌</t>
        </is>
      </c>
      <c r="B19" s="115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23500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두정동 한성스위트빌</t>
        </is>
      </c>
      <c r="B20" s="115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두정동 한성스위트빌</t>
        </is>
      </c>
      <c r="B21" s="115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두정동 한성스위트빌</t>
        </is>
      </c>
      <c r="B22" s="115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24000</v>
      </c>
      <c r="J22" s="127" t="inlineStr">
        <is>
          <t>9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두정동 두정푸르지오4차</t>
        </is>
      </c>
      <c r="B23" s="115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24800</v>
      </c>
      <c r="J23" s="127" t="inlineStr">
        <is>
          <t>11</t>
        </is>
      </c>
      <c r="K23" s="127" t="n">
        <v>22000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두정동 두정푸르지오4차</t>
        </is>
      </c>
      <c r="B24" s="115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28500</v>
      </c>
      <c r="J24" s="127" t="inlineStr">
        <is>
          <t>14</t>
        </is>
      </c>
      <c r="K24" s="127" t="n">
        <v>25000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두정동 두정푸르지오4차</t>
        </is>
      </c>
      <c r="B25" s="115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33000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두정동 두정대우2차</t>
        </is>
      </c>
      <c r="B26" s="115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두정동 두정대우2차</t>
        </is>
      </c>
      <c r="B27" s="115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두정동 천안두정역푸르지오</t>
        </is>
      </c>
      <c r="B28" s="115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35000</v>
      </c>
      <c r="J28" s="127" t="inlineStr">
        <is>
          <t>21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두정동 천안두정역푸르지오</t>
        </is>
      </c>
      <c r="B29" s="115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두정동 천안두정역푸르지오</t>
        </is>
      </c>
      <c r="B30" s="115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38000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두정동 천안두정역푸르지오</t>
        </is>
      </c>
      <c r="B31" s="115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39000</v>
      </c>
      <c r="J31" s="127" t="inlineStr">
        <is>
          <t>16</t>
        </is>
      </c>
      <c r="K31" s="127" t="n">
        <v>26000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두정동 천안두정역푸르지오</t>
        </is>
      </c>
      <c r="B32" s="115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두정동 천안두정역푸르지오</t>
        </is>
      </c>
      <c r="B33" s="115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두정동 천안두정역푸르지오</t>
        </is>
      </c>
      <c r="B34" s="115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두정동 천안두정역푸르지오</t>
        </is>
      </c>
      <c r="B35" s="115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두정동 천안두정역푸르지오</t>
        </is>
      </c>
      <c r="B36" s="115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33000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두정동 천안두정역푸르지오</t>
        </is>
      </c>
      <c r="B37" s="115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두정동 천안두정역푸르지오</t>
        </is>
      </c>
      <c r="B38" s="115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53000</v>
      </c>
      <c r="J38" s="127" t="inlineStr">
        <is>
          <t>18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두정동 천안두정역푸르지오</t>
        </is>
      </c>
      <c r="B39" s="115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두정동 천안두정역푸르지오</t>
        </is>
      </c>
      <c r="B40" s="115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55000</v>
      </c>
      <c r="J40" s="127" t="inlineStr">
        <is>
          <t>8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두정동 천안두정역푸르지오</t>
        </is>
      </c>
      <c r="B41" s="115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두정동 포레나천안두정</t>
        </is>
      </c>
      <c r="B42" s="115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38220</v>
      </c>
      <c r="J42" s="127" t="inlineStr">
        <is>
          <t>10</t>
        </is>
      </c>
      <c r="K42" s="127" t="n">
        <v>26000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두정동 포레나천안두정</t>
        </is>
      </c>
      <c r="B43" s="115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37000</v>
      </c>
      <c r="J43" s="127" t="inlineStr">
        <is>
          <t>16</t>
        </is>
      </c>
      <c r="K43" s="127" t="n">
        <v>26000</v>
      </c>
      <c r="L43" s="127" t="inlineStr">
        <is>
          <t>10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두정동 포레나천안두정</t>
        </is>
      </c>
      <c r="B44" s="115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두정동 포레나천안두정</t>
        </is>
      </c>
      <c r="B45" s="115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43000</v>
      </c>
      <c r="J45" s="127" t="inlineStr">
        <is>
          <t>중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두정동 포레나천안두정</t>
        </is>
      </c>
      <c r="B46" s="115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50490</v>
      </c>
      <c r="J46" s="127" t="inlineStr">
        <is>
          <t>7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두정동 포레나천안두정</t>
        </is>
      </c>
      <c r="B47" s="115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55520</v>
      </c>
      <c r="J47" s="127" t="inlineStr">
        <is>
          <t>8</t>
        </is>
      </c>
      <c r="K47" s="127" t="n">
        <v>43000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두정동 한성필하우스3차</t>
        </is>
      </c>
      <c r="B48" s="115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두정동 한성필하우스3차</t>
        </is>
      </c>
      <c r="B49" s="115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31000</v>
      </c>
      <c r="J49" s="127" t="inlineStr">
        <is>
          <t>5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두정동 한성필하우스3차</t>
        </is>
      </c>
      <c r="B50" s="115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31000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두정동 한성필하우스3차</t>
        </is>
      </c>
      <c r="B51" s="115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두정동 서해그랑블</t>
        </is>
      </c>
      <c r="B52" s="115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27000</v>
      </c>
      <c r="J52" s="127" t="inlineStr">
        <is>
          <t>13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두정동 서해그랑블</t>
        </is>
      </c>
      <c r="B53" s="115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30000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두정동 e편한세상두정3차</t>
        </is>
      </c>
      <c r="B54" s="115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36500</v>
      </c>
      <c r="J54" s="127" t="inlineStr">
        <is>
          <t>12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두정동 e편한세상두정3차</t>
        </is>
      </c>
      <c r="B55" s="115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45000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두정동 e편한세상두정3차</t>
        </is>
      </c>
      <c r="B56" s="115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43500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두정동 e편한세상두정3차</t>
        </is>
      </c>
      <c r="B57" s="115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두정동 e편한세상두정3차</t>
        </is>
      </c>
      <c r="B58" s="115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47000</v>
      </c>
      <c r="J58" s="127" t="inlineStr">
        <is>
          <t>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두정동 e편한세상두정3차</t>
        </is>
      </c>
      <c r="B59" s="115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45000</v>
      </c>
      <c r="J59" s="127" t="inlineStr">
        <is>
          <t>24</t>
        </is>
      </c>
      <c r="K59" s="127" t="n">
        <v>30000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두정동 계룡리슈빌</t>
        </is>
      </c>
      <c r="B60" s="115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24700</v>
      </c>
      <c r="J60" s="127" t="inlineStr">
        <is>
          <t>11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두정동 계룡리슈빌</t>
        </is>
      </c>
      <c r="B61" s="115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29000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두정동 천안두정푸르지오3차</t>
        </is>
      </c>
      <c r="B62" s="115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두정동 천안두정푸르지오3차</t>
        </is>
      </c>
      <c r="B63" s="115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두정동 천안두정푸르지오3차</t>
        </is>
      </c>
      <c r="B64" s="115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25500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두정동 천안두정푸르지오3차</t>
        </is>
      </c>
      <c r="B65" s="115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25500</v>
      </c>
      <c r="J65" s="127" t="inlineStr">
        <is>
          <t>6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두정동 두정역코아루스위트</t>
        </is>
      </c>
      <c r="B66" s="115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39000</v>
      </c>
      <c r="J66" s="127" t="inlineStr">
        <is>
          <t>중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두정동 두정역코아루스위트</t>
        </is>
      </c>
      <c r="B67" s="115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37000</v>
      </c>
      <c r="J67" s="127" t="inlineStr">
        <is>
          <t>16</t>
        </is>
      </c>
      <c r="K67" s="127" t="n">
        <v>25000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두정동 두정역코아루스위트</t>
        </is>
      </c>
      <c r="B68" s="115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두정동 두정역코아루스위트</t>
        </is>
      </c>
      <c r="B69" s="115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40000</v>
      </c>
      <c r="J69" s="127" t="inlineStr">
        <is>
          <t>18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두정동 두정역코아루스위트</t>
        </is>
      </c>
      <c r="B70" s="115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8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두정동 두정역코아루스위트</t>
        </is>
      </c>
      <c r="B71" s="115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두정동 두정역코아루스위트</t>
        </is>
      </c>
      <c r="B72" s="115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45000</v>
      </c>
      <c r="J72" s="127" t="inlineStr">
        <is>
          <t>11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4</v>
      </c>
      <c r="R72" s="111" t="n">
        <v>2</v>
      </c>
      <c r="S72" s="111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두정동 두정역코아루스위트</t>
        </is>
      </c>
      <c r="B73" s="115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20</t>
        </is>
      </c>
      <c r="K73" s="127" t="n">
        <v>50000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두정동 두정역코아루스위트</t>
        </is>
      </c>
      <c r="B74" s="115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두정동 대우</t>
        </is>
      </c>
      <c r="B75" s="115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20</t>
        </is>
      </c>
      <c r="K75" s="127" t="n">
        <v>12000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두정동 대우</t>
        </is>
      </c>
      <c r="B76" s="115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20</t>
        </is>
      </c>
      <c r="K76" s="127" t="n">
        <v>18000</v>
      </c>
      <c r="L76" s="127" t="inlineStr">
        <is>
          <t>14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두정동 대우</t>
        </is>
      </c>
      <c r="B77" s="115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20</t>
        </is>
      </c>
      <c r="K77" s="127" t="n">
        <v>18000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2</v>
      </c>
      <c r="R77" s="111" t="n">
        <v>1</v>
      </c>
      <c r="S77" s="111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두정동 대우</t>
        </is>
      </c>
      <c r="B78" s="115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2</v>
      </c>
      <c r="R78" s="111" t="n">
        <v>2</v>
      </c>
      <c r="S78" s="111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두정동 대우</t>
        </is>
      </c>
      <c r="B79" s="115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21000</v>
      </c>
      <c r="J79" s="127" t="inlineStr">
        <is>
          <t>20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두정동 대우</t>
        </is>
      </c>
      <c r="B80" s="115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23000</v>
      </c>
      <c r="L80" s="127" t="inlineStr">
        <is>
          <t>23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두정동 우성</t>
        </is>
      </c>
      <c r="B81" s="115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17500</v>
      </c>
      <c r="J81" s="127" t="inlineStr">
        <is>
          <t>중</t>
        </is>
      </c>
      <c r="K81" s="127" t="n">
        <v>16000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두정동 우성</t>
        </is>
      </c>
      <c r="B82" s="115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두정동 세광엔리치빌2차</t>
        </is>
      </c>
      <c r="B83" s="115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두정동 세광엔리치빌2차</t>
        </is>
      </c>
      <c r="B84" s="115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24500</v>
      </c>
      <c r="J84" s="127" t="inlineStr">
        <is>
          <t>11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두정동 세광엔리치빌2차</t>
        </is>
      </c>
      <c r="B85" s="115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24500</v>
      </c>
      <c r="J85" s="127" t="inlineStr">
        <is>
          <t>11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두정동 세광엔리치빌2차</t>
        </is>
      </c>
      <c r="B86" s="115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두정동 천안두정역이안더센트럴</t>
        </is>
      </c>
      <c r="B87" s="115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37000</v>
      </c>
      <c r="J87" s="127" t="inlineStr">
        <is>
          <t>14</t>
        </is>
      </c>
      <c r="K87" s="127" t="n">
        <v>27000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두정동 천안두정역이안더센트럴</t>
        </is>
      </c>
      <c r="B88" s="115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35800</v>
      </c>
      <c r="J88" s="127" t="inlineStr">
        <is>
          <t>중</t>
        </is>
      </c>
      <c r="K88" s="127" t="n">
        <v>25000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두정동 천안두정역이안더센트럴</t>
        </is>
      </c>
      <c r="B89" s="115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두정동 천안두정역이안더센트럴</t>
        </is>
      </c>
      <c r="B90" s="115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40000</v>
      </c>
      <c r="J90" s="127" t="inlineStr">
        <is>
          <t>중</t>
        </is>
      </c>
      <c r="K90" s="127" t="n">
        <v>30000</v>
      </c>
      <c r="L90" s="127" t="inlineStr">
        <is>
          <t>18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두정동 천안두정역이안더센트럴</t>
        </is>
      </c>
      <c r="B91" s="115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45000</v>
      </c>
      <c r="J91" s="127" t="inlineStr">
        <is>
          <t>중</t>
        </is>
      </c>
      <c r="K91" s="127" t="n">
        <v>31000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두정동 극동늘푸른</t>
        </is>
      </c>
      <c r="B92" s="115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17000</v>
      </c>
      <c r="J92" s="127" t="inlineStr">
        <is>
          <t>9</t>
        </is>
      </c>
      <c r="K92" s="127" t="n">
        <v>18000</v>
      </c>
      <c r="L92" s="127" t="inlineStr">
        <is>
          <t>11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두정동 극동늘푸른</t>
        </is>
      </c>
      <c r="B93" s="115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22300</v>
      </c>
      <c r="J93" s="127" t="inlineStr">
        <is>
          <t>17</t>
        </is>
      </c>
      <c r="K93" s="127" t="n">
        <v>21500</v>
      </c>
      <c r="L93" s="127" t="inlineStr">
        <is>
          <t>18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두정동 두정e-편한세상</t>
        </is>
      </c>
      <c r="B94" s="115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15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두정동 두정e-편한세상</t>
        </is>
      </c>
      <c r="B95" s="115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두정동 두정역효성해링턴플레이스</t>
        </is>
      </c>
      <c r="B96" s="115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31000</v>
      </c>
      <c r="J96" s="127" t="inlineStr">
        <is>
          <t>고</t>
        </is>
      </c>
      <c r="K96" s="127" t="n">
        <v>25000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두정동 두정역효성해링턴플레이스</t>
        </is>
      </c>
      <c r="B97" s="115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31000</v>
      </c>
      <c r="J97" s="127" t="inlineStr">
        <is>
          <t>8</t>
        </is>
      </c>
      <c r="K97" s="127" t="n">
        <v>25000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2</v>
      </c>
      <c r="R97" s="111" t="n">
        <v>1</v>
      </c>
      <c r="S97" s="111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두정동 두정역효성해링턴플레이스</t>
        </is>
      </c>
      <c r="B98" s="115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38000</v>
      </c>
      <c r="J98" s="127" t="inlineStr">
        <is>
          <t>6</t>
        </is>
      </c>
      <c r="K98" s="127" t="n">
        <v>28000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두정동 두정역효성해링턴플레이스</t>
        </is>
      </c>
      <c r="B99" s="115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40000</v>
      </c>
      <c r="J99" s="127" t="inlineStr">
        <is>
          <t>12</t>
        </is>
      </c>
      <c r="K99" s="127" t="n">
        <v>27000</v>
      </c>
      <c r="L99" s="127" t="inlineStr">
        <is>
          <t>28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두정동 두정역효성해링턴플레이스</t>
        </is>
      </c>
      <c r="B100" s="115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37500</v>
      </c>
      <c r="J100" s="127" t="inlineStr">
        <is>
          <t>5</t>
        </is>
      </c>
      <c r="K100" s="127" t="n">
        <v>28000</v>
      </c>
      <c r="L100" s="127" t="inlineStr">
        <is>
          <t>15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두정동 두정역효성해링턴플레이스</t>
        </is>
      </c>
      <c r="B101" s="115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41000</v>
      </c>
      <c r="J101" s="127" t="inlineStr">
        <is>
          <t>15</t>
        </is>
      </c>
      <c r="K101" s="127" t="n">
        <v>28000</v>
      </c>
      <c r="L101" s="127" t="inlineStr">
        <is>
          <t>23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두정동 두정역효성해링턴플레이스</t>
        </is>
      </c>
      <c r="B102" s="115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48000</v>
      </c>
      <c r="J102" s="127" t="inlineStr">
        <is>
          <t>중</t>
        </is>
      </c>
      <c r="K102" s="127" t="n">
        <v>32000</v>
      </c>
      <c r="L102" s="127" t="inlineStr">
        <is>
          <t>5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두정동 두정역효성해링턴플레이스</t>
        </is>
      </c>
      <c r="B103" s="115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47000</v>
      </c>
      <c r="J103" s="127" t="inlineStr">
        <is>
          <t>13</t>
        </is>
      </c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두정동 두정역효성해링턴플레이스</t>
        </is>
      </c>
      <c r="B104" s="115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50000</v>
      </c>
      <c r="J104" s="127" t="inlineStr">
        <is>
          <t>9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두정동 두정역효성해링턴플레이스</t>
        </is>
      </c>
      <c r="B105" s="115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57000</v>
      </c>
      <c r="J105" s="127" t="inlineStr">
        <is>
          <t>27</t>
        </is>
      </c>
      <c r="K105" s="127" t="n">
        <v>33000</v>
      </c>
      <c r="L105" s="127" t="inlineStr">
        <is>
          <t>27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두정동 두정역효성해링턴플레이스</t>
        </is>
      </c>
      <c r="B106" s="115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58000</v>
      </c>
      <c r="J106" s="127" t="inlineStr">
        <is>
          <t>11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두정동 두정역효성해링턴플레이스</t>
        </is>
      </c>
      <c r="B107" s="115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13</t>
        </is>
      </c>
      <c r="K107" s="127" t="n">
        <v>38000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두정동 e편한세상두정4차</t>
        </is>
      </c>
      <c r="B108" s="115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32000</v>
      </c>
      <c r="J108" s="127" t="inlineStr">
        <is>
          <t>15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두정동 e편한세상두정4차</t>
        </is>
      </c>
      <c r="B109" s="115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32000</v>
      </c>
      <c r="J109" s="127" t="inlineStr">
        <is>
          <t>8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두정동 e편한세상두정4차</t>
        </is>
      </c>
      <c r="B110" s="115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37000</v>
      </c>
      <c r="J110" s="127" t="inlineStr">
        <is>
          <t>5</t>
        </is>
      </c>
      <c r="K110" s="127" t="n">
        <v>24000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두정동 두정마을우남1단지</t>
        </is>
      </c>
      <c r="B111" s="115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12</t>
        </is>
      </c>
      <c r="K111" s="127" t="n">
        <v>21000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두정동 천안두정푸르지오5차</t>
        </is>
      </c>
      <c r="B112" s="115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29000</v>
      </c>
      <c r="J112" s="127" t="inlineStr">
        <is>
          <t>중</t>
        </is>
      </c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두정동 천안두정푸르지오5차</t>
        </is>
      </c>
      <c r="B113" s="115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두정동 천안두정푸르지오5차</t>
        </is>
      </c>
      <c r="B114" s="115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두정동 프라지움9차</t>
        </is>
      </c>
      <c r="B115" s="115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두정동 프라지움9차</t>
        </is>
      </c>
      <c r="B116" s="115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두정동 세광엔리치빌3차</t>
        </is>
      </c>
      <c r="B117" s="115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24000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두정동 세광엔리치빌3차</t>
        </is>
      </c>
      <c r="B118" s="115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두정동 세광엔리치빌3차</t>
        </is>
      </c>
      <c r="B119" s="115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백석동 백석더샵</t>
        </is>
      </c>
      <c r="B120" s="115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백석동 백석더샵</t>
        </is>
      </c>
      <c r="B121" s="115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20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백석동 백석더샵</t>
        </is>
      </c>
      <c r="B122" s="115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34000</v>
      </c>
      <c r="L122" s="127" t="inlineStr">
        <is>
          <t>19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백석동 백석벽산블루밍2차</t>
        </is>
      </c>
      <c r="B123" s="115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백석동 백석벽산블루밍2차</t>
        </is>
      </c>
      <c r="B124" s="115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백석동 백석벽산블루밍2차</t>
        </is>
      </c>
      <c r="B125" s="115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백석동 천안백석아이파크2차</t>
        </is>
      </c>
      <c r="B126" s="115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52000</v>
      </c>
      <c r="J126" s="127" t="inlineStr">
        <is>
          <t>14</t>
        </is>
      </c>
      <c r="K126" s="127" t="n">
        <v>38000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백석동 천안백석아이파크2차</t>
        </is>
      </c>
      <c r="B127" s="115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백석동 천안백석아이파크2차</t>
        </is>
      </c>
      <c r="B128" s="115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48000</v>
      </c>
      <c r="J128" s="127" t="inlineStr">
        <is>
          <t>12</t>
        </is>
      </c>
      <c r="K128" s="127" t="n">
        <v>35000</v>
      </c>
      <c r="L128" s="127" t="inlineStr">
        <is>
          <t>22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백석동 천안백석아이파크2차</t>
        </is>
      </c>
      <c r="B129" s="115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67000</v>
      </c>
      <c r="J129" s="127" t="inlineStr">
        <is>
          <t>7</t>
        </is>
      </c>
      <c r="K129" s="127" t="n">
        <v>45000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4</v>
      </c>
      <c r="R129" s="111" t="n">
        <v>2</v>
      </c>
      <c r="S129" s="111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백석동 천안백석아이파크2차</t>
        </is>
      </c>
      <c r="B130" s="115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77000</v>
      </c>
      <c r="J130" s="127" t="inlineStr">
        <is>
          <t>25</t>
        </is>
      </c>
      <c r="K130" s="127" t="n">
        <v>50000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4</v>
      </c>
      <c r="R130" s="111" t="n">
        <v>2</v>
      </c>
      <c r="S130" s="111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백석동 천안백석아이파크2차</t>
        </is>
      </c>
      <c r="B131" s="115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90000</v>
      </c>
      <c r="J131" s="127" t="inlineStr">
        <is>
          <t>13</t>
        </is>
      </c>
      <c r="K131" s="127" t="n">
        <v>58000</v>
      </c>
      <c r="L131" s="127" t="inlineStr">
        <is>
          <t>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4</v>
      </c>
      <c r="R131" s="111" t="n">
        <v>2</v>
      </c>
      <c r="S131" s="111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백석동 천안백석아이파크2차</t>
        </is>
      </c>
      <c r="B132" s="115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5</v>
      </c>
      <c r="R132" s="111" t="n">
        <v>4</v>
      </c>
      <c r="S132" s="111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백석동 현대</t>
        </is>
      </c>
      <c r="B133" s="115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백석동 현대</t>
        </is>
      </c>
      <c r="B134" s="115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18700</v>
      </c>
      <c r="J134" s="127" t="inlineStr">
        <is>
          <t>7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백석동 현대</t>
        </is>
      </c>
      <c r="B135" s="115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17000</v>
      </c>
      <c r="L135" s="127" t="inlineStr">
        <is>
          <t>11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백석동 현대</t>
        </is>
      </c>
      <c r="B136" s="115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백석동 현대</t>
        </is>
      </c>
      <c r="B137" s="115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5</v>
      </c>
      <c r="R137" s="111" t="n">
        <v>2</v>
      </c>
      <c r="S137" s="111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백석동 현대</t>
        </is>
      </c>
      <c r="B138" s="115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27500</v>
      </c>
      <c r="J138" s="127" t="inlineStr">
        <is>
          <t>7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5</v>
      </c>
      <c r="R138" s="111" t="n">
        <v>2</v>
      </c>
      <c r="S138" s="111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백석동 그린빌2차</t>
        </is>
      </c>
      <c r="B139" s="115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7</t>
        </is>
      </c>
      <c r="K139" s="127" t="n">
        <v>25000</v>
      </c>
      <c r="L139" s="127" t="inlineStr">
        <is>
          <t>8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백석동 그린빌2차</t>
        </is>
      </c>
      <c r="B140" s="115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30000</v>
      </c>
      <c r="J140" s="127" t="inlineStr">
        <is>
          <t>5</t>
        </is>
      </c>
      <c r="K140" s="127" t="n">
        <v>27000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백석동 천안브라운스톤</t>
        </is>
      </c>
      <c r="B142" s="115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29000</v>
      </c>
      <c r="J142" s="127" t="inlineStr">
        <is>
          <t>8</t>
        </is>
      </c>
      <c r="K142" s="127" t="n">
        <v>27500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백석동 천안브라운스톤</t>
        </is>
      </c>
      <c r="B143" s="115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32500</v>
      </c>
      <c r="J143" s="127" t="inlineStr">
        <is>
          <t>13</t>
        </is>
      </c>
      <c r="K143" s="127" t="n">
        <v>31000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백석동 천안브라운스톤</t>
        </is>
      </c>
      <c r="B144" s="115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백석동 천안브라운스톤</t>
        </is>
      </c>
      <c r="B145" s="115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46000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백석동 백석리슈빌</t>
        </is>
      </c>
      <c r="B146" s="115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37000</v>
      </c>
      <c r="J146" s="127" t="inlineStr">
        <is>
          <t>14</t>
        </is>
      </c>
      <c r="K146" s="127" t="n">
        <v>32000</v>
      </c>
      <c r="L146" s="127" t="inlineStr">
        <is>
          <t>14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백석동 백석리슈빌</t>
        </is>
      </c>
      <c r="B147" s="115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39000</v>
      </c>
      <c r="J147" s="127" t="inlineStr">
        <is>
          <t>6</t>
        </is>
      </c>
      <c r="K147" s="127" t="n">
        <v>32000</v>
      </c>
      <c r="L147" s="127" t="inlineStr">
        <is>
          <t>20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백석동 백석리슈빌</t>
        </is>
      </c>
      <c r="B148" s="115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45000</v>
      </c>
      <c r="J148" s="127" t="inlineStr">
        <is>
          <t>8</t>
        </is>
      </c>
      <c r="K148" s="127" t="n">
        <v>40000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백석동 백석리슈빌</t>
        </is>
      </c>
      <c r="B149" s="115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백석동 백석리슈빌</t>
        </is>
      </c>
      <c r="B150" s="115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백석동 백석리슈빌</t>
        </is>
      </c>
      <c r="B151" s="115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19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5</v>
      </c>
      <c r="R151" s="111" t="n">
        <v>2</v>
      </c>
      <c r="S151" s="111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백석동 천안백석아이파크3차</t>
        </is>
      </c>
      <c r="B152" s="115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34000</v>
      </c>
      <c r="L152" s="127" t="inlineStr">
        <is>
          <t>17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백석동 천안백석아이파크3차</t>
        </is>
      </c>
      <c r="B153" s="115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47000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백석동 천안백석아이파크3차</t>
        </is>
      </c>
      <c r="B154" s="115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백석동 천안백석아이파크3차</t>
        </is>
      </c>
      <c r="B155" s="115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40000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백석동 천안백석아이파크3차</t>
        </is>
      </c>
      <c r="B156" s="115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65000</v>
      </c>
      <c r="J156" s="127" t="inlineStr">
        <is>
          <t>6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백석동 호반리젠시빌2차</t>
        </is>
      </c>
      <c r="B157" s="115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5</t>
        </is>
      </c>
      <c r="K157" s="127" t="n">
        <v>30000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백석동 호반리젠시빌2차</t>
        </is>
      </c>
      <c r="B158" s="115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30000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백석동 주공그린빌</t>
        </is>
      </c>
      <c r="B159" s="115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27000</v>
      </c>
      <c r="J159" s="127" t="inlineStr">
        <is>
          <t>12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백석동 주공그린빌</t>
        </is>
      </c>
      <c r="B160" s="115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29000</v>
      </c>
      <c r="J160" s="127" t="inlineStr">
        <is>
          <t>8</t>
        </is>
      </c>
      <c r="K160" s="127" t="n">
        <v>25000</v>
      </c>
      <c r="L160" s="127" t="inlineStr">
        <is>
          <t>12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백석동 주공그린빌</t>
        </is>
      </c>
      <c r="B161" s="115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27000</v>
      </c>
      <c r="J161" s="127" t="inlineStr">
        <is>
          <t>중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백석동 호반리젠시빌1차</t>
        </is>
      </c>
      <c r="B162" s="115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32000</v>
      </c>
      <c r="J162" s="127" t="inlineStr">
        <is>
          <t>중</t>
        </is>
      </c>
      <c r="K162" s="127" t="n">
        <v>26000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백석동 호반리젠시빌1차</t>
        </is>
      </c>
      <c r="B163" s="115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백석동 백석마을아이파크</t>
        </is>
      </c>
      <c r="B164" s="115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39500</v>
      </c>
      <c r="J164" s="127" t="inlineStr">
        <is>
          <t>고</t>
        </is>
      </c>
      <c r="K164" s="127" t="n">
        <v>30000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백석동 백석마을아이파크</t>
        </is>
      </c>
      <c r="B165" s="115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39000</v>
      </c>
      <c r="J165" s="127" t="inlineStr">
        <is>
          <t>16</t>
        </is>
      </c>
      <c r="K165" s="127" t="n">
        <v>33000</v>
      </c>
      <c r="L165" s="127" t="inlineStr">
        <is>
          <t>16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백석동 백석마을아이파크</t>
        </is>
      </c>
      <c r="B166" s="115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44000</v>
      </c>
      <c r="J166" s="127" t="inlineStr">
        <is>
          <t>12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백석동 백석마을아이파크</t>
        </is>
      </c>
      <c r="B167" s="115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65000</v>
      </c>
      <c r="J167" s="127" t="inlineStr">
        <is>
          <t>11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백석동 백석마을아이파크</t>
        </is>
      </c>
      <c r="B168" s="115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70000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2</v>
      </c>
      <c r="S168" s="111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백석동 백석마을아이파크</t>
        </is>
      </c>
      <c r="B169" s="115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3</v>
      </c>
      <c r="S169" s="111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백석동 백석마을아이파크</t>
        </is>
      </c>
      <c r="B170" s="115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5</v>
      </c>
      <c r="R170" s="111" t="n">
        <v>4</v>
      </c>
      <c r="S170" s="111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백석동 백석마을아이파크</t>
        </is>
      </c>
      <c r="B171" s="115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5</v>
      </c>
      <c r="R171" s="111" t="n">
        <v>4</v>
      </c>
      <c r="S171" s="111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백석동 천안백석푸르지오</t>
        </is>
      </c>
      <c r="B172" s="115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10</t>
        </is>
      </c>
      <c r="K172" s="127" t="n">
        <v>33000</v>
      </c>
      <c r="L172" s="127" t="inlineStr">
        <is>
          <t>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백석동 천안백석푸르지오</t>
        </is>
      </c>
      <c r="B173" s="115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13</t>
        </is>
      </c>
      <c r="K173" s="127" t="n">
        <v>30000</v>
      </c>
      <c r="L173" s="127" t="inlineStr">
        <is>
          <t>13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백석동 천안백석푸르지오</t>
        </is>
      </c>
      <c r="B174" s="115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36000</v>
      </c>
      <c r="L174" s="127" t="inlineStr">
        <is>
          <t>20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백석동 천안백석푸르지오</t>
        </is>
      </c>
      <c r="B175" s="115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49000</v>
      </c>
      <c r="J175" s="127" t="inlineStr">
        <is>
          <t>9</t>
        </is>
      </c>
      <c r="K175" s="127" t="n">
        <v>40000</v>
      </c>
      <c r="L175" s="127" t="inlineStr">
        <is>
          <t>12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4</v>
      </c>
      <c r="R175" s="111" t="n">
        <v>2</v>
      </c>
      <c r="S175" s="111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백석동 천안백석푸르지오</t>
        </is>
      </c>
      <c r="B176" s="115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63000</v>
      </c>
      <c r="J176" s="127" t="inlineStr">
        <is>
          <t>15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4</v>
      </c>
      <c r="R176" s="111" t="n">
        <v>2</v>
      </c>
      <c r="S176" s="111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백석동 천안백석푸르지오</t>
        </is>
      </c>
      <c r="B177" s="115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중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4</v>
      </c>
      <c r="R177" s="111" t="n">
        <v>2</v>
      </c>
      <c r="S177" s="111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백석동 백석벽산블루밍1차</t>
        </is>
      </c>
      <c r="B178" s="115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백석동 백석벽산블루밍1차</t>
        </is>
      </c>
      <c r="B179" s="115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28000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백석동 백석벽산블루밍1차</t>
        </is>
      </c>
      <c r="B180" s="115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4</v>
      </c>
      <c r="R180" s="111" t="n">
        <v>2</v>
      </c>
      <c r="S180" s="111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불당동 불당이안</t>
        </is>
      </c>
      <c r="B181" s="115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52000</v>
      </c>
      <c r="J181" s="127" t="inlineStr">
        <is>
          <t>9</t>
        </is>
      </c>
      <c r="K181" s="127" t="n">
        <v>35000</v>
      </c>
      <c r="L181" s="127" t="inlineStr">
        <is>
          <t>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불당동 불당이안</t>
        </is>
      </c>
      <c r="B182" s="115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52000</v>
      </c>
      <c r="J182" s="127" t="inlineStr">
        <is>
          <t>9</t>
        </is>
      </c>
      <c r="K182" s="127" t="n">
        <v>35000</v>
      </c>
      <c r="L182" s="127" t="inlineStr">
        <is>
          <t>5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불당동 불당이안</t>
        </is>
      </c>
      <c r="B183" s="115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61900</v>
      </c>
      <c r="J183" s="127" t="inlineStr">
        <is>
          <t>중</t>
        </is>
      </c>
      <c r="K183" s="127" t="n">
        <v>40000</v>
      </c>
      <c r="L183" s="127" t="inlineStr">
        <is>
          <t>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불당동 불당이안</t>
        </is>
      </c>
      <c r="B184" s="115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65000</v>
      </c>
      <c r="J184" s="127" t="inlineStr">
        <is>
          <t>19</t>
        </is>
      </c>
      <c r="K184" s="127" t="n">
        <v>43000</v>
      </c>
      <c r="L184" s="127" t="inlineStr">
        <is>
          <t>5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불당동 불당이안</t>
        </is>
      </c>
      <c r="B185" s="115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61900</v>
      </c>
      <c r="J185" s="127" t="inlineStr">
        <is>
          <t>중</t>
        </is>
      </c>
      <c r="K185" s="127" t="n">
        <v>40000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불당동 천안불당린스트라우스1단지</t>
        </is>
      </c>
      <c r="B186" s="115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74000</v>
      </c>
      <c r="J186" s="127" t="inlineStr">
        <is>
          <t>중</t>
        </is>
      </c>
      <c r="K186" s="127" t="n">
        <v>43000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불당동 천안불당린스트라우스1단지</t>
        </is>
      </c>
      <c r="B187" s="115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83000</v>
      </c>
      <c r="J187" s="127" t="inlineStr">
        <is>
          <t>고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불당동 천안불당린스트라우스1단지</t>
        </is>
      </c>
      <c r="B188" s="115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85000</v>
      </c>
      <c r="J188" s="127" t="inlineStr">
        <is>
          <t>10</t>
        </is>
      </c>
      <c r="K188" s="127" t="n">
        <v>57000</v>
      </c>
      <c r="L188" s="127" t="inlineStr">
        <is>
          <t>중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4</v>
      </c>
      <c r="R188" s="111" t="n">
        <v>2</v>
      </c>
      <c r="S188" s="111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불당동 천안불당린스트라우스1단지</t>
        </is>
      </c>
      <c r="B189" s="115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130000</v>
      </c>
      <c r="J189" s="127" t="inlineStr">
        <is>
          <t>18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4</v>
      </c>
      <c r="R189" s="111" t="n">
        <v>2</v>
      </c>
      <c r="S189" s="111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불당동 천안불당린스트라우스1단지</t>
        </is>
      </c>
      <c r="B190" s="115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152000</v>
      </c>
      <c r="J190" s="127" t="inlineStr">
        <is>
          <t>고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4</v>
      </c>
      <c r="R190" s="111" t="n">
        <v>2</v>
      </c>
      <c r="S190" s="111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불당동 천안불당린스트라우스1단지</t>
        </is>
      </c>
      <c r="B191" s="115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152000</v>
      </c>
      <c r="J191" s="127" t="inlineStr">
        <is>
          <t>고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4</v>
      </c>
      <c r="R191" s="111" t="n">
        <v>2</v>
      </c>
      <c r="S191" s="111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불당동 한성필하우스</t>
        </is>
      </c>
      <c r="B192" s="115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불당동 천안불당린스트라우스2단지</t>
        </is>
      </c>
      <c r="B193" s="115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80000</v>
      </c>
      <c r="J193" s="127" t="inlineStr">
        <is>
          <t>중</t>
        </is>
      </c>
      <c r="K193" s="127" t="n">
        <v>45000</v>
      </c>
      <c r="L193" s="127" t="inlineStr">
        <is>
          <t>중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불당동 천안불당린스트라우스2단지</t>
        </is>
      </c>
      <c r="B194" s="115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7</t>
        </is>
      </c>
      <c r="K194" s="127" t="n">
        <v>50000</v>
      </c>
      <c r="L194" s="127" t="inlineStr">
        <is>
          <t>23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불당동 천안불당린스트라우스2단지</t>
        </is>
      </c>
      <c r="B195" s="115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55000</v>
      </c>
      <c r="L195" s="127" t="inlineStr">
        <is>
          <t>18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4</v>
      </c>
      <c r="R195" s="111" t="n">
        <v>2</v>
      </c>
      <c r="S195" s="111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불당동 천안불당린스트라우스2단지</t>
        </is>
      </c>
      <c r="B196" s="115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115000</v>
      </c>
      <c r="J196" s="127" t="inlineStr">
        <is>
          <t>9</t>
        </is>
      </c>
      <c r="K196" s="127" t="n">
        <v>78000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4</v>
      </c>
      <c r="R196" s="111" t="n">
        <v>2</v>
      </c>
      <c r="S196" s="111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불당동 천안불당린스트라우스2단지</t>
        </is>
      </c>
      <c r="B197" s="115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150000</v>
      </c>
      <c r="J197" s="127" t="inlineStr">
        <is>
          <t>10</t>
        </is>
      </c>
      <c r="K197" s="127" t="n">
        <v>85000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4</v>
      </c>
      <c r="R197" s="111" t="n">
        <v>2</v>
      </c>
      <c r="S197" s="111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불당동 천안불당린스트라우스2단지</t>
        </is>
      </c>
      <c r="B198" s="115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150000</v>
      </c>
      <c r="J198" s="127" t="inlineStr">
        <is>
          <t>10</t>
        </is>
      </c>
      <c r="K198" s="127" t="n">
        <v>85000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불당동 불당아이파크</t>
        </is>
      </c>
      <c r="B199" s="115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48000</v>
      </c>
      <c r="J199" s="127" t="inlineStr">
        <is>
          <t>고</t>
        </is>
      </c>
      <c r="K199" s="127" t="n">
        <v>29500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불당동 불당아이파크</t>
        </is>
      </c>
      <c r="B200" s="115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70000</v>
      </c>
      <c r="J200" s="127" t="inlineStr">
        <is>
          <t>5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불당동 불당아이파크</t>
        </is>
      </c>
      <c r="B201" s="115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85000</v>
      </c>
      <c r="J201" s="127" t="inlineStr">
        <is>
          <t>9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4</v>
      </c>
      <c r="R201" s="111" t="n">
        <v>2</v>
      </c>
      <c r="S201" s="111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불당동 불당아이파크</t>
        </is>
      </c>
      <c r="B202" s="115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3</v>
      </c>
      <c r="S202" s="111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불당동 불당아이파크</t>
        </is>
      </c>
      <c r="B203" s="115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4</v>
      </c>
      <c r="S203" s="111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불당동 호반리젠시빌스위트</t>
        </is>
      </c>
      <c r="B204" s="115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4</v>
      </c>
      <c r="R204" s="111" t="n">
        <v>2</v>
      </c>
      <c r="S204" s="111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불당동 호반리젠시빌스위트</t>
        </is>
      </c>
      <c r="B205" s="115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불당동 호반리젠시빌스위트</t>
        </is>
      </c>
      <c r="B206" s="115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4</v>
      </c>
      <c r="R206" s="111" t="n">
        <v>2</v>
      </c>
      <c r="S206" s="111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불당동 호반베르디움센트로포레</t>
        </is>
      </c>
      <c r="B207" s="115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72700</v>
      </c>
      <c r="J207" s="127" t="inlineStr">
        <is>
          <t>5</t>
        </is>
      </c>
      <c r="K207" s="127" t="n">
        <v>45000</v>
      </c>
      <c r="L207" s="127" t="inlineStr">
        <is>
          <t>16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4</v>
      </c>
      <c r="R207" s="111" t="n">
        <v>2</v>
      </c>
      <c r="S207" s="111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불당동 호반베르디움센트로포레</t>
        </is>
      </c>
      <c r="B208" s="115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74000</v>
      </c>
      <c r="J208" s="127" t="inlineStr">
        <is>
          <t>중</t>
        </is>
      </c>
      <c r="K208" s="127" t="n">
        <v>43000</v>
      </c>
      <c r="L208" s="127" t="inlineStr">
        <is>
          <t>24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불당동 호반베르디움센트로포레</t>
        </is>
      </c>
      <c r="B209" s="115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81000</v>
      </c>
      <c r="J209" s="127" t="inlineStr">
        <is>
          <t>15</t>
        </is>
      </c>
      <c r="K209" s="127" t="n">
        <v>49000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4</v>
      </c>
      <c r="R209" s="111" t="n">
        <v>2</v>
      </c>
      <c r="S209" s="111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불당동 펜타포트(103동)</t>
        </is>
      </c>
      <c r="B210" s="115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불당동 펜타포트(103동)</t>
        </is>
      </c>
      <c r="B211" s="115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4</v>
      </c>
      <c r="R211" s="111" t="n">
        <v>2</v>
      </c>
      <c r="S211" s="111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불당동 펜타포트(103동)</t>
        </is>
      </c>
      <c r="B212" s="115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4</v>
      </c>
      <c r="R212" s="111" t="n">
        <v>3</v>
      </c>
      <c r="S212" s="111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불당동 펜타포트(103동)</t>
        </is>
      </c>
      <c r="B213" s="115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3</v>
      </c>
      <c r="S213" s="111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불당동 펜타포트(103동)</t>
        </is>
      </c>
      <c r="B214" s="115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4</v>
      </c>
      <c r="R214" s="111" t="n">
        <v>2</v>
      </c>
      <c r="S214" s="111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불당동 펜타포트(103동)</t>
        </is>
      </c>
      <c r="B215" s="115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3</v>
      </c>
      <c r="S215" s="111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불당동 불당호반써밋플레이스</t>
        </is>
      </c>
      <c r="B216" s="115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81000</v>
      </c>
      <c r="J216" s="127" t="inlineStr">
        <is>
          <t>11</t>
        </is>
      </c>
      <c r="K216" s="127" t="n">
        <v>50000</v>
      </c>
      <c r="L216" s="127" t="inlineStr">
        <is>
          <t>16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불당동 불당호반써밋플레이스</t>
        </is>
      </c>
      <c r="B217" s="115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82000</v>
      </c>
      <c r="J217" s="127" t="inlineStr">
        <is>
          <t>11</t>
        </is>
      </c>
      <c r="K217" s="127" t="n">
        <v>55000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2</v>
      </c>
      <c r="S217" s="111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불당동 불당호반써밋플레이스</t>
        </is>
      </c>
      <c r="B218" s="115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4</v>
      </c>
      <c r="R218" s="111" t="n">
        <v>2</v>
      </c>
      <c r="S218" s="111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불당동 불당호반써밋플레이스</t>
        </is>
      </c>
      <c r="B219" s="115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4</v>
      </c>
      <c r="R219" s="111" t="n">
        <v>2</v>
      </c>
      <c r="S219" s="111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불당동 불당호반써밋플레이스</t>
        </is>
      </c>
      <c r="B220" s="115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불당동 불당호반써밋플레이스</t>
        </is>
      </c>
      <c r="B221" s="115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4</v>
      </c>
      <c r="R221" s="111" t="n">
        <v>2</v>
      </c>
      <c r="S221" s="111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불당동 대동다숲</t>
        </is>
      </c>
      <c r="B222" s="115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36000</v>
      </c>
      <c r="J222" s="127" t="inlineStr">
        <is>
          <t>5</t>
        </is>
      </c>
      <c r="K222" s="127" t="n">
        <v>28000</v>
      </c>
      <c r="L222" s="127" t="inlineStr">
        <is>
          <t>14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불당동 대동다숲</t>
        </is>
      </c>
      <c r="B223" s="115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40000</v>
      </c>
      <c r="J223" s="127" t="inlineStr">
        <is>
          <t>5</t>
        </is>
      </c>
      <c r="K223" s="127" t="n">
        <v>31000</v>
      </c>
      <c r="L223" s="127" t="inlineStr">
        <is>
          <t>11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불당동 대동다숲</t>
        </is>
      </c>
      <c r="B224" s="115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41000</v>
      </c>
      <c r="J224" s="127" t="inlineStr">
        <is>
          <t>14</t>
        </is>
      </c>
      <c r="K224" s="127" t="n">
        <v>32000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불당동 대동다숲</t>
        </is>
      </c>
      <c r="B225" s="115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39000</v>
      </c>
      <c r="J225" s="127" t="inlineStr">
        <is>
          <t>7</t>
        </is>
      </c>
      <c r="K225" s="127" t="n">
        <v>26000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불당동 펜타포트(101,102동)</t>
        </is>
      </c>
      <c r="B226" s="115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2</v>
      </c>
      <c r="S226" s="111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불당동 펜타포트(101,102동)</t>
        </is>
      </c>
      <c r="B227" s="115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불당동 펜타포트(101,102동)</t>
        </is>
      </c>
      <c r="B228" s="115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불당동 펜타포트(101,102동)</t>
        </is>
      </c>
      <c r="B229" s="115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4</v>
      </c>
      <c r="R229" s="111" t="n">
        <v>2</v>
      </c>
      <c r="S229" s="111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불당동 펜타포트(101,102동)</t>
        </is>
      </c>
      <c r="B230" s="115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4</v>
      </c>
      <c r="R230" s="111" t="n">
        <v>2</v>
      </c>
      <c r="S230" s="111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불당동 펜타포트(101,102동)</t>
        </is>
      </c>
      <c r="B231" s="115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4</v>
      </c>
      <c r="R231" s="111" t="n">
        <v>2</v>
      </c>
      <c r="S231" s="111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불당동 펜타포트(101,102동)</t>
        </is>
      </c>
      <c r="B232" s="115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4</v>
      </c>
      <c r="R232" s="111" t="n">
        <v>2</v>
      </c>
      <c r="S232" s="111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불당동 펜타포트(101,102동)</t>
        </is>
      </c>
      <c r="B233" s="115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4</v>
      </c>
      <c r="R233" s="111" t="n">
        <v>2</v>
      </c>
      <c r="S233" s="111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불당동 펜타포트(101,102동)</t>
        </is>
      </c>
      <c r="B234" s="115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4</v>
      </c>
      <c r="R234" s="111" t="n">
        <v>2</v>
      </c>
      <c r="S234" s="111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불당동 불당호반써밋플레이스센터시티</t>
        </is>
      </c>
      <c r="B235" s="115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72800</v>
      </c>
      <c r="J235" s="127" t="inlineStr">
        <is>
          <t>고</t>
        </is>
      </c>
      <c r="K235" s="127" t="n">
        <v>39000</v>
      </c>
      <c r="L235" s="127" t="inlineStr">
        <is>
          <t>13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2</v>
      </c>
      <c r="S235" s="111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불당동 불당호반써밋플레이스센터시티</t>
        </is>
      </c>
      <c r="B236" s="115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78000</v>
      </c>
      <c r="J236" s="127" t="inlineStr">
        <is>
          <t>14</t>
        </is>
      </c>
      <c r="K236" s="127" t="n">
        <v>41000</v>
      </c>
      <c r="L236" s="127" t="inlineStr">
        <is>
          <t>7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불당동 불당호반써밋플레이스센터시티</t>
        </is>
      </c>
      <c r="B237" s="115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87000</v>
      </c>
      <c r="J237" s="127" t="inlineStr">
        <is>
          <t>13</t>
        </is>
      </c>
      <c r="K237" s="127" t="n">
        <v>57000</v>
      </c>
      <c r="L237" s="127" t="inlineStr">
        <is>
          <t>고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4</v>
      </c>
      <c r="R237" s="111" t="n">
        <v>2</v>
      </c>
      <c r="S237" s="111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불당동 불당호반써밋플레이스센터시티</t>
        </is>
      </c>
      <c r="B238" s="115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4</v>
      </c>
      <c r="R238" s="111" t="n">
        <v>2</v>
      </c>
      <c r="S238" s="111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불당동 대원칸타빌</t>
        </is>
      </c>
      <c r="B239" s="115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28000</v>
      </c>
      <c r="J239" s="127" t="inlineStr">
        <is>
          <t>5</t>
        </is>
      </c>
      <c r="K239" s="127" t="n">
        <v>27000</v>
      </c>
      <c r="L239" s="127" t="inlineStr">
        <is>
          <t>5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불당동 대원칸타빌</t>
        </is>
      </c>
      <c r="B240" s="115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39500</v>
      </c>
      <c r="J240" s="127" t="inlineStr">
        <is>
          <t>12</t>
        </is>
      </c>
      <c r="K240" s="127" t="n">
        <v>35000</v>
      </c>
      <c r="L240" s="127" t="inlineStr">
        <is>
          <t>6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불당동 대원칸타빌</t>
        </is>
      </c>
      <c r="B241" s="115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39000</v>
      </c>
      <c r="J241" s="127" t="inlineStr">
        <is>
          <t>8</t>
        </is>
      </c>
      <c r="K241" s="127" t="n">
        <v>35000</v>
      </c>
      <c r="L241" s="127" t="inlineStr">
        <is>
          <t>6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불당동 대원칸타빌</t>
        </is>
      </c>
      <c r="B242" s="115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45000</v>
      </c>
      <c r="J242" s="127" t="inlineStr">
        <is>
          <t>8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불당동 대원칸타빌</t>
        </is>
      </c>
      <c r="B243" s="115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불당동 천안불당금호어울림</t>
        </is>
      </c>
      <c r="B244" s="115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불당동 천안불당금호어울림</t>
        </is>
      </c>
      <c r="B245" s="115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불당동 천안불당금호어울림</t>
        </is>
      </c>
      <c r="B246" s="115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불당동 불당한화꿈에그린</t>
        </is>
      </c>
      <c r="B247" s="115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2</v>
      </c>
      <c r="S247" s="111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불당동 불당한화꿈에그린</t>
        </is>
      </c>
      <c r="B248" s="115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불당동 불당한화꿈에그린</t>
        </is>
      </c>
      <c r="B249" s="115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4</v>
      </c>
      <c r="R249" s="111" t="n">
        <v>2</v>
      </c>
      <c r="S249" s="111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불당동 불당파크푸르지오1단지</t>
        </is>
      </c>
      <c r="B250" s="115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4</v>
      </c>
      <c r="R250" s="111" t="n">
        <v>2</v>
      </c>
      <c r="S250" s="111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불당동 불당파크푸르지오1단지</t>
        </is>
      </c>
      <c r="B251" s="115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4</v>
      </c>
      <c r="R251" s="111" t="n">
        <v>2</v>
      </c>
      <c r="S251" s="111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불당동 불당파크푸르지오1단지</t>
        </is>
      </c>
      <c r="B252" s="115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불당동 불당파크푸르지오1단지</t>
        </is>
      </c>
      <c r="B253" s="115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불당동 불당파크푸르지오1단지</t>
        </is>
      </c>
      <c r="B254" s="115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4</v>
      </c>
      <c r="R254" s="111" t="n">
        <v>2</v>
      </c>
      <c r="S254" s="111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불당동 불당파크푸르지오1단지</t>
        </is>
      </c>
      <c r="B255" s="115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4</v>
      </c>
      <c r="R255" s="111" t="n">
        <v>3</v>
      </c>
      <c r="S255" s="111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불당동 천안불당지웰시티푸르지오2단지</t>
        </is>
      </c>
      <c r="B256" s="115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4</v>
      </c>
      <c r="R256" s="111" t="n">
        <v>2</v>
      </c>
      <c r="S256" s="111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불당동 천안불당지웰시티푸르지오2단지</t>
        </is>
      </c>
      <c r="B257" s="115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불당동 천안불당지웰시티푸르지오2단지</t>
        </is>
      </c>
      <c r="B258" s="115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4</v>
      </c>
      <c r="R258" s="111" t="n">
        <v>2</v>
      </c>
      <c r="S258" s="111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불당동 천안불당지웰시티푸르지오2단지</t>
        </is>
      </c>
      <c r="B259" s="115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4</v>
      </c>
      <c r="R259" s="111" t="n">
        <v>2</v>
      </c>
      <c r="S259" s="111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불당동 천안불당파크푸르지오2단지</t>
        </is>
      </c>
      <c r="B260" s="115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불당동 천안불당파크푸르지오2단지</t>
        </is>
      </c>
      <c r="B261" s="115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불당동 천안불당파크푸르지오2단지</t>
        </is>
      </c>
      <c r="B262" s="115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불당동 천안불당파크푸르지오2단지</t>
        </is>
      </c>
      <c r="B263" s="115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4</v>
      </c>
      <c r="R263" s="111" t="n">
        <v>2</v>
      </c>
      <c r="S263" s="111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불당동 천안불당파크푸르지오2단지</t>
        </is>
      </c>
      <c r="B264" s="115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4</v>
      </c>
      <c r="R264" s="111" t="n">
        <v>3</v>
      </c>
      <c r="S264" s="111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불당동 동일하이빌</t>
        </is>
      </c>
      <c r="B265" s="115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37000</v>
      </c>
      <c r="J265" s="127" t="inlineStr">
        <is>
          <t>9</t>
        </is>
      </c>
      <c r="K265" s="127" t="n">
        <v>32000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2</v>
      </c>
      <c r="S265" s="111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불당동 동일하이빌</t>
        </is>
      </c>
      <c r="B266" s="115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45000</v>
      </c>
      <c r="J266" s="127" t="inlineStr">
        <is>
          <t>5</t>
        </is>
      </c>
      <c r="K266" s="127" t="n">
        <v>33000</v>
      </c>
      <c r="L266" s="127" t="inlineStr">
        <is>
          <t>12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2</v>
      </c>
      <c r="S266" s="111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불당동 동일하이빌</t>
        </is>
      </c>
      <c r="B267" s="115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63000</v>
      </c>
      <c r="J267" s="127" t="inlineStr">
        <is>
          <t>6</t>
        </is>
      </c>
      <c r="K267" s="127" t="n">
        <v>42000</v>
      </c>
      <c r="L267" s="127" t="inlineStr">
        <is>
          <t>17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2</v>
      </c>
      <c r="S267" s="111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불당동 동일하이빌</t>
        </is>
      </c>
      <c r="B268" s="115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4</v>
      </c>
      <c r="R268" s="111" t="n">
        <v>2</v>
      </c>
      <c r="S268" s="111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불당동 천안불당지웰시티푸르지오1단지</t>
        </is>
      </c>
      <c r="B269" s="115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4</v>
      </c>
      <c r="R269" s="111" t="n">
        <v>2</v>
      </c>
      <c r="S269" s="111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불당동 천안불당지웰시티푸르지오1단지</t>
        </is>
      </c>
      <c r="B270" s="115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4</v>
      </c>
      <c r="R270" s="111" t="n">
        <v>2</v>
      </c>
      <c r="S270" s="111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불당동 천안불당지웰시티푸르지오1단지</t>
        </is>
      </c>
      <c r="B271" s="115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4</v>
      </c>
      <c r="R271" s="111" t="n">
        <v>2</v>
      </c>
      <c r="S271" s="111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불당동 천안불당지웰시티푸르지오1단지</t>
        </is>
      </c>
      <c r="B272" s="115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4</v>
      </c>
      <c r="R272" s="111" t="n">
        <v>2</v>
      </c>
      <c r="S272" s="111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불당동 천안불당지웰시티푸르지오1단지</t>
        </is>
      </c>
      <c r="B273" s="115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불당동 천안불당지웰시티푸르지오1단지</t>
        </is>
      </c>
      <c r="B274" s="115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2</v>
      </c>
      <c r="S274" s="111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불당동 천안불당지웰시티푸르지오1단지</t>
        </is>
      </c>
      <c r="B275" s="115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4</v>
      </c>
      <c r="R275" s="111" t="n">
        <v>2</v>
      </c>
      <c r="S275" s="111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불당동 불당호반베르디움더퍼스트</t>
        </is>
      </c>
      <c r="B276" s="115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53000</v>
      </c>
      <c r="J276" s="127" t="inlineStr">
        <is>
          <t>5</t>
        </is>
      </c>
      <c r="K276" s="127" t="n">
        <v>32500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불당동 불당호반베르디움더퍼스트</t>
        </is>
      </c>
      <c r="B277" s="115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51000</v>
      </c>
      <c r="J277" s="127" t="inlineStr">
        <is>
          <t>11</t>
        </is>
      </c>
      <c r="K277" s="127" t="n">
        <v>30000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불당동 불당호반베르디움더퍼스트</t>
        </is>
      </c>
      <c r="B278" s="115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75000</v>
      </c>
      <c r="J278" s="127" t="inlineStr">
        <is>
          <t>8</t>
        </is>
      </c>
      <c r="K278" s="127" t="n">
        <v>45000</v>
      </c>
      <c r="L278" s="127" t="inlineStr">
        <is>
          <t>12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불당동 불당호반베르디움더퍼스트</t>
        </is>
      </c>
      <c r="B279" s="115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6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불당동 불당호반베르디움더퍼스트</t>
        </is>
      </c>
      <c r="B280" s="115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53000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4</v>
      </c>
      <c r="R280" s="111" t="n">
        <v>2</v>
      </c>
      <c r="S280" s="111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불당동 불당호반베르디움더퍼스트</t>
        </is>
      </c>
      <c r="B281" s="115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불당동 불당리더힐스</t>
        </is>
      </c>
      <c r="B282" s="115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43000</v>
      </c>
      <c r="J282" s="127" t="inlineStr">
        <is>
          <t>10</t>
        </is>
      </c>
      <c r="K282" s="127" t="n">
        <v>29000</v>
      </c>
      <c r="L282" s="127" t="inlineStr">
        <is>
          <t>12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불당동 불당리더힐스</t>
        </is>
      </c>
      <c r="B283" s="115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43000</v>
      </c>
      <c r="J283" s="127" t="inlineStr">
        <is>
          <t>중</t>
        </is>
      </c>
      <c r="K283" s="127" t="n">
        <v>30000</v>
      </c>
      <c r="L283" s="127" t="inlineStr">
        <is>
          <t>9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불당동 불당리더힐스</t>
        </is>
      </c>
      <c r="B284" s="115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50000</v>
      </c>
      <c r="J284" s="127" t="inlineStr">
        <is>
          <t>11</t>
        </is>
      </c>
      <c r="K284" s="127" t="n">
        <v>36000</v>
      </c>
      <c r="L284" s="127" t="inlineStr">
        <is>
          <t>16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불당동 불당리더힐스</t>
        </is>
      </c>
      <c r="B285" s="115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73000</v>
      </c>
      <c r="J285" s="127" t="inlineStr">
        <is>
          <t>15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불당동 불당리더힐스</t>
        </is>
      </c>
      <c r="B286" s="115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67000</v>
      </c>
      <c r="J286" s="127" t="inlineStr">
        <is>
          <t>22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불당동 불당리더힐스</t>
        </is>
      </c>
      <c r="B287" s="115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73000</v>
      </c>
      <c r="J287" s="127" t="inlineStr">
        <is>
          <t>15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3</v>
      </c>
      <c r="R287" s="111" t="n">
        <v>2</v>
      </c>
      <c r="S287" s="111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불당동 천안불당지웰더샵</t>
        </is>
      </c>
      <c r="B288" s="115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60000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2</v>
      </c>
      <c r="S288" s="111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불당동 천안불당지웰더샵</t>
        </is>
      </c>
      <c r="B289" s="115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87000</v>
      </c>
      <c r="J289" s="127" t="inlineStr">
        <is>
          <t>고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불당동 천안불당지웰더샵</t>
        </is>
      </c>
      <c r="B290" s="115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116000</v>
      </c>
      <c r="J290" s="127" t="inlineStr">
        <is>
          <t>28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4</v>
      </c>
      <c r="R290" s="111" t="n">
        <v>2</v>
      </c>
      <c r="S290" s="111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불당동 천안불당지웰더샵</t>
        </is>
      </c>
      <c r="B291" s="115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27</t>
        </is>
      </c>
      <c r="K291" s="127" t="n">
        <v>62000</v>
      </c>
      <c r="L291" s="127" t="inlineStr">
        <is>
          <t>고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불당동 천안불당지웰더샵</t>
        </is>
      </c>
      <c r="B292" s="115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152000</v>
      </c>
      <c r="J292" s="127" t="inlineStr">
        <is>
          <t>중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4</v>
      </c>
      <c r="R292" s="111" t="n">
        <v>2</v>
      </c>
      <c r="S292" s="111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불당동 천안불당지웰푸르지오</t>
        </is>
      </c>
      <c r="B293" s="115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70000</v>
      </c>
      <c r="J293" s="127" t="inlineStr">
        <is>
          <t>6</t>
        </is>
      </c>
      <c r="K293" s="127" t="n">
        <v>40000</v>
      </c>
      <c r="L293" s="127" t="inlineStr">
        <is>
          <t>14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불당동 천안불당지웰푸르지오</t>
        </is>
      </c>
      <c r="B294" s="115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75000</v>
      </c>
      <c r="J294" s="127" t="inlineStr">
        <is>
          <t>21</t>
        </is>
      </c>
      <c r="K294" s="127" t="n">
        <v>45000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불당동 천안불당지웰푸르지오</t>
        </is>
      </c>
      <c r="B295" s="115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73000</v>
      </c>
      <c r="J295" s="127" t="inlineStr">
        <is>
          <t>5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불당동 천안불당지웰푸르지오</t>
        </is>
      </c>
      <c r="B296" s="115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불당동 천안불당지웰푸르지오</t>
        </is>
      </c>
      <c r="B297" s="115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84000</v>
      </c>
      <c r="J297" s="127" t="inlineStr">
        <is>
          <t>18</t>
        </is>
      </c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2</v>
      </c>
      <c r="S297" s="111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불당동 천안불당지웰푸르지오</t>
        </is>
      </c>
      <c r="B298" s="115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82000</v>
      </c>
      <c r="J298" s="127" t="inlineStr">
        <is>
          <t>24</t>
        </is>
      </c>
      <c r="K298" s="127" t="n">
        <v>57000</v>
      </c>
      <c r="L298" s="127" t="inlineStr">
        <is>
          <t>19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성거읍 육영</t>
        </is>
      </c>
      <c r="B299" s="115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5</t>
        </is>
      </c>
      <c r="K299" s="127" t="n">
        <v>2300</v>
      </c>
      <c r="L299" s="127" t="inlineStr">
        <is>
          <t>중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1</v>
      </c>
      <c r="R299" s="111" t="n">
        <v>1</v>
      </c>
      <c r="S299" s="111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성거읍 천안삼환나우빌</t>
        </is>
      </c>
      <c r="B300" s="115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22000</v>
      </c>
      <c r="J300" s="127" t="inlineStr">
        <is>
          <t>11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성거읍 천안삼환나우빌</t>
        </is>
      </c>
      <c r="B301" s="115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22000</v>
      </c>
      <c r="J301" s="127" t="inlineStr">
        <is>
          <t>11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2</v>
      </c>
      <c r="S301" s="111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성거읍 하늘빛</t>
        </is>
      </c>
      <c r="B302" s="115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5500</v>
      </c>
      <c r="J302" s="127" t="inlineStr">
        <is>
          <t>6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2</v>
      </c>
      <c r="R302" s="111" t="n">
        <v>1</v>
      </c>
      <c r="S302" s="111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성거읍 하늘빛</t>
        </is>
      </c>
      <c r="B303" s="115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8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2</v>
      </c>
      <c r="R303" s="111" t="n">
        <v>1</v>
      </c>
      <c r="S303" s="111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성거읍 하늘빛</t>
        </is>
      </c>
      <c r="B304" s="115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5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24" customFormat="1" customHeight="1" s="38">
      <c r="A305" s="114" t="inlineStr">
        <is>
          <t>성거읍 직산역서희스타힐스뉴플래닝시티</t>
        </is>
      </c>
      <c r="B305" s="115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24" customFormat="1" customHeight="1" s="38">
      <c r="A306" s="114" t="inlineStr">
        <is>
          <t>성거읍 직산역서희스타힐스뉴플래닝시티</t>
        </is>
      </c>
      <c r="B306" s="115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24" customFormat="1" customHeight="1" s="38">
      <c r="A307" s="114" t="inlineStr">
        <is>
          <t>성거읍 직산역서희스타힐스뉴플래닝시티</t>
        </is>
      </c>
      <c r="B307" s="115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24" customFormat="1" customHeight="1" s="38">
      <c r="A308" s="114" t="inlineStr">
        <is>
          <t>성거읍 직산역서희스타힐스뉴플래닝시티</t>
        </is>
      </c>
      <c r="B308" s="115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성거읍 삼일</t>
        </is>
      </c>
      <c r="B309" s="115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2</v>
      </c>
      <c r="R309" s="111" t="n">
        <v>1</v>
      </c>
      <c r="S309" s="111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성거읍 삼일</t>
        </is>
      </c>
      <c r="B310" s="115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성거읍 삼일</t>
        </is>
      </c>
      <c r="B311" s="115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성거읍 삼일</t>
        </is>
      </c>
      <c r="B312" s="115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1</v>
      </c>
      <c r="S312" s="111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성거읍 벽산</t>
        </is>
      </c>
      <c r="B313" s="115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14000</v>
      </c>
      <c r="J313" s="127" t="inlineStr">
        <is>
          <t>5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성거읍 벽산</t>
        </is>
      </c>
      <c r="B314" s="115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15500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1</v>
      </c>
      <c r="S314" s="111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성거읍 벽산</t>
        </is>
      </c>
      <c r="B315" s="115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성거읍 벽산</t>
        </is>
      </c>
      <c r="B316" s="115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성거읍 아느칸빌</t>
        </is>
      </c>
      <c r="B317" s="115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4800</v>
      </c>
      <c r="J317" s="127" t="inlineStr">
        <is>
          <t>중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1</v>
      </c>
      <c r="R317" s="111" t="n">
        <v>1</v>
      </c>
      <c r="S317" s="111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성거읍 아느칸빌</t>
        </is>
      </c>
      <c r="B318" s="115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2</v>
      </c>
      <c r="R318" s="111" t="n">
        <v>1</v>
      </c>
      <c r="S318" s="111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성거읍 장미</t>
        </is>
      </c>
      <c r="B319" s="115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성거읍 장미</t>
        </is>
      </c>
      <c r="B320" s="115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2</v>
      </c>
      <c r="R320" s="111" t="n">
        <v>1</v>
      </c>
      <c r="S320" s="111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성거읍 장미</t>
        </is>
      </c>
      <c r="B322" s="115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성거읍 직산역꿈에그린</t>
        </is>
      </c>
      <c r="B323" s="115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2</v>
      </c>
      <c r="S323" s="111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성거읍 직산역꿈에그린</t>
        </is>
      </c>
      <c r="B324" s="115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30000</v>
      </c>
      <c r="J324" s="127" t="inlineStr">
        <is>
          <t>5</t>
        </is>
      </c>
      <c r="K324" s="127" t="n">
        <v>28000</v>
      </c>
      <c r="L324" s="127" t="inlineStr">
        <is>
          <t>5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성거읍 저리보금자리</t>
        </is>
      </c>
      <c r="B325" s="115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1</v>
      </c>
      <c r="R325" s="111" t="n">
        <v>1</v>
      </c>
      <c r="S325" s="111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성거읍 저리보금자리</t>
        </is>
      </c>
      <c r="B326" s="115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성거읍 청호8차</t>
        </is>
      </c>
      <c r="B327" s="115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10500</v>
      </c>
      <c r="J327" s="127" t="inlineStr">
        <is>
          <t>고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2</v>
      </c>
      <c r="S327" s="111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성거읍 청호8차</t>
        </is>
      </c>
      <c r="B328" s="115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성거읍 금정샛별</t>
        </is>
      </c>
      <c r="B329" s="115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성성동 천안레이크타운3차푸르지오</t>
        </is>
      </c>
      <c r="B330" s="115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50000</v>
      </c>
      <c r="J330" s="127" t="inlineStr">
        <is>
          <t>31</t>
        </is>
      </c>
      <c r="K330" s="127" t="n">
        <v>33000</v>
      </c>
      <c r="L330" s="127" t="inlineStr">
        <is>
          <t>15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성성동 천안레이크타운3차푸르지오</t>
        </is>
      </c>
      <c r="B331" s="115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49500</v>
      </c>
      <c r="J331" s="127" t="inlineStr">
        <is>
          <t>34</t>
        </is>
      </c>
      <c r="K331" s="127" t="n">
        <v>32000</v>
      </c>
      <c r="L331" s="127" t="inlineStr">
        <is>
          <t>11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성성동 천안레이크타운3차푸르지오</t>
        </is>
      </c>
      <c r="B332" s="115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50000</v>
      </c>
      <c r="J332" s="127" t="inlineStr">
        <is>
          <t>17</t>
        </is>
      </c>
      <c r="K332" s="127" t="n">
        <v>33000</v>
      </c>
      <c r="L332" s="127" t="inlineStr">
        <is>
          <t>24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성성동 천안레이크타운3차푸르지오</t>
        </is>
      </c>
      <c r="B333" s="115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55000</v>
      </c>
      <c r="J333" s="127" t="inlineStr">
        <is>
          <t>27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성성동 천안레이크타운3차푸르지오</t>
        </is>
      </c>
      <c r="B334" s="115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64000</v>
      </c>
      <c r="J334" s="127" t="inlineStr">
        <is>
          <t>9</t>
        </is>
      </c>
      <c r="K334" s="127" t="n">
        <v>33000</v>
      </c>
      <c r="L334" s="127" t="inlineStr">
        <is>
          <t>22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3</v>
      </c>
      <c r="R334" s="111" t="n">
        <v>2</v>
      </c>
      <c r="S334" s="111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성성동 천안레이크타운3차푸르지오</t>
        </is>
      </c>
      <c r="B335" s="115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70000</v>
      </c>
      <c r="J335" s="127" t="inlineStr">
        <is>
          <t>18</t>
        </is>
      </c>
      <c r="K335" s="127" t="n">
        <v>42000</v>
      </c>
      <c r="L335" s="127" t="inlineStr">
        <is>
          <t>21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2</v>
      </c>
      <c r="S335" s="111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성성동 천안레이크타운3차푸르지오</t>
        </is>
      </c>
      <c r="B336" s="115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78500</v>
      </c>
      <c r="J336" s="127" t="inlineStr">
        <is>
          <t>고</t>
        </is>
      </c>
      <c r="K336" s="127" t="n">
        <v>43000</v>
      </c>
      <c r="L336" s="127" t="inlineStr">
        <is>
          <t>13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성성동 천안시티자이</t>
        </is>
      </c>
      <c r="B337" s="115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46500</v>
      </c>
      <c r="J337" s="127" t="inlineStr">
        <is>
          <t>6</t>
        </is>
      </c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성성동 천안시티자이</t>
        </is>
      </c>
      <c r="B338" s="115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성성동 천안시티자이</t>
        </is>
      </c>
      <c r="B339" s="115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51000</v>
      </c>
      <c r="J339" s="127" t="inlineStr">
        <is>
          <t>고</t>
        </is>
      </c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성성동 천안시티자이</t>
        </is>
      </c>
      <c r="B340" s="115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54000</v>
      </c>
      <c r="J340" s="127" t="inlineStr">
        <is>
          <t>33</t>
        </is>
      </c>
      <c r="K340" s="127" t="n">
        <v>40000</v>
      </c>
      <c r="L340" s="127" t="inlineStr">
        <is>
          <t>24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성성동 천안시티자이</t>
        </is>
      </c>
      <c r="B341" s="115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52000</v>
      </c>
      <c r="J341" s="127" t="inlineStr">
        <is>
          <t>10</t>
        </is>
      </c>
      <c r="K341" s="127" t="n">
        <v>35000</v>
      </c>
      <c r="L341" s="127" t="inlineStr">
        <is>
          <t>38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3</v>
      </c>
      <c r="R341" s="111" t="n">
        <v>2</v>
      </c>
      <c r="S341" s="111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성성동 천안시티자이</t>
        </is>
      </c>
      <c r="B342" s="115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38000</v>
      </c>
      <c r="L342" s="127" t="inlineStr">
        <is>
          <t>33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4</v>
      </c>
      <c r="R342" s="111" t="n">
        <v>2</v>
      </c>
      <c r="S342" s="111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성성동 천안시티자이</t>
        </is>
      </c>
      <c r="B343" s="115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64000</v>
      </c>
      <c r="J343" s="127" t="inlineStr">
        <is>
          <t>8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성성동 천안시티자이</t>
        </is>
      </c>
      <c r="B344" s="115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38000</v>
      </c>
      <c r="L344" s="127" t="inlineStr">
        <is>
          <t>33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성성동 천안레이크타운푸르지오</t>
        </is>
      </c>
      <c r="B345" s="115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3</v>
      </c>
      <c r="R345" s="111" t="n">
        <v>2</v>
      </c>
      <c r="S345" s="111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성성동 천안레이크타운푸르지오</t>
        </is>
      </c>
      <c r="B346" s="115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47000</v>
      </c>
      <c r="J346" s="127" t="inlineStr">
        <is>
          <t>6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성성동 천안레이크타운푸르지오</t>
        </is>
      </c>
      <c r="B347" s="115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52000</v>
      </c>
      <c r="J347" s="127" t="inlineStr">
        <is>
          <t>23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성성동 천안레이크타운푸르지오</t>
        </is>
      </c>
      <c r="B348" s="115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53000</v>
      </c>
      <c r="J348" s="127" t="inlineStr">
        <is>
          <t>7</t>
        </is>
      </c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2</v>
      </c>
      <c r="S348" s="111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성성동 천안레이크타운푸르지오</t>
        </is>
      </c>
      <c r="B349" s="115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65000</v>
      </c>
      <c r="J349" s="127" t="inlineStr">
        <is>
          <t>11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성성동 천안레이크타운푸르지오</t>
        </is>
      </c>
      <c r="B350" s="115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59000</v>
      </c>
      <c r="J350" s="127" t="inlineStr">
        <is>
          <t>10</t>
        </is>
      </c>
      <c r="K350" s="127" t="n">
        <v>35000</v>
      </c>
      <c r="L350" s="127" t="inlineStr">
        <is>
          <t>25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성성동 천안레이크타운푸르지오</t>
        </is>
      </c>
      <c r="B351" s="115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69000</v>
      </c>
      <c r="J351" s="127" t="inlineStr">
        <is>
          <t>14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4</v>
      </c>
      <c r="R351" s="111" t="n">
        <v>2</v>
      </c>
      <c r="S351" s="111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성성동 천안레이크타운푸르지오</t>
        </is>
      </c>
      <c r="B352" s="115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69000</v>
      </c>
      <c r="J352" s="127" t="inlineStr">
        <is>
          <t>14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2</v>
      </c>
      <c r="S352" s="111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성성동 천안레이크타운푸르지오</t>
        </is>
      </c>
      <c r="B353" s="115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58000</v>
      </c>
      <c r="J353" s="127" t="inlineStr">
        <is>
          <t>9</t>
        </is>
      </c>
      <c r="K353" s="127" t="n">
        <v>35000</v>
      </c>
      <c r="L353" s="127" t="inlineStr">
        <is>
          <t>21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2</v>
      </c>
      <c r="S353" s="111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성성동 천안레이크타운2차푸르지오</t>
        </is>
      </c>
      <c r="B354" s="115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47000</v>
      </c>
      <c r="J354" s="127" t="inlineStr">
        <is>
          <t>16</t>
        </is>
      </c>
      <c r="K354" s="127" t="n">
        <v>30000</v>
      </c>
      <c r="L354" s="127" t="inlineStr">
        <is>
          <t>28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성성동 천안레이크타운2차푸르지오</t>
        </is>
      </c>
      <c r="B355" s="115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47000</v>
      </c>
      <c r="J355" s="127" t="inlineStr">
        <is>
          <t>27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성성동 천안레이크타운2차푸르지오</t>
        </is>
      </c>
      <c r="B356" s="115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55000</v>
      </c>
      <c r="J356" s="127" t="inlineStr">
        <is>
          <t>28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2</v>
      </c>
      <c r="S356" s="111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성성동 천안레이크타운2차푸르지오</t>
        </is>
      </c>
      <c r="B357" s="115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60000</v>
      </c>
      <c r="J357" s="127" t="inlineStr">
        <is>
          <t>23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2</v>
      </c>
      <c r="S357" s="111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성성동 천안레이크타운2차푸르지오</t>
        </is>
      </c>
      <c r="B358" s="115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63000</v>
      </c>
      <c r="J358" s="127" t="inlineStr">
        <is>
          <t>고</t>
        </is>
      </c>
      <c r="K358" s="127" t="n">
        <v>40000</v>
      </c>
      <c r="L358" s="127" t="inlineStr">
        <is>
          <t>중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2</v>
      </c>
      <c r="S358" s="111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성성동 천안레이크타운2차푸르지오</t>
        </is>
      </c>
      <c r="B359" s="115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65000</v>
      </c>
      <c r="J359" s="127" t="inlineStr">
        <is>
          <t>16</t>
        </is>
      </c>
      <c r="K359" s="127" t="n">
        <v>38000</v>
      </c>
      <c r="L359" s="127" t="inlineStr">
        <is>
          <t>16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2</v>
      </c>
      <c r="S359" s="111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성성동 천안레이크타운2차푸르지오</t>
        </is>
      </c>
      <c r="B360" s="115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68500</v>
      </c>
      <c r="J360" s="127" t="inlineStr">
        <is>
          <t>22</t>
        </is>
      </c>
      <c r="K360" s="127" t="n">
        <v>41000</v>
      </c>
      <c r="L360" s="127" t="inlineStr">
        <is>
          <t>13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성성동 천안레이크타운2차푸르지오</t>
        </is>
      </c>
      <c r="B361" s="115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64000</v>
      </c>
      <c r="J361" s="127" t="inlineStr">
        <is>
          <t>34</t>
        </is>
      </c>
      <c r="K361" s="127" t="n">
        <v>38000</v>
      </c>
      <c r="L361" s="127" t="inlineStr">
        <is>
          <t>31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성성동 천안레이크타운2차푸르지오</t>
        </is>
      </c>
      <c r="B362" s="115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82000</v>
      </c>
      <c r="J362" s="127" t="inlineStr">
        <is>
          <t>22</t>
        </is>
      </c>
      <c r="K362" s="127" t="n">
        <v>48000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성성동 천안푸르지오레이크사이드</t>
        </is>
      </c>
      <c r="B363" s="115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성성동 천안푸르지오레이크사이드</t>
        </is>
      </c>
      <c r="B364" s="115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성성동 천안푸르지오레이크사이드</t>
        </is>
      </c>
      <c r="B365" s="115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성성동 천안푸르지오레이크사이드</t>
        </is>
      </c>
      <c r="B366" s="115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성성동 천안푸르지오레이크사이드</t>
        </is>
      </c>
      <c r="B367" s="115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성성동 천안푸르지오레이크사이드</t>
        </is>
      </c>
      <c r="B368" s="115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성성동 천안푸르지오레이크사이드</t>
        </is>
      </c>
      <c r="B369" s="115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성성동 천안푸르지오레이크사이드</t>
        </is>
      </c>
      <c r="B370" s="115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성정동 프라지움11차</t>
        </is>
      </c>
      <c r="B371" s="115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1</v>
      </c>
      <c r="R371" s="111" t="n">
        <v>1</v>
      </c>
      <c r="S371" s="111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성정동 프라지움11차</t>
        </is>
      </c>
      <c r="B372" s="115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2</v>
      </c>
      <c r="R372" s="111" t="n">
        <v>1</v>
      </c>
      <c r="S372" s="111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성정동 프라지움11차</t>
        </is>
      </c>
      <c r="B373" s="115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2</v>
      </c>
      <c r="R373" s="111" t="n">
        <v>1</v>
      </c>
      <c r="S373" s="111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성정동 프라지움11차</t>
        </is>
      </c>
      <c r="B374" s="115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성정동 프라지움11차</t>
        </is>
      </c>
      <c r="B375" s="115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성정동 프라지움11차</t>
        </is>
      </c>
      <c r="B376" s="115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2</v>
      </c>
      <c r="R376" s="111" t="n">
        <v>1</v>
      </c>
      <c r="S376" s="111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성정동 선경</t>
        </is>
      </c>
      <c r="B377" s="115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13000</v>
      </c>
      <c r="J377" s="127" t="inlineStr">
        <is>
          <t>16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2</v>
      </c>
      <c r="R377" s="111" t="n">
        <v>1</v>
      </c>
      <c r="S377" s="111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성정동 선경</t>
        </is>
      </c>
      <c r="B378" s="115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3</v>
      </c>
      <c r="R378" s="111" t="n">
        <v>2</v>
      </c>
      <c r="S378" s="111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성정동 선경</t>
        </is>
      </c>
      <c r="B379" s="115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4</v>
      </c>
      <c r="R379" s="111" t="n">
        <v>2</v>
      </c>
      <c r="S379" s="111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성정동 대우목화</t>
        </is>
      </c>
      <c r="B380" s="115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17000</v>
      </c>
      <c r="J380" s="127" t="inlineStr">
        <is>
          <t>5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2</v>
      </c>
      <c r="R380" s="111" t="n">
        <v>1</v>
      </c>
      <c r="S380" s="111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성정동 대우목화</t>
        </is>
      </c>
      <c r="B381" s="115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2</v>
      </c>
      <c r="R381" s="111" t="n">
        <v>1</v>
      </c>
      <c r="S381" s="111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성정동 대우목화</t>
        </is>
      </c>
      <c r="B382" s="115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2</v>
      </c>
      <c r="R382" s="111" t="n">
        <v>1</v>
      </c>
      <c r="S382" s="111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성정동 대우목화</t>
        </is>
      </c>
      <c r="B383" s="115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성정동 대우목화</t>
        </is>
      </c>
      <c r="B384" s="115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성정동 대우목화</t>
        </is>
      </c>
      <c r="B385" s="115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24500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성정동 대우목화</t>
        </is>
      </c>
      <c r="B386" s="115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23500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1</v>
      </c>
      <c r="S386" s="111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성정동 대우목화</t>
        </is>
      </c>
      <c r="B387" s="115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1</v>
      </c>
      <c r="S387" s="111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성정동 대우목화</t>
        </is>
      </c>
      <c r="B388" s="115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성정동 주공6단지3차</t>
        </is>
      </c>
      <c r="B389" s="115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16000</v>
      </c>
      <c r="J389" s="127" t="inlineStr">
        <is>
          <t>5</t>
        </is>
      </c>
      <c r="K389" s="127" t="n">
        <v>9000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1</v>
      </c>
      <c r="S389" s="111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성정동 주공6단지3차</t>
        </is>
      </c>
      <c r="B390" s="115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1</v>
      </c>
      <c r="S390" s="111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성정동 현대</t>
        </is>
      </c>
      <c r="B391" s="115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1</v>
      </c>
      <c r="S391" s="111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성정동 현대</t>
        </is>
      </c>
      <c r="B392" s="115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중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1</v>
      </c>
      <c r="S392" s="111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성정동 주공5단지</t>
        </is>
      </c>
      <c r="B393" s="115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18500</v>
      </c>
      <c r="J393" s="127" t="inlineStr">
        <is>
          <t>중</t>
        </is>
      </c>
      <c r="K393" s="127" t="n">
        <v>9000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성정동 주공5단지</t>
        </is>
      </c>
      <c r="B394" s="115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2</v>
      </c>
      <c r="R394" s="111" t="n">
        <v>1</v>
      </c>
      <c r="S394" s="111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성정동 주공5단지</t>
        </is>
      </c>
      <c r="B395" s="115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중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성정동 주공5단지</t>
        </is>
      </c>
      <c r="B396" s="115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성정동 주공5단지</t>
        </is>
      </c>
      <c r="B397" s="115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23000</v>
      </c>
      <c r="J397" s="127" t="inlineStr">
        <is>
          <t>중</t>
        </is>
      </c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성정동 주공5단지</t>
        </is>
      </c>
      <c r="B398" s="115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25000</v>
      </c>
      <c r="J398" s="127" t="inlineStr">
        <is>
          <t>중</t>
        </is>
      </c>
      <c r="K398" s="127" t="n">
        <v>12000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성정동 프라지움10차</t>
        </is>
      </c>
      <c r="B399" s="115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1</v>
      </c>
      <c r="R399" s="111" t="n">
        <v>1</v>
      </c>
      <c r="S399" s="111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성정동 프라지움10차</t>
        </is>
      </c>
      <c r="B400" s="115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1</v>
      </c>
      <c r="R400" s="111" t="n">
        <v>1</v>
      </c>
      <c r="S400" s="111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성정동 프라지움10차</t>
        </is>
      </c>
      <c r="B401" s="115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1</v>
      </c>
      <c r="R401" s="111" t="n">
        <v>1</v>
      </c>
      <c r="S401" s="111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성정동 프라지움10차</t>
        </is>
      </c>
      <c r="B402" s="115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2</v>
      </c>
      <c r="R402" s="111" t="n">
        <v>1</v>
      </c>
      <c r="S402" s="111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성정동 프라지움10차</t>
        </is>
      </c>
      <c r="B403" s="115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2</v>
      </c>
      <c r="R403" s="111" t="n">
        <v>1</v>
      </c>
      <c r="S403" s="111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성정동 프라지움10차</t>
        </is>
      </c>
      <c r="B404" s="115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2</v>
      </c>
      <c r="R404" s="111" t="n">
        <v>1</v>
      </c>
      <c r="S404" s="111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성정동 주공6단지1차</t>
        </is>
      </c>
      <c r="B405" s="115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15000</v>
      </c>
      <c r="J405" s="127" t="inlineStr">
        <is>
          <t>5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2</v>
      </c>
      <c r="R405" s="111" t="n">
        <v>1</v>
      </c>
      <c r="S405" s="111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성정동 주공6단지1차</t>
        </is>
      </c>
      <c r="B406" s="115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2</v>
      </c>
      <c r="R406" s="111" t="n">
        <v>1</v>
      </c>
      <c r="S406" s="111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성정동 주공6단지1차</t>
        </is>
      </c>
      <c r="B407" s="115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17500</v>
      </c>
      <c r="J407" s="127" t="inlineStr">
        <is>
          <t>5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2</v>
      </c>
      <c r="R407" s="111" t="n">
        <v>1</v>
      </c>
      <c r="S407" s="111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성정동 주공6단지1차</t>
        </is>
      </c>
      <c r="B408" s="115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2</v>
      </c>
      <c r="R408" s="111" t="n">
        <v>1</v>
      </c>
      <c r="S408" s="111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성정동 주공6단지1차</t>
        </is>
      </c>
      <c r="B409" s="115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2</v>
      </c>
      <c r="R409" s="111" t="n">
        <v>1</v>
      </c>
      <c r="S409" s="111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성정동 천안역우방아이유쉘</t>
        </is>
      </c>
      <c r="B410" s="115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4</v>
      </c>
      <c r="R410" s="111" t="n">
        <v>2</v>
      </c>
      <c r="S410" s="111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성정동 천안역우방아이유쉘</t>
        </is>
      </c>
      <c r="B411" s="115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2</v>
      </c>
      <c r="S411" s="111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성환읍 천안성환e-편한세상</t>
        </is>
      </c>
      <c r="B412" s="115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28500</v>
      </c>
      <c r="J412" s="127" t="inlineStr">
        <is>
          <t>12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2</v>
      </c>
      <c r="S412" s="111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성환읍 천안성환e-편한세상</t>
        </is>
      </c>
      <c r="B413" s="115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28500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성환읍 천안성환e-편한세상</t>
        </is>
      </c>
      <c r="B414" s="115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성환읍 천안성환e-편한세상</t>
        </is>
      </c>
      <c r="B415" s="115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성환읍 천안성환e-편한세상</t>
        </is>
      </c>
      <c r="B416" s="115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4</v>
      </c>
      <c r="R416" s="111" t="n">
        <v>2</v>
      </c>
      <c r="S416" s="111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성환읍 성환삼풍</t>
        </is>
      </c>
      <c r="B417" s="115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2</v>
      </c>
      <c r="R417" s="111" t="n">
        <v>1</v>
      </c>
      <c r="S417" s="111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성환읍 성환삼풍</t>
        </is>
      </c>
      <c r="B418" s="115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2</v>
      </c>
      <c r="R418" s="111" t="n">
        <v>1</v>
      </c>
      <c r="S418" s="111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성환읍 성환삼풍</t>
        </is>
      </c>
      <c r="B419" s="115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3</v>
      </c>
      <c r="R419" s="111" t="n">
        <v>1</v>
      </c>
      <c r="S419" s="111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성환읍 성환삼풍</t>
        </is>
      </c>
      <c r="B420" s="115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3</v>
      </c>
      <c r="R420" s="111" t="n">
        <v>1</v>
      </c>
      <c r="S420" s="111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성환읍 성환삼풍</t>
        </is>
      </c>
      <c r="B421" s="115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2</v>
      </c>
      <c r="S421" s="111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성환읍 이화</t>
        </is>
      </c>
      <c r="B422" s="115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2</v>
      </c>
      <c r="R422" s="111" t="n">
        <v>1</v>
      </c>
      <c r="S422" s="111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성환읍 이화</t>
        </is>
      </c>
      <c r="B423" s="115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성환읍 한미래</t>
        </is>
      </c>
      <c r="B424" s="115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성환읍 한미래</t>
        </is>
      </c>
      <c r="B425" s="115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3</v>
      </c>
      <c r="R425" s="111" t="n">
        <v>1</v>
      </c>
      <c r="S425" s="111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성환읍 부영</t>
        </is>
      </c>
      <c r="B426" s="115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8300</v>
      </c>
      <c r="J426" s="127" t="inlineStr">
        <is>
          <t>12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성환읍 부영</t>
        </is>
      </c>
      <c r="B427" s="115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11000</v>
      </c>
      <c r="J427" s="127" t="inlineStr">
        <is>
          <t>6</t>
        </is>
      </c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3</v>
      </c>
      <c r="R427" s="111" t="n">
        <v>1</v>
      </c>
      <c r="S427" s="111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성환읍 현대한솔</t>
        </is>
      </c>
      <c r="B428" s="115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성환읍 현대한솔</t>
        </is>
      </c>
      <c r="B429" s="115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11000</v>
      </c>
      <c r="J429" s="127" t="inlineStr">
        <is>
          <t>11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성환읍 현대한솔</t>
        </is>
      </c>
      <c r="B430" s="115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11000</v>
      </c>
      <c r="J430" s="127" t="inlineStr">
        <is>
          <t>11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성환읍 현대한솔</t>
        </is>
      </c>
      <c r="B431" s="115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3</v>
      </c>
      <c r="R431" s="111" t="n">
        <v>2</v>
      </c>
      <c r="S431" s="111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성환읍 두진그린힐</t>
        </is>
      </c>
      <c r="B432" s="115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4500</v>
      </c>
      <c r="J432" s="127" t="inlineStr">
        <is>
          <t>6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1</v>
      </c>
      <c r="R432" s="111" t="n">
        <v>1</v>
      </c>
      <c r="S432" s="111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성환읍 두진그린힐</t>
        </is>
      </c>
      <c r="B433" s="115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8300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1</v>
      </c>
      <c r="S433" s="111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성환읍 두진그린힐</t>
        </is>
      </c>
      <c r="B434" s="115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2</v>
      </c>
      <c r="R434" s="111" t="n">
        <v>1</v>
      </c>
      <c r="S434" s="111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성환읍 부영2차</t>
        </is>
      </c>
      <c r="B435" s="115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성환읍 부영2차</t>
        </is>
      </c>
      <c r="B436" s="115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19000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신당동 e편한세상천안부성</t>
        </is>
      </c>
      <c r="B437" s="115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3</v>
      </c>
      <c r="R437" s="111" t="n">
        <v>2</v>
      </c>
      <c r="S437" s="111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신당동 e편한세상천안부성</t>
        </is>
      </c>
      <c r="B438" s="115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28000</v>
      </c>
      <c r="J438" s="127" t="inlineStr">
        <is>
          <t>5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2</v>
      </c>
      <c r="S438" s="111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신당동 e편한세상천안부성</t>
        </is>
      </c>
      <c r="B439" s="115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고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2</v>
      </c>
      <c r="S439" s="111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신당동 e편한세상천안부성</t>
        </is>
      </c>
      <c r="B440" s="115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34000</v>
      </c>
      <c r="J440" s="127" t="inlineStr">
        <is>
          <t>11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2</v>
      </c>
      <c r="S440" s="111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신당동 e편한세상천안부성</t>
        </is>
      </c>
      <c r="B441" s="115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30000</v>
      </c>
      <c r="J441" s="127" t="inlineStr">
        <is>
          <t>5</t>
        </is>
      </c>
      <c r="K441" s="127" t="n">
        <v>27000</v>
      </c>
      <c r="L441" s="127" t="inlineStr">
        <is>
          <t>9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3</v>
      </c>
      <c r="R441" s="111" t="n">
        <v>2</v>
      </c>
      <c r="S441" s="111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쌍용동 광명</t>
        </is>
      </c>
      <c r="B442" s="115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15500</v>
      </c>
      <c r="J442" s="127" t="inlineStr">
        <is>
          <t>6</t>
        </is>
      </c>
      <c r="K442" s="127" t="n">
        <v>16000</v>
      </c>
      <c r="L442" s="127" t="inlineStr">
        <is>
          <t>11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3</v>
      </c>
      <c r="R442" s="111" t="n">
        <v>1</v>
      </c>
      <c r="S442" s="111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쌍용동 광명</t>
        </is>
      </c>
      <c r="B443" s="115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13</t>
        </is>
      </c>
      <c r="K443" s="127" t="n">
        <v>22000</v>
      </c>
      <c r="L443" s="127" t="inlineStr">
        <is>
          <t>9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쌍용동 광명</t>
        </is>
      </c>
      <c r="B444" s="115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27000</v>
      </c>
      <c r="J444" s="127" t="inlineStr">
        <is>
          <t>7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4</v>
      </c>
      <c r="R444" s="111" t="n">
        <v>2</v>
      </c>
      <c r="S444" s="111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쌍용동 일성3차(능수)</t>
        </is>
      </c>
      <c r="B445" s="115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14</t>
        </is>
      </c>
      <c r="K445" s="127" t="n">
        <v>17000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1</v>
      </c>
      <c r="S445" s="111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쌍용동 일성3차(능수)</t>
        </is>
      </c>
      <c r="B446" s="115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20000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쌍용동 일성3차(능수)</t>
        </is>
      </c>
      <c r="B447" s="115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2</v>
      </c>
      <c r="S447" s="111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쌍용동 일성3차(능수)</t>
        </is>
      </c>
      <c r="B448" s="115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/>
      <c r="J448" s="127" t="n"/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쌍용동 일성3차(능수)</t>
        </is>
      </c>
      <c r="B449" s="115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21500</v>
      </c>
      <c r="J449" s="127" t="inlineStr">
        <is>
          <t>15</t>
        </is>
      </c>
      <c r="K449" s="127" t="n">
        <v>20000</v>
      </c>
      <c r="L449" s="127" t="inlineStr">
        <is>
          <t>10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쌍용동 파크밸리동일하이빌</t>
        </is>
      </c>
      <c r="B450" s="115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49000</v>
      </c>
      <c r="J450" s="127" t="inlineStr">
        <is>
          <t>10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쌍용동 파크밸리동일하이빌</t>
        </is>
      </c>
      <c r="B451" s="115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52000</v>
      </c>
      <c r="J451" s="127" t="inlineStr">
        <is>
          <t>12</t>
        </is>
      </c>
      <c r="K451" s="127" t="n">
        <v>39500</v>
      </c>
      <c r="L451" s="127" t="inlineStr">
        <is>
          <t>고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쌍용동 파크밸리동일하이빌</t>
        </is>
      </c>
      <c r="B452" s="115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3</v>
      </c>
      <c r="R452" s="111" t="n">
        <v>2</v>
      </c>
      <c r="S452" s="111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쌍용동 파크밸리동일하이빌</t>
        </is>
      </c>
      <c r="B453" s="115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쌍용동 파크밸리동일하이빌</t>
        </is>
      </c>
      <c r="B454" s="115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4</v>
      </c>
      <c r="R454" s="111" t="n">
        <v>2</v>
      </c>
      <c r="S454" s="111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쌍용동 파크밸리동일하이빌</t>
        </is>
      </c>
      <c r="B455" s="115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86000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쌍용동 파크밸리동일하이빌</t>
        </is>
      </c>
      <c r="B456" s="115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110000</v>
      </c>
      <c r="J456" s="127" t="inlineStr">
        <is>
          <t>7</t>
        </is>
      </c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4</v>
      </c>
      <c r="R456" s="111" t="n">
        <v>3</v>
      </c>
      <c r="S456" s="111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쌍용동 파크밸리동일하이빌</t>
        </is>
      </c>
      <c r="B457" s="115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고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4</v>
      </c>
      <c r="R457" s="111" t="n">
        <v>3</v>
      </c>
      <c r="S457" s="111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쌍용동 파크밸리동일하이빌</t>
        </is>
      </c>
      <c r="B458" s="115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8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4</v>
      </c>
      <c r="R458" s="111" t="n">
        <v>3</v>
      </c>
      <c r="S458" s="111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쌍용동 파크밸리동일하이빌</t>
        </is>
      </c>
      <c r="B459" s="115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4</v>
      </c>
      <c r="R459" s="111" t="n">
        <v>3</v>
      </c>
      <c r="S459" s="111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쌍용동 주공9단지</t>
        </is>
      </c>
      <c r="B460" s="115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10500</v>
      </c>
      <c r="J460" s="127" t="inlineStr">
        <is>
          <t>15</t>
        </is>
      </c>
      <c r="K460" s="127" t="n">
        <v>9500</v>
      </c>
      <c r="L460" s="127" t="inlineStr">
        <is>
          <t>고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2</v>
      </c>
      <c r="R460" s="111" t="n">
        <v>1</v>
      </c>
      <c r="S460" s="111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쌍용동 주공9단지</t>
        </is>
      </c>
      <c r="B461" s="115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10</t>
        </is>
      </c>
      <c r="K461" s="127" t="n">
        <v>12500</v>
      </c>
      <c r="L461" s="127" t="inlineStr">
        <is>
          <t>13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2</v>
      </c>
      <c r="R461" s="111" t="n">
        <v>1</v>
      </c>
      <c r="S461" s="111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쌍용동 주공9단지</t>
        </is>
      </c>
      <c r="B462" s="115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16000</v>
      </c>
      <c r="L462" s="127" t="inlineStr">
        <is>
          <t>14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3</v>
      </c>
      <c r="R462" s="111" t="n">
        <v>1</v>
      </c>
      <c r="S462" s="111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쌍용동 이화</t>
        </is>
      </c>
      <c r="B463" s="115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2</v>
      </c>
      <c r="R463" s="111" t="n">
        <v>1</v>
      </c>
      <c r="S463" s="111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쌍용동 이화</t>
        </is>
      </c>
      <c r="B464" s="115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3</v>
      </c>
      <c r="R464" s="111" t="n">
        <v>1</v>
      </c>
      <c r="S464" s="111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쌍용동 이화</t>
        </is>
      </c>
      <c r="B465" s="115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3</v>
      </c>
      <c r="R465" s="111" t="n">
        <v>1</v>
      </c>
      <c r="S465" s="111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쌍용동 현대아이파크홈타운6차1단지</t>
        </is>
      </c>
      <c r="B466" s="115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25000</v>
      </c>
      <c r="J466" s="127" t="inlineStr">
        <is>
          <t>15</t>
        </is>
      </c>
      <c r="K466" s="127" t="n">
        <v>21000</v>
      </c>
      <c r="L466" s="127" t="inlineStr">
        <is>
          <t>15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3</v>
      </c>
      <c r="R466" s="111" t="n">
        <v>2</v>
      </c>
      <c r="S466" s="111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쌍용동 현대아이파크홈타운6차1단지</t>
        </is>
      </c>
      <c r="B467" s="115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33000</v>
      </c>
      <c r="J467" s="127" t="inlineStr">
        <is>
          <t>11</t>
        </is>
      </c>
      <c r="K467" s="127" t="n">
        <v>29500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3</v>
      </c>
      <c r="R467" s="111" t="n">
        <v>2</v>
      </c>
      <c r="S467" s="111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쌍용동 현대아이파크홈타운6차1단지</t>
        </is>
      </c>
      <c r="B468" s="115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37500</v>
      </c>
      <c r="J468" s="127" t="inlineStr">
        <is>
          <t>14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3</v>
      </c>
      <c r="R468" s="111" t="n">
        <v>2</v>
      </c>
      <c r="S468" s="111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쌍용동 현대아이파크홈타운6차1단지</t>
        </is>
      </c>
      <c r="B469" s="115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45000</v>
      </c>
      <c r="J469" s="127" t="inlineStr">
        <is>
          <t>10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4</v>
      </c>
      <c r="R469" s="111" t="n">
        <v>2</v>
      </c>
      <c r="S469" s="111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쌍용동 쌍용모란</t>
        </is>
      </c>
      <c r="B470" s="115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27000</v>
      </c>
      <c r="J470" s="127" t="inlineStr">
        <is>
          <t>16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2</v>
      </c>
      <c r="S470" s="111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쌍용동 쌍용모란</t>
        </is>
      </c>
      <c r="B471" s="115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27000</v>
      </c>
      <c r="J471" s="127" t="inlineStr">
        <is>
          <t>중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4</v>
      </c>
      <c r="R471" s="111" t="n">
        <v>2</v>
      </c>
      <c r="S471" s="111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쌍용동 상록수현대</t>
        </is>
      </c>
      <c r="B472" s="115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18000</v>
      </c>
      <c r="J472" s="127" t="inlineStr">
        <is>
          <t>10</t>
        </is>
      </c>
      <c r="K472" s="127" t="n">
        <v>12000</v>
      </c>
      <c r="L472" s="127" t="inlineStr">
        <is>
          <t>19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1</v>
      </c>
      <c r="S472" s="111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쌍용동 상록수현대</t>
        </is>
      </c>
      <c r="B473" s="115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3</v>
      </c>
      <c r="R473" s="111" t="n">
        <v>2</v>
      </c>
      <c r="S473" s="111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쌍용동 청솔2단지</t>
        </is>
      </c>
      <c r="B474" s="115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10</t>
        </is>
      </c>
      <c r="K474" s="127" t="n">
        <v>12000</v>
      </c>
      <c r="L474" s="127" t="inlineStr">
        <is>
          <t>11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2</v>
      </c>
      <c r="R474" s="111" t="n">
        <v>1</v>
      </c>
      <c r="S474" s="111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쌍용동 월봉현대</t>
        </is>
      </c>
      <c r="B475" s="115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2</v>
      </c>
      <c r="R475" s="111" t="n">
        <v>2</v>
      </c>
      <c r="S475" s="111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쌍용동 월봉현대</t>
        </is>
      </c>
      <c r="B476" s="115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쌍용동 월봉현대</t>
        </is>
      </c>
      <c r="B477" s="115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쌍용동 월봉현대</t>
        </is>
      </c>
      <c r="B478" s="115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4</v>
      </c>
      <c r="R478" s="111" t="n">
        <v>2</v>
      </c>
      <c r="S478" s="111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쌍용동 월봉현대</t>
        </is>
      </c>
      <c r="B479" s="115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5</v>
      </c>
      <c r="R479" s="111" t="n">
        <v>2</v>
      </c>
      <c r="S479" s="111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쌍용동 천안쌍용역코오롱하늘채</t>
        </is>
      </c>
      <c r="B480" s="115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33000</v>
      </c>
      <c r="J480" s="127" t="inlineStr">
        <is>
          <t>9</t>
        </is>
      </c>
      <c r="K480" s="127" t="n">
        <v>28000</v>
      </c>
      <c r="L480" s="127" t="inlineStr">
        <is>
          <t>6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2</v>
      </c>
      <c r="S480" s="111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쌍용동 천안쌍용역코오롱하늘채</t>
        </is>
      </c>
      <c r="B481" s="115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40500</v>
      </c>
      <c r="J481" s="127" t="inlineStr">
        <is>
          <t>중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2</v>
      </c>
      <c r="S481" s="111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쌍용동 천안쌍용역코오롱하늘채</t>
        </is>
      </c>
      <c r="B482" s="115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4</v>
      </c>
      <c r="R482" s="111" t="n">
        <v>2</v>
      </c>
      <c r="S482" s="111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쌍용동 천안쌍용역코오롱하늘채</t>
        </is>
      </c>
      <c r="B483" s="115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43000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3</v>
      </c>
      <c r="S483" s="111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쌍용동 천안쌍용역코오롱하늘채</t>
        </is>
      </c>
      <c r="B484" s="115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3</v>
      </c>
      <c r="S484" s="111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쌍용동 천안쌍용역코오롱하늘채</t>
        </is>
      </c>
      <c r="B485" s="115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4</v>
      </c>
      <c r="R485" s="111" t="n">
        <v>3</v>
      </c>
      <c r="S485" s="111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쌍용동 쌍용마을뜨란채</t>
        </is>
      </c>
      <c r="B486" s="115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19000</v>
      </c>
      <c r="J486" s="127" t="inlineStr">
        <is>
          <t>12</t>
        </is>
      </c>
      <c r="K486" s="127" t="n">
        <v>17000</v>
      </c>
      <c r="L486" s="127" t="inlineStr">
        <is>
          <t>8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3</v>
      </c>
      <c r="R486" s="111" t="n">
        <v>1</v>
      </c>
      <c r="S486" s="111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쌍용동 쌍용마을뜨란채</t>
        </is>
      </c>
      <c r="B487" s="115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18000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3</v>
      </c>
      <c r="R487" s="111" t="n">
        <v>1</v>
      </c>
      <c r="S487" s="111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쌍용동 쌍용마을뜨란채</t>
        </is>
      </c>
      <c r="B488" s="115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25500</v>
      </c>
      <c r="J488" s="127" t="inlineStr">
        <is>
          <t>5</t>
        </is>
      </c>
      <c r="K488" s="127" t="n">
        <v>25000</v>
      </c>
      <c r="L488" s="127" t="inlineStr">
        <is>
          <t>중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2</v>
      </c>
      <c r="S488" s="111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쌍용동 쌍용마을뜨란채</t>
        </is>
      </c>
      <c r="B489" s="115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25500</v>
      </c>
      <c r="J489" s="127" t="inlineStr">
        <is>
          <t>5</t>
        </is>
      </c>
      <c r="K489" s="127" t="n">
        <v>25000</v>
      </c>
      <c r="L489" s="127" t="inlineStr">
        <is>
          <t>중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쌍용동 주공7단지3차</t>
        </is>
      </c>
      <c r="B490" s="115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11</t>
        </is>
      </c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쌍용동 주공7단지3차</t>
        </is>
      </c>
      <c r="B491" s="115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15000</v>
      </c>
      <c r="J491" s="127" t="inlineStr">
        <is>
          <t>15</t>
        </is>
      </c>
      <c r="K491" s="127" t="n">
        <v>14000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쌍용동 주공7단지3차</t>
        </is>
      </c>
      <c r="B492" s="115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14300</v>
      </c>
      <c r="J492" s="127" t="inlineStr">
        <is>
          <t>10</t>
        </is>
      </c>
      <c r="K492" s="127" t="n">
        <v>13000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쌍용동 해누리선경</t>
        </is>
      </c>
      <c r="B493" s="115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18500</v>
      </c>
      <c r="J493" s="127" t="inlineStr">
        <is>
          <t>6</t>
        </is>
      </c>
      <c r="K493" s="127" t="n">
        <v>16500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쌍용동 해누리선경</t>
        </is>
      </c>
      <c r="B494" s="115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22000</v>
      </c>
      <c r="J494" s="127" t="inlineStr">
        <is>
          <t>11</t>
        </is>
      </c>
      <c r="K494" s="127" t="n">
        <v>21000</v>
      </c>
      <c r="L494" s="127" t="inlineStr">
        <is>
          <t>19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3</v>
      </c>
      <c r="R494" s="111" t="n">
        <v>2</v>
      </c>
      <c r="S494" s="111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쌍용동 현대3차</t>
        </is>
      </c>
      <c r="B495" s="115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고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쌍용동 현대3차</t>
        </is>
      </c>
      <c r="B496" s="115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1</v>
      </c>
      <c r="S496" s="111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쌍용동 현대3차</t>
        </is>
      </c>
      <c r="B497" s="115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쌍용동 현대3차</t>
        </is>
      </c>
      <c r="B498" s="115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3</v>
      </c>
      <c r="R498" s="111" t="n">
        <v>2</v>
      </c>
      <c r="S498" s="111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쌍용동 현대3차</t>
        </is>
      </c>
      <c r="B499" s="115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30000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4</v>
      </c>
      <c r="R499" s="111" t="n">
        <v>2</v>
      </c>
      <c r="S499" s="111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쌍용동 주공7단지2차</t>
        </is>
      </c>
      <c r="B500" s="115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10500</v>
      </c>
      <c r="L500" s="127" t="inlineStr">
        <is>
          <t>11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2</v>
      </c>
      <c r="R500" s="111" t="n">
        <v>1</v>
      </c>
      <c r="S500" s="111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쌍용동 주공7단지2차</t>
        </is>
      </c>
      <c r="B501" s="115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12500</v>
      </c>
      <c r="J501" s="127" t="inlineStr">
        <is>
          <t>13</t>
        </is>
      </c>
      <c r="K501" s="127" t="n">
        <v>12000</v>
      </c>
      <c r="L501" s="127" t="inlineStr">
        <is>
          <t>고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2</v>
      </c>
      <c r="R501" s="111" t="n">
        <v>1</v>
      </c>
      <c r="S501" s="111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쌍용동 주공7단지2차</t>
        </is>
      </c>
      <c r="B502" s="115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쌍용동 주공7단지2차</t>
        </is>
      </c>
      <c r="B503" s="115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/>
      <c r="J503" s="127" t="n"/>
      <c r="K503" s="127" t="n">
        <v>14000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쌍용동 시영2차</t>
        </is>
      </c>
      <c r="B504" s="115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9</t>
        </is>
      </c>
      <c r="K504" s="127" t="n">
        <v>11500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2</v>
      </c>
      <c r="R504" s="111" t="n">
        <v>1</v>
      </c>
      <c r="S504" s="111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쌍용동 시영2차</t>
        </is>
      </c>
      <c r="B505" s="115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12300</v>
      </c>
      <c r="J505" s="127" t="inlineStr">
        <is>
          <t>14</t>
        </is>
      </c>
      <c r="K505" s="127" t="n">
        <v>12000</v>
      </c>
      <c r="L505" s="127" t="inlineStr">
        <is>
          <t>9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쌍용동 극동</t>
        </is>
      </c>
      <c r="B506" s="115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쌍용동 극동</t>
        </is>
      </c>
      <c r="B507" s="115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3</v>
      </c>
      <c r="R507" s="111" t="n">
        <v>2</v>
      </c>
      <c r="S507" s="111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쌍용동 현대아이파크홈타운6차2단지</t>
        </is>
      </c>
      <c r="B508" s="115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쌍용동 월봉청솔1단지</t>
        </is>
      </c>
      <c r="B509" s="115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14700</v>
      </c>
      <c r="J509" s="127" t="inlineStr">
        <is>
          <t>15</t>
        </is>
      </c>
      <c r="K509" s="127" t="n">
        <v>12500</v>
      </c>
      <c r="L509" s="127" t="inlineStr">
        <is>
          <t>고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1</v>
      </c>
      <c r="S509" s="111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쌍용동 한라동백</t>
        </is>
      </c>
      <c r="B510" s="115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17000</v>
      </c>
      <c r="J510" s="127" t="inlineStr">
        <is>
          <t>10</t>
        </is>
      </c>
      <c r="K510" s="127" t="n">
        <v>15000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1</v>
      </c>
      <c r="S510" s="111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쌍용동 쌍용자이</t>
        </is>
      </c>
      <c r="B511" s="115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34000</v>
      </c>
      <c r="J511" s="127" t="inlineStr">
        <is>
          <t>8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쌍용동 쌍용자이</t>
        </is>
      </c>
      <c r="B512" s="115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35000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2</v>
      </c>
      <c r="S512" s="111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쌍용동 쌍용자이</t>
        </is>
      </c>
      <c r="B513" s="115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49000</v>
      </c>
      <c r="J513" s="127" t="inlineStr">
        <is>
          <t>중</t>
        </is>
      </c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4</v>
      </c>
      <c r="R513" s="111" t="n">
        <v>2</v>
      </c>
      <c r="S513" s="111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쌍용동 현대1차</t>
        </is>
      </c>
      <c r="B514" s="115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3</v>
      </c>
      <c r="R514" s="111" t="n">
        <v>1</v>
      </c>
      <c r="S514" s="111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쌍용동 현대1차</t>
        </is>
      </c>
      <c r="B515" s="115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3</v>
      </c>
      <c r="R515" s="111" t="n">
        <v>2</v>
      </c>
      <c r="S515" s="111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쌍용동 월봉일성5차</t>
        </is>
      </c>
      <c r="B516" s="115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18000</v>
      </c>
      <c r="J516" s="127" t="inlineStr">
        <is>
          <t>15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쌍용동 월봉일성5차</t>
        </is>
      </c>
      <c r="B517" s="115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24500</v>
      </c>
      <c r="J517" s="127" t="inlineStr">
        <is>
          <t>5</t>
        </is>
      </c>
      <c r="K517" s="127" t="n">
        <v>23000</v>
      </c>
      <c r="L517" s="127" t="inlineStr">
        <is>
          <t>5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쌍용동 월봉일성5차</t>
        </is>
      </c>
      <c r="B518" s="115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4</v>
      </c>
      <c r="R518" s="111" t="n">
        <v>2</v>
      </c>
      <c r="S518" s="111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쌍용동 월봉일성5차</t>
        </is>
      </c>
      <c r="B519" s="115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43000</v>
      </c>
      <c r="J519" s="127" t="inlineStr">
        <is>
          <t>11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4</v>
      </c>
      <c r="R519" s="111" t="n">
        <v>2</v>
      </c>
      <c r="S519" s="111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쌍용동 라이프타운</t>
        </is>
      </c>
      <c r="B520" s="115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23500</v>
      </c>
      <c r="J520" s="127" t="inlineStr">
        <is>
          <t>13</t>
        </is>
      </c>
      <c r="K520" s="127" t="n">
        <v>23000</v>
      </c>
      <c r="L520" s="127" t="inlineStr">
        <is>
          <t>고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쌍용동 라이프타운</t>
        </is>
      </c>
      <c r="B521" s="115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22900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쌍용동 라이프타운</t>
        </is>
      </c>
      <c r="B522" s="115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4</v>
      </c>
      <c r="R522" s="111" t="n">
        <v>2</v>
      </c>
      <c r="S522" s="111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쌍용동 라이프타운</t>
        </is>
      </c>
      <c r="B523" s="115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5</v>
      </c>
      <c r="R523" s="111" t="n">
        <v>2</v>
      </c>
      <c r="S523" s="111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쌍용동 쌍용동일하이빌</t>
        </is>
      </c>
      <c r="B524" s="115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34500</v>
      </c>
      <c r="J524" s="127" t="inlineStr">
        <is>
          <t>13</t>
        </is>
      </c>
      <c r="K524" s="127" t="n">
        <v>30000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3</v>
      </c>
      <c r="R524" s="111" t="n">
        <v>2</v>
      </c>
      <c r="S524" s="111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쌍용동 쌍용동일하이빌</t>
        </is>
      </c>
      <c r="B525" s="115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2</v>
      </c>
      <c r="S525" s="111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쌍용동 쌍용동일하이빌</t>
        </is>
      </c>
      <c r="B526" s="115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쌍용동 쌍용동일하이빌</t>
        </is>
      </c>
      <c r="B527" s="115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쌍용동 쌍용동일하이빌</t>
        </is>
      </c>
      <c r="B528" s="115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4</v>
      </c>
      <c r="R528" s="111" t="n">
        <v>2</v>
      </c>
      <c r="S528" s="111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쌍용동 쌍용동일하이빌</t>
        </is>
      </c>
      <c r="B529" s="115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4</v>
      </c>
      <c r="R529" s="111" t="n">
        <v>2</v>
      </c>
      <c r="S529" s="111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쌍용동 쌍용동일하이빌</t>
        </is>
      </c>
      <c r="B530" s="115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5</v>
      </c>
      <c r="R530" s="111" t="n">
        <v>3</v>
      </c>
      <c r="S530" s="111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쌍용동 쌍용동일하이빌</t>
        </is>
      </c>
      <c r="B531" s="115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5</v>
      </c>
      <c r="R531" s="111" t="n">
        <v>2</v>
      </c>
      <c r="S531" s="111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쌍용동 월봉벽산,태영</t>
        </is>
      </c>
      <c r="B532" s="115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25000</v>
      </c>
      <c r="L532" s="127" t="inlineStr">
        <is>
          <t>9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쌍용동 월봉벽산,태영</t>
        </is>
      </c>
      <c r="B533" s="115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25000</v>
      </c>
      <c r="L533" s="127" t="inlineStr">
        <is>
          <t>9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쌍용동 월봉벽산,태영</t>
        </is>
      </c>
      <c r="B534" s="115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2</v>
      </c>
      <c r="S534" s="111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쌍용동 월봉벽산,태영</t>
        </is>
      </c>
      <c r="B535" s="115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2</v>
      </c>
      <c r="S535" s="111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쌍용동 월봉대우</t>
        </is>
      </c>
      <c r="B536" s="115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17000</v>
      </c>
      <c r="J536" s="127" t="inlineStr">
        <is>
          <t>9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쌍용동 계룡푸른마을</t>
        </is>
      </c>
      <c r="B537" s="115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18700</v>
      </c>
      <c r="J537" s="127" t="inlineStr">
        <is>
          <t>13</t>
        </is>
      </c>
      <c r="K537" s="127" t="n">
        <v>17200</v>
      </c>
      <c r="L537" s="127" t="inlineStr">
        <is>
          <t>11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쌍용동 계룡푸른마을</t>
        </is>
      </c>
      <c r="B538" s="115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쌍용동 계룡푸른마을</t>
        </is>
      </c>
      <c r="B539" s="115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22000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2</v>
      </c>
      <c r="S539" s="111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쌍용동 일성1차</t>
        </is>
      </c>
      <c r="B540" s="115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쌍용동 일성1차</t>
        </is>
      </c>
      <c r="B541" s="115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19000</v>
      </c>
      <c r="J541" s="127" t="inlineStr">
        <is>
          <t>13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2</v>
      </c>
      <c r="S541" s="111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쌍용동 일성1차</t>
        </is>
      </c>
      <c r="B542" s="115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4</v>
      </c>
      <c r="R542" s="111" t="n">
        <v>2</v>
      </c>
      <c r="S542" s="111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쌍용동 일성1차</t>
        </is>
      </c>
      <c r="B543" s="115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4</v>
      </c>
      <c r="R543" s="111" t="n">
        <v>2</v>
      </c>
      <c r="S543" s="111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쌍용동 용암동아벽산</t>
        </is>
      </c>
      <c r="B544" s="115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2</v>
      </c>
      <c r="S544" s="111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쌍용동 용암동아벽산</t>
        </is>
      </c>
      <c r="B545" s="115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2</v>
      </c>
      <c r="S545" s="111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쌍용동 용암동아벽산</t>
        </is>
      </c>
      <c r="B546" s="115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39000</v>
      </c>
      <c r="J546" s="127" t="inlineStr">
        <is>
          <t>13</t>
        </is>
      </c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4</v>
      </c>
      <c r="R546" s="111" t="n">
        <v>2</v>
      </c>
      <c r="S546" s="111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쌍용동 용암동아벽산</t>
        </is>
      </c>
      <c r="B547" s="115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중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5</v>
      </c>
      <c r="R547" s="111" t="n">
        <v>2</v>
      </c>
      <c r="S547" s="111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쌍용동 시영1차</t>
        </is>
      </c>
      <c r="B548" s="115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2</v>
      </c>
      <c r="R548" s="111" t="n">
        <v>1</v>
      </c>
      <c r="S548" s="111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쌍용동 쌍용역푸르지오</t>
        </is>
      </c>
      <c r="B549" s="115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쌍용동 쌍용역푸르지오</t>
        </is>
      </c>
      <c r="B550" s="115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3</v>
      </c>
      <c r="R550" s="111" t="n">
        <v>2</v>
      </c>
      <c r="S550" s="111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쌍용동 쌍용역푸르지오</t>
        </is>
      </c>
      <c r="B551" s="115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2</v>
      </c>
      <c r="S551" s="111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쌍용동 쌍용역푸르지오</t>
        </is>
      </c>
      <c r="B552" s="115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2</v>
      </c>
      <c r="S552" s="111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쌍용동 대우타워</t>
        </is>
      </c>
      <c r="B553" s="115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2</v>
      </c>
      <c r="R553" s="111" t="n">
        <v>1</v>
      </c>
      <c r="S553" s="111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쌍용동 대우타워</t>
        </is>
      </c>
      <c r="B554" s="115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3</v>
      </c>
      <c r="R554" s="111" t="n">
        <v>2</v>
      </c>
      <c r="S554" s="111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쌍용동 대우타워</t>
        </is>
      </c>
      <c r="B555" s="115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12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4</v>
      </c>
      <c r="R555" s="111" t="n">
        <v>2</v>
      </c>
      <c r="S555" s="111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쌍용동 대우타워</t>
        </is>
      </c>
      <c r="B556" s="115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4</v>
      </c>
      <c r="R556" s="111" t="n">
        <v>2</v>
      </c>
      <c r="S556" s="111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와촌동 신동아파밀리에</t>
        </is>
      </c>
      <c r="B557" s="115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30000</v>
      </c>
      <c r="J557" s="127" t="inlineStr">
        <is>
          <t>6</t>
        </is>
      </c>
      <c r="K557" s="127" t="n">
        <v>19000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2</v>
      </c>
      <c r="S557" s="111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와촌동 신동아파밀리에</t>
        </is>
      </c>
      <c r="B558" s="115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40000</v>
      </c>
      <c r="J558" s="127" t="inlineStr">
        <is>
          <t>6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3</v>
      </c>
      <c r="R558" s="111" t="n">
        <v>2</v>
      </c>
      <c r="S558" s="111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와촌동 천안역사동아라이크텐</t>
        </is>
      </c>
      <c r="B559" s="115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2</v>
      </c>
      <c r="S559" s="111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와촌동 천안역사동아라이크텐</t>
        </is>
      </c>
      <c r="B560" s="115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48000</v>
      </c>
      <c r="J560" s="127" t="inlineStr">
        <is>
          <t>30</t>
        </is>
      </c>
      <c r="K560" s="127" t="n">
        <v>27000</v>
      </c>
      <c r="L560" s="127" t="inlineStr">
        <is>
          <t>48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2</v>
      </c>
      <c r="S560" s="111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와촌동 천안역사동아라이크텐</t>
        </is>
      </c>
      <c r="B561" s="115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/>
      <c r="J561" s="127" t="n"/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2</v>
      </c>
      <c r="S561" s="111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와촌동 천안역사동아라이크텐</t>
        </is>
      </c>
      <c r="B562" s="115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60000</v>
      </c>
      <c r="J562" s="127" t="inlineStr">
        <is>
          <t>41</t>
        </is>
      </c>
      <c r="K562" s="127" t="n">
        <v>30000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와촌동 천안역사동아라이크텐</t>
        </is>
      </c>
      <c r="B563" s="115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38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입장면 입장연합초원</t>
        </is>
      </c>
      <c r="B564" s="115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2</v>
      </c>
      <c r="R564" s="111" t="n">
        <v>1</v>
      </c>
      <c r="S564" s="111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입장면 입장연합초원</t>
        </is>
      </c>
      <c r="B565" s="115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2</v>
      </c>
      <c r="R565" s="111" t="n">
        <v>1</v>
      </c>
      <c r="S565" s="111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입장면 한아름</t>
        </is>
      </c>
      <c r="B566" s="115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2</v>
      </c>
      <c r="R566" s="111" t="n">
        <v>1</v>
      </c>
      <c r="S566" s="111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입장면 한아름</t>
        </is>
      </c>
      <c r="B567" s="115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입장면 한성</t>
        </is>
      </c>
      <c r="B568" s="115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5500</v>
      </c>
      <c r="J568" s="127" t="inlineStr">
        <is>
          <t>중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2</v>
      </c>
      <c r="R568" s="111" t="n">
        <v>1</v>
      </c>
      <c r="S568" s="111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입장면 한성</t>
        </is>
      </c>
      <c r="B569" s="115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입장면 한성</t>
        </is>
      </c>
      <c r="B570" s="115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3</v>
      </c>
      <c r="R570" s="111" t="n">
        <v>1</v>
      </c>
      <c r="S570" s="111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입장면 연합</t>
        </is>
      </c>
      <c r="B571" s="115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2</v>
      </c>
      <c r="R571" s="111" t="n">
        <v>1</v>
      </c>
      <c r="S571" s="111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입장면 연합</t>
        </is>
      </c>
      <c r="B572" s="115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2</v>
      </c>
      <c r="R572" s="111" t="n">
        <v>1</v>
      </c>
      <c r="S572" s="111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입장면 연합</t>
        </is>
      </c>
      <c r="B573" s="115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2</v>
      </c>
      <c r="R573" s="111" t="n">
        <v>1</v>
      </c>
      <c r="S573" s="111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입장면 연합</t>
        </is>
      </c>
      <c r="B574" s="115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2</v>
      </c>
      <c r="R574" s="111" t="n">
        <v>1</v>
      </c>
      <c r="S574" s="111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입장면 연합</t>
        </is>
      </c>
      <c r="B575" s="115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직산읍 청호6차</t>
        </is>
      </c>
      <c r="B576" s="115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3</v>
      </c>
      <c r="R576" s="111" t="n">
        <v>1</v>
      </c>
      <c r="S576" s="111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직산읍 청호6차</t>
        </is>
      </c>
      <c r="B577" s="115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3</v>
      </c>
      <c r="R577" s="111" t="n">
        <v>1</v>
      </c>
      <c r="S577" s="111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직산읍 청호6차</t>
        </is>
      </c>
      <c r="B578" s="115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3</v>
      </c>
      <c r="R578" s="111" t="n">
        <v>2</v>
      </c>
      <c r="S578" s="111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직산읍 청호4차</t>
        </is>
      </c>
      <c r="B579" s="115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2</v>
      </c>
      <c r="R579" s="111" t="n">
        <v>1</v>
      </c>
      <c r="S579" s="111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직산읍 청호4차</t>
        </is>
      </c>
      <c r="B580" s="115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1</v>
      </c>
      <c r="S580" s="111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직산읍 청호4차</t>
        </is>
      </c>
      <c r="B581" s="115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1</v>
      </c>
      <c r="S581" s="111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직산읍 청호4차</t>
        </is>
      </c>
      <c r="B582" s="115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3</v>
      </c>
      <c r="R582" s="111" t="n">
        <v>1</v>
      </c>
      <c r="S582" s="111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직산읍 청호4차</t>
        </is>
      </c>
      <c r="B583" s="115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3</v>
      </c>
      <c r="R583" s="111" t="n">
        <v>2</v>
      </c>
      <c r="S583" s="111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직산읍 청림</t>
        </is>
      </c>
      <c r="B584" s="115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4500</v>
      </c>
      <c r="J584" s="127" t="inlineStr">
        <is>
          <t>고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직산읍 청림</t>
        </is>
      </c>
      <c r="B585" s="115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4500</v>
      </c>
      <c r="J585" s="127" t="inlineStr">
        <is>
          <t>고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2</v>
      </c>
      <c r="R585" s="111" t="n">
        <v>1</v>
      </c>
      <c r="S585" s="111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직산읍 부영</t>
        </is>
      </c>
      <c r="B586" s="115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8000</v>
      </c>
      <c r="J586" s="127" t="inlineStr">
        <is>
          <t>10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직산읍 부영</t>
        </is>
      </c>
      <c r="B587" s="115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9700</v>
      </c>
      <c r="J587" s="127" t="inlineStr">
        <is>
          <t>고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직산읍 더샵천안레이크마크</t>
        </is>
      </c>
      <c r="B588" s="115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2</v>
      </c>
      <c r="S588" s="111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직산읍 더샵천안레이크마크</t>
        </is>
      </c>
      <c r="B589" s="115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2</v>
      </c>
      <c r="S589" s="111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직산읍 더샵천안레이크마크</t>
        </is>
      </c>
      <c r="B590" s="115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직산읍 더샵천안레이크마크</t>
        </is>
      </c>
      <c r="B591" s="115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직산읍 더샵천안레이크마크</t>
        </is>
      </c>
      <c r="B592" s="115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2</v>
      </c>
      <c r="S592" s="111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직산읍 더샵천안레이크마크</t>
        </is>
      </c>
      <c r="B593" s="115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2</v>
      </c>
      <c r="S593" s="111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직산읍 동보</t>
        </is>
      </c>
      <c r="B594" s="115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1750</v>
      </c>
      <c r="J594" s="127" t="inlineStr">
        <is>
          <t>12</t>
        </is>
      </c>
      <c r="K594" s="127" t="n">
        <v>1600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1</v>
      </c>
      <c r="R594" s="111" t="n">
        <v>1</v>
      </c>
      <c r="S594" s="111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직산읍 한양수자인비다펠리즈</t>
        </is>
      </c>
      <c r="B595" s="115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26000</v>
      </c>
      <c r="J595" s="127" t="inlineStr">
        <is>
          <t>중</t>
        </is>
      </c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3</v>
      </c>
      <c r="R595" s="111" t="n">
        <v>2</v>
      </c>
      <c r="S595" s="111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직산읍 한양수자인비다펠리즈</t>
        </is>
      </c>
      <c r="B596" s="115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2</v>
      </c>
      <c r="S596" s="111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직산읍 한양수자인비다펠리즈</t>
        </is>
      </c>
      <c r="B597" s="115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35000</v>
      </c>
      <c r="J597" s="127" t="inlineStr">
        <is>
          <t>중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2</v>
      </c>
      <c r="S597" s="111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직산읍 직산세광엔리치빌2단지</t>
        </is>
      </c>
      <c r="B598" s="115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직산읍 직산세광엔리치빌2단지</t>
        </is>
      </c>
      <c r="B599" s="115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직산읍 직산세광엔리치빌2단지</t>
        </is>
      </c>
      <c r="B600" s="115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직산읍 직산세광엔리치빌2단지</t>
        </is>
      </c>
      <c r="B601" s="115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4</v>
      </c>
      <c r="R601" s="111" t="n">
        <v>2</v>
      </c>
      <c r="S601" s="111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직산읍 직산세광엔리치빌2단지</t>
        </is>
      </c>
      <c r="B602" s="115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2</v>
      </c>
      <c r="S602" s="111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직산읍 우성8차</t>
        </is>
      </c>
      <c r="B603" s="115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5500</v>
      </c>
      <c r="J603" s="127" t="inlineStr">
        <is>
          <t>14</t>
        </is>
      </c>
      <c r="K603" s="127" t="n">
        <v>5000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2</v>
      </c>
      <c r="R603" s="111" t="n">
        <v>1</v>
      </c>
      <c r="S603" s="111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직산읍 직산한양수자인아이림</t>
        </is>
      </c>
      <c r="B604" s="115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3</v>
      </c>
      <c r="R604" s="111" t="n">
        <v>2</v>
      </c>
      <c r="S604" s="111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직산읍 직산한양수자인아이림</t>
        </is>
      </c>
      <c r="B605" s="115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3</v>
      </c>
      <c r="R605" s="111" t="n">
        <v>2</v>
      </c>
      <c r="S605" s="111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직산읍 직산한양수자인아이림</t>
        </is>
      </c>
      <c r="B606" s="115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3</v>
      </c>
      <c r="R606" s="111" t="n">
        <v>2</v>
      </c>
      <c r="S606" s="111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직산읍 산호</t>
        </is>
      </c>
      <c r="B607" s="115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4200</v>
      </c>
      <c r="J607" s="127" t="inlineStr">
        <is>
          <t>7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직산읍 산호</t>
        </is>
      </c>
      <c r="B608" s="115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5500</v>
      </c>
      <c r="J608" s="127" t="inlineStr">
        <is>
          <t>7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3</v>
      </c>
      <c r="R608" s="111" t="n">
        <v>1</v>
      </c>
      <c r="S608" s="111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직산읍 직산월드메르디앙레이크파크</t>
        </is>
      </c>
      <c r="B609" s="115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2</v>
      </c>
      <c r="S609" s="111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직산읍 직산월드메르디앙레이크파크</t>
        </is>
      </c>
      <c r="B610" s="115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3</v>
      </c>
      <c r="R610" s="111" t="n">
        <v>2</v>
      </c>
      <c r="S610" s="111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직산읍 직산월드메르디앙레이크파크</t>
        </is>
      </c>
      <c r="B611" s="115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2</v>
      </c>
      <c r="S611" s="111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직산읍 직산월드메르디앙레이크파크</t>
        </is>
      </c>
      <c r="B612" s="115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직산읍 직산코아루</t>
        </is>
      </c>
      <c r="B613" s="115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직산읍 직산코아루</t>
        </is>
      </c>
      <c r="B614" s="115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직산읍 직산코아루</t>
        </is>
      </c>
      <c r="B615" s="115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2</v>
      </c>
      <c r="S615" s="111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직산읍 청호5차</t>
        </is>
      </c>
      <c r="B616" s="115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1</v>
      </c>
      <c r="S616" s="111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  <row r="617" ht="12" customFormat="1" customHeight="1" s="38">
      <c r="A617" s="114" t="inlineStr">
        <is>
          <t>직산읍 청호5차</t>
        </is>
      </c>
      <c r="B617" s="115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1" t="n">
        <v>3</v>
      </c>
      <c r="R617" s="111" t="n">
        <v>1</v>
      </c>
      <c r="S617" s="111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1">
        <f>S617</f>
        <v/>
      </c>
      <c r="AF617" s="111">
        <f>Q617&amp;"/"&amp;R617</f>
        <v/>
      </c>
      <c r="AH617" s="20">
        <f>IF(A617="","",A617)</f>
        <v/>
      </c>
      <c r="AI617" s="125">
        <f>IF(E617="","",E617)</f>
        <v/>
      </c>
      <c r="AJ617" s="111">
        <f>IF(AI617="","",$AJ$2)</f>
        <v/>
      </c>
      <c r="AK617" s="111" t="inlineStr">
        <is>
          <t>A</t>
        </is>
      </c>
      <c r="AL617" s="111" t="inlineStr">
        <is>
          <t>A+</t>
        </is>
      </c>
      <c r="AM617" s="111" t="inlineStr">
        <is>
          <t>B+</t>
        </is>
      </c>
      <c r="AN617" s="111">
        <f>IF(AI617="","",$AN$2)</f>
        <v/>
      </c>
      <c r="AO617" s="111">
        <f>IF(N617="","",IF(N617&gt;=$AO$1/100,"O","X"))</f>
        <v/>
      </c>
      <c r="AP617" s="111">
        <f>IF(I617="","",IF(I617&lt;=$AP$1,"O","X"))</f>
        <v/>
      </c>
      <c r="AQ617" s="111">
        <f>IF(O617="","",IF(O617&lt;=$AQ$1,"O","X"))</f>
        <v/>
      </c>
      <c r="AR617" s="111">
        <f>IF(M617="","",IF(M617&lt;=$AR$1,"O","X"))</f>
        <v/>
      </c>
      <c r="AS617" s="111" t="inlineStr">
        <is>
          <t>X</t>
        </is>
      </c>
      <c r="AT617" s="111">
        <f>IF(OR(F617="",AI617=""),"",IF(AND((F617&lt;=85),(AI617&gt;=15)),"O","X"))</f>
        <v/>
      </c>
      <c r="AU617" s="111">
        <f>IF(C617="","",IF(C617&gt;=$AU$1,"O","X"))</f>
        <v/>
      </c>
      <c r="AV617" s="111">
        <f>IF(AO617="","",IF(AND(AO617="O",AP617="O",AR617="O",AT617="O",AU617="O"),"후보","X"))</f>
        <v/>
      </c>
    </row>
    <row r="618" ht="12" customFormat="1" customHeight="1" s="38">
      <c r="A618" s="114" t="inlineStr">
        <is>
          <t>직산읍 대림</t>
        </is>
      </c>
      <c r="B618" s="115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4800</v>
      </c>
      <c r="J618" s="127" t="inlineStr">
        <is>
          <t>6</t>
        </is>
      </c>
      <c r="K618" s="127" t="n"/>
      <c r="L618" s="127" t="n"/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1" t="n">
        <v>2</v>
      </c>
      <c r="R618" s="111" t="n">
        <v>1</v>
      </c>
      <c r="S618" s="111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1">
        <f>S618</f>
        <v/>
      </c>
      <c r="AF618" s="111">
        <f>Q618&amp;"/"&amp;R618</f>
        <v/>
      </c>
      <c r="AH618" s="20">
        <f>IF(A618="","",A618)</f>
        <v/>
      </c>
      <c r="AI618" s="125">
        <f>IF(E618="","",E618)</f>
        <v/>
      </c>
      <c r="AJ618" s="111">
        <f>IF(AI618="","",$AJ$2)</f>
        <v/>
      </c>
      <c r="AK618" s="111" t="inlineStr">
        <is>
          <t>A</t>
        </is>
      </c>
      <c r="AL618" s="111" t="inlineStr">
        <is>
          <t>A+</t>
        </is>
      </c>
      <c r="AM618" s="111" t="inlineStr">
        <is>
          <t>B+</t>
        </is>
      </c>
      <c r="AN618" s="111">
        <f>IF(AI618="","",$AN$2)</f>
        <v/>
      </c>
      <c r="AO618" s="111">
        <f>IF(N618="","",IF(N618&gt;=$AO$1/100,"O","X"))</f>
        <v/>
      </c>
      <c r="AP618" s="111">
        <f>IF(I618="","",IF(I618&lt;=$AP$1,"O","X"))</f>
        <v/>
      </c>
      <c r="AQ618" s="111">
        <f>IF(O618="","",IF(O618&lt;=$AQ$1,"O","X"))</f>
        <v/>
      </c>
      <c r="AR618" s="111">
        <f>IF(M618="","",IF(M618&lt;=$AR$1,"O","X"))</f>
        <v/>
      </c>
      <c r="AS618" s="111" t="inlineStr">
        <is>
          <t>X</t>
        </is>
      </c>
      <c r="AT618" s="111">
        <f>IF(OR(F618="",AI618=""),"",IF(AND((F618&lt;=85),(AI618&gt;=15)),"O","X"))</f>
        <v/>
      </c>
      <c r="AU618" s="111">
        <f>IF(C618="","",IF(C618&gt;=$AU$1,"O","X"))</f>
        <v/>
      </c>
      <c r="AV618" s="111">
        <f>IF(AO618="","",IF(AND(AO618="O",AP618="O",AR618="O",AT618="O",AU618="O"),"후보","X"))</f>
        <v/>
      </c>
    </row>
    <row r="619" ht="12" customFormat="1" customHeight="1" s="38">
      <c r="A619" s="114" t="inlineStr">
        <is>
          <t>직산읍 직산한도</t>
        </is>
      </c>
      <c r="B619" s="115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1" t="n">
        <v>2</v>
      </c>
      <c r="R619" s="111" t="n">
        <v>1</v>
      </c>
      <c r="S619" s="111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1">
        <f>S619</f>
        <v/>
      </c>
      <c r="AF619" s="111">
        <f>Q619&amp;"/"&amp;R619</f>
        <v/>
      </c>
      <c r="AH619" s="20">
        <f>IF(A619="","",A619)</f>
        <v/>
      </c>
      <c r="AI619" s="125">
        <f>IF(E619="","",E619)</f>
        <v/>
      </c>
      <c r="AJ619" s="111">
        <f>IF(AI619="","",$AJ$2)</f>
        <v/>
      </c>
      <c r="AK619" s="111" t="inlineStr">
        <is>
          <t>A</t>
        </is>
      </c>
      <c r="AL619" s="111" t="inlineStr">
        <is>
          <t>A+</t>
        </is>
      </c>
      <c r="AM619" s="111" t="inlineStr">
        <is>
          <t>B+</t>
        </is>
      </c>
      <c r="AN619" s="111">
        <f>IF(AI619="","",$AN$2)</f>
        <v/>
      </c>
      <c r="AO619" s="111">
        <f>IF(N619="","",IF(N619&gt;=$AO$1/100,"O","X"))</f>
        <v/>
      </c>
      <c r="AP619" s="111">
        <f>IF(I619="","",IF(I619&lt;=$AP$1,"O","X"))</f>
        <v/>
      </c>
      <c r="AQ619" s="111">
        <f>IF(O619="","",IF(O619&lt;=$AQ$1,"O","X"))</f>
        <v/>
      </c>
      <c r="AR619" s="111">
        <f>IF(M619="","",IF(M619&lt;=$AR$1,"O","X"))</f>
        <v/>
      </c>
      <c r="AS619" s="111" t="inlineStr">
        <is>
          <t>X</t>
        </is>
      </c>
      <c r="AT619" s="111">
        <f>IF(OR(F619="",AI619=""),"",IF(AND((F619&lt;=85),(AI619&gt;=15)),"O","X"))</f>
        <v/>
      </c>
      <c r="AU619" s="111">
        <f>IF(C619="","",IF(C619&gt;=$AU$1,"O","X"))</f>
        <v/>
      </c>
      <c r="AV619" s="111">
        <f>IF(AO619="","",IF(AND(AO619="O",AP619="O",AR619="O",AT619="O",AU619="O"),"후보","X"))</f>
        <v/>
      </c>
    </row>
    <row r="620" ht="12" customFormat="1" customHeight="1" s="38">
      <c r="A620" s="114" t="inlineStr">
        <is>
          <t>직산읍 직산한도</t>
        </is>
      </c>
      <c r="B620" s="115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1" t="n">
        <v>2</v>
      </c>
      <c r="R620" s="111" t="n">
        <v>1</v>
      </c>
      <c r="S620" s="111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1">
        <f>S620</f>
        <v/>
      </c>
      <c r="AF620" s="111">
        <f>Q620&amp;"/"&amp;R620</f>
        <v/>
      </c>
      <c r="AH620" s="20">
        <f>IF(A620="","",A620)</f>
        <v/>
      </c>
      <c r="AI620" s="125">
        <f>IF(E620="","",E620)</f>
        <v/>
      </c>
      <c r="AJ620" s="111">
        <f>IF(AI620="","",$AJ$2)</f>
        <v/>
      </c>
      <c r="AK620" s="111" t="inlineStr">
        <is>
          <t>A</t>
        </is>
      </c>
      <c r="AL620" s="111" t="inlineStr">
        <is>
          <t>A+</t>
        </is>
      </c>
      <c r="AM620" s="111" t="inlineStr">
        <is>
          <t>B+</t>
        </is>
      </c>
      <c r="AN620" s="111">
        <f>IF(AI620="","",$AN$2)</f>
        <v/>
      </c>
      <c r="AO620" s="111">
        <f>IF(N620="","",IF(N620&gt;=$AO$1/100,"O","X"))</f>
        <v/>
      </c>
      <c r="AP620" s="111">
        <f>IF(I620="","",IF(I620&lt;=$AP$1,"O","X"))</f>
        <v/>
      </c>
      <c r="AQ620" s="111">
        <f>IF(O620="","",IF(O620&lt;=$AQ$1,"O","X"))</f>
        <v/>
      </c>
      <c r="AR620" s="111">
        <f>IF(M620="","",IF(M620&lt;=$AR$1,"O","X"))</f>
        <v/>
      </c>
      <c r="AS620" s="111" t="inlineStr">
        <is>
          <t>X</t>
        </is>
      </c>
      <c r="AT620" s="111">
        <f>IF(OR(F620="",AI620=""),"",IF(AND((F620&lt;=85),(AI620&gt;=15)),"O","X"))</f>
        <v/>
      </c>
      <c r="AU620" s="111">
        <f>IF(C620="","",IF(C620&gt;=$AU$1,"O","X"))</f>
        <v/>
      </c>
      <c r="AV620" s="111">
        <f>IF(AO620="","",IF(AND(AO620="O",AP620="O",AR620="O",AT620="O",AU620="O"),"후보","X"))</f>
        <v/>
      </c>
    </row>
    <row r="621" ht="12" customFormat="1" customHeight="1" s="38">
      <c r="A621" s="114" t="inlineStr">
        <is>
          <t>직산읍 직산한도</t>
        </is>
      </c>
      <c r="B621" s="115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1" t="n">
        <v>2</v>
      </c>
      <c r="R621" s="111" t="n">
        <v>1</v>
      </c>
      <c r="S621" s="111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1">
        <f>S621</f>
        <v/>
      </c>
      <c r="AF621" s="111">
        <f>Q621&amp;"/"&amp;R621</f>
        <v/>
      </c>
      <c r="AH621" s="20">
        <f>IF(A621="","",A621)</f>
        <v/>
      </c>
      <c r="AI621" s="125">
        <f>IF(E621="","",E621)</f>
        <v/>
      </c>
      <c r="AJ621" s="111">
        <f>IF(AI621="","",$AJ$2)</f>
        <v/>
      </c>
      <c r="AK621" s="111" t="inlineStr">
        <is>
          <t>A</t>
        </is>
      </c>
      <c r="AL621" s="111" t="inlineStr">
        <is>
          <t>A+</t>
        </is>
      </c>
      <c r="AM621" s="111" t="inlineStr">
        <is>
          <t>B+</t>
        </is>
      </c>
      <c r="AN621" s="111">
        <f>IF(AI621="","",$AN$2)</f>
        <v/>
      </c>
      <c r="AO621" s="111">
        <f>IF(N621="","",IF(N621&gt;=$AO$1/100,"O","X"))</f>
        <v/>
      </c>
      <c r="AP621" s="111">
        <f>IF(I621="","",IF(I621&lt;=$AP$1,"O","X"))</f>
        <v/>
      </c>
      <c r="AQ621" s="111">
        <f>IF(O621="","",IF(O621&lt;=$AQ$1,"O","X"))</f>
        <v/>
      </c>
      <c r="AR621" s="111">
        <f>IF(M621="","",IF(M621&lt;=$AR$1,"O","X"))</f>
        <v/>
      </c>
      <c r="AS621" s="111" t="inlineStr">
        <is>
          <t>X</t>
        </is>
      </c>
      <c r="AT621" s="111">
        <f>IF(OR(F621="",AI621=""),"",IF(AND((F621&lt;=85),(AI621&gt;=15)),"O","X"))</f>
        <v/>
      </c>
      <c r="AU621" s="111">
        <f>IF(C621="","",IF(C621&gt;=$AU$1,"O","X"))</f>
        <v/>
      </c>
      <c r="AV621" s="111">
        <f>IF(AO621="","",IF(AND(AO621="O",AP621="O",AR621="O",AT621="O",AU621="O"),"후보","X"))</f>
        <v/>
      </c>
    </row>
    <row r="622" ht="12" customFormat="1" customHeight="1" s="38">
      <c r="A622" s="114" t="inlineStr">
        <is>
          <t>직산읍 직산한도</t>
        </is>
      </c>
      <c r="B622" s="115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1" t="n">
        <v>2</v>
      </c>
      <c r="R622" s="111" t="n">
        <v>1</v>
      </c>
      <c r="S622" s="111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1">
        <f>S622</f>
        <v/>
      </c>
      <c r="AF622" s="111">
        <f>Q622&amp;"/"&amp;R622</f>
        <v/>
      </c>
      <c r="AH622" s="20">
        <f>IF(A622="","",A622)</f>
        <v/>
      </c>
      <c r="AI622" s="125">
        <f>IF(E622="","",E622)</f>
        <v/>
      </c>
      <c r="AJ622" s="111">
        <f>IF(AI622="","",$AJ$2)</f>
        <v/>
      </c>
      <c r="AK622" s="111" t="inlineStr">
        <is>
          <t>A</t>
        </is>
      </c>
      <c r="AL622" s="111" t="inlineStr">
        <is>
          <t>A+</t>
        </is>
      </c>
      <c r="AM622" s="111" t="inlineStr">
        <is>
          <t>B+</t>
        </is>
      </c>
      <c r="AN622" s="111">
        <f>IF(AI622="","",$AN$2)</f>
        <v/>
      </c>
      <c r="AO622" s="111">
        <f>IF(N622="","",IF(N622&gt;=$AO$1/100,"O","X"))</f>
        <v/>
      </c>
      <c r="AP622" s="111">
        <f>IF(I622="","",IF(I622&lt;=$AP$1,"O","X"))</f>
        <v/>
      </c>
      <c r="AQ622" s="111">
        <f>IF(O622="","",IF(O622&lt;=$AQ$1,"O","X"))</f>
        <v/>
      </c>
      <c r="AR622" s="111">
        <f>IF(M622="","",IF(M622&lt;=$AR$1,"O","X"))</f>
        <v/>
      </c>
      <c r="AS622" s="111" t="inlineStr">
        <is>
          <t>X</t>
        </is>
      </c>
      <c r="AT622" s="111">
        <f>IF(OR(F622="",AI622=""),"",IF(AND((F622&lt;=85),(AI622&gt;=15)),"O","X"))</f>
        <v/>
      </c>
      <c r="AU622" s="111">
        <f>IF(C622="","",IF(C622&gt;=$AU$1,"O","X"))</f>
        <v/>
      </c>
      <c r="AV622" s="111">
        <f>IF(AO622="","",IF(AND(AO622="O",AP622="O",AR622="O",AT622="O",AU622="O"),"후보","X"))</f>
        <v/>
      </c>
    </row>
    <row r="623" ht="12" customFormat="1" customHeight="1" s="38">
      <c r="A623" s="114" t="inlineStr">
        <is>
          <t>직산읍 직산한도</t>
        </is>
      </c>
      <c r="B623" s="115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1" t="n">
        <v>2</v>
      </c>
      <c r="R623" s="111" t="n">
        <v>1</v>
      </c>
      <c r="S623" s="111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1">
        <f>S623</f>
        <v/>
      </c>
      <c r="AF623" s="111">
        <f>Q623&amp;"/"&amp;R623</f>
        <v/>
      </c>
      <c r="AH623" s="20">
        <f>IF(A623="","",A623)</f>
        <v/>
      </c>
      <c r="AI623" s="125">
        <f>IF(E623="","",E623)</f>
        <v/>
      </c>
      <c r="AJ623" s="111">
        <f>IF(AI623="","",$AJ$2)</f>
        <v/>
      </c>
      <c r="AK623" s="111" t="inlineStr">
        <is>
          <t>A</t>
        </is>
      </c>
      <c r="AL623" s="111" t="inlineStr">
        <is>
          <t>A+</t>
        </is>
      </c>
      <c r="AM623" s="111" t="inlineStr">
        <is>
          <t>B+</t>
        </is>
      </c>
      <c r="AN623" s="111">
        <f>IF(AI623="","",$AN$2)</f>
        <v/>
      </c>
      <c r="AO623" s="111">
        <f>IF(N623="","",IF(N623&gt;=$AO$1/100,"O","X"))</f>
        <v/>
      </c>
      <c r="AP623" s="111">
        <f>IF(I623="","",IF(I623&lt;=$AP$1,"O","X"))</f>
        <v/>
      </c>
      <c r="AQ623" s="111">
        <f>IF(O623="","",IF(O623&lt;=$AQ$1,"O","X"))</f>
        <v/>
      </c>
      <c r="AR623" s="111">
        <f>IF(M623="","",IF(M623&lt;=$AR$1,"O","X"))</f>
        <v/>
      </c>
      <c r="AS623" s="111" t="inlineStr">
        <is>
          <t>X</t>
        </is>
      </c>
      <c r="AT623" s="111">
        <f>IF(OR(F623="",AI623=""),"",IF(AND((F623&lt;=85),(AI623&gt;=15)),"O","X"))</f>
        <v/>
      </c>
      <c r="AU623" s="111">
        <f>IF(C623="","",IF(C623&gt;=$AU$1,"O","X"))</f>
        <v/>
      </c>
      <c r="AV623" s="111">
        <f>IF(AO623="","",IF(AND(AO623="O",AP623="O",AR623="O",AT623="O",AU623="O"),"후보","X"))</f>
        <v/>
      </c>
    </row>
    <row r="624" ht="12" customFormat="1" customHeight="1" s="38">
      <c r="A624" s="114" t="inlineStr">
        <is>
          <t>직산읍 직산한도</t>
        </is>
      </c>
      <c r="B624" s="115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1" t="n">
        <v>3</v>
      </c>
      <c r="R624" s="111" t="n">
        <v>1</v>
      </c>
      <c r="S624" s="111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1">
        <f>S624</f>
        <v/>
      </c>
      <c r="AF624" s="111">
        <f>Q624&amp;"/"&amp;R624</f>
        <v/>
      </c>
      <c r="AH624" s="20">
        <f>IF(A624="","",A624)</f>
        <v/>
      </c>
      <c r="AI624" s="125">
        <f>IF(E624="","",E624)</f>
        <v/>
      </c>
      <c r="AJ624" s="111">
        <f>IF(AI624="","",$AJ$2)</f>
        <v/>
      </c>
      <c r="AK624" s="111" t="inlineStr">
        <is>
          <t>A</t>
        </is>
      </c>
      <c r="AL624" s="111" t="inlineStr">
        <is>
          <t>A+</t>
        </is>
      </c>
      <c r="AM624" s="111" t="inlineStr">
        <is>
          <t>B+</t>
        </is>
      </c>
      <c r="AN624" s="111">
        <f>IF(AI624="","",$AN$2)</f>
        <v/>
      </c>
      <c r="AO624" s="111">
        <f>IF(N624="","",IF(N624&gt;=$AO$1/100,"O","X"))</f>
        <v/>
      </c>
      <c r="AP624" s="111">
        <f>IF(I624="","",IF(I624&lt;=$AP$1,"O","X"))</f>
        <v/>
      </c>
      <c r="AQ624" s="111">
        <f>IF(O624="","",IF(O624&lt;=$AQ$1,"O","X"))</f>
        <v/>
      </c>
      <c r="AR624" s="111">
        <f>IF(M624="","",IF(M624&lt;=$AR$1,"O","X"))</f>
        <v/>
      </c>
      <c r="AS624" s="111" t="inlineStr">
        <is>
          <t>X</t>
        </is>
      </c>
      <c r="AT624" s="111">
        <f>IF(OR(F624="",AI624=""),"",IF(AND((F624&lt;=85),(AI624&gt;=15)),"O","X"))</f>
        <v/>
      </c>
      <c r="AU624" s="111">
        <f>IF(C624="","",IF(C624&gt;=$AU$1,"O","X"))</f>
        <v/>
      </c>
      <c r="AV624" s="111">
        <f>IF(AO624="","",IF(AND(AO624="O",AP624="O",AR624="O",AT624="O",AU624="O"),"후보","X"))</f>
        <v/>
      </c>
    </row>
    <row r="625" ht="12" customFormat="1" customHeight="1" s="38">
      <c r="A625" s="114" t="inlineStr">
        <is>
          <t>직산읍 청솔</t>
        </is>
      </c>
      <c r="B625" s="115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1" t="n">
        <v>3</v>
      </c>
      <c r="R625" s="111" t="n">
        <v>1</v>
      </c>
      <c r="S625" s="111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1">
        <f>S625</f>
        <v/>
      </c>
      <c r="AF625" s="111">
        <f>Q625&amp;"/"&amp;R625</f>
        <v/>
      </c>
      <c r="AH625" s="20">
        <f>IF(A625="","",A625)</f>
        <v/>
      </c>
      <c r="AI625" s="125">
        <f>IF(E625="","",E625)</f>
        <v/>
      </c>
      <c r="AJ625" s="111">
        <f>IF(AI625="","",$AJ$2)</f>
        <v/>
      </c>
      <c r="AK625" s="111" t="inlineStr">
        <is>
          <t>A</t>
        </is>
      </c>
      <c r="AL625" s="111" t="inlineStr">
        <is>
          <t>A+</t>
        </is>
      </c>
      <c r="AM625" s="111" t="inlineStr">
        <is>
          <t>B+</t>
        </is>
      </c>
      <c r="AN625" s="111">
        <f>IF(AI625="","",$AN$2)</f>
        <v/>
      </c>
      <c r="AO625" s="111">
        <f>IF(N625="","",IF(N625&gt;=$AO$1/100,"O","X"))</f>
        <v/>
      </c>
      <c r="AP625" s="111">
        <f>IF(I625="","",IF(I625&lt;=$AP$1,"O","X"))</f>
        <v/>
      </c>
      <c r="AQ625" s="111">
        <f>IF(O625="","",IF(O625&lt;=$AQ$1,"O","X"))</f>
        <v/>
      </c>
      <c r="AR625" s="111">
        <f>IF(M625="","",IF(M625&lt;=$AR$1,"O","X"))</f>
        <v/>
      </c>
      <c r="AS625" s="111" t="inlineStr">
        <is>
          <t>X</t>
        </is>
      </c>
      <c r="AT625" s="111">
        <f>IF(OR(F625="",AI625=""),"",IF(AND((F625&lt;=85),(AI625&gt;=15)),"O","X"))</f>
        <v/>
      </c>
      <c r="AU625" s="111">
        <f>IF(C625="","",IF(C625&gt;=$AU$1,"O","X"))</f>
        <v/>
      </c>
      <c r="AV625" s="111">
        <f>IF(AO625="","",IF(AND(AO625="O",AP625="O",AR625="O",AT625="O",AU625="O"),"후보","X"))</f>
        <v/>
      </c>
    </row>
    <row r="626" ht="12" customFormat="1" customHeight="1" s="38">
      <c r="A626" s="114" t="inlineStr">
        <is>
          <t>직산읍 청솔</t>
        </is>
      </c>
      <c r="B626" s="115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1" t="n">
        <v>3</v>
      </c>
      <c r="R626" s="111" t="n">
        <v>1</v>
      </c>
      <c r="S626" s="111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1">
        <f>S626</f>
        <v/>
      </c>
      <c r="AF626" s="111">
        <f>Q626&amp;"/"&amp;R626</f>
        <v/>
      </c>
      <c r="AH626" s="20">
        <f>IF(A626="","",A626)</f>
        <v/>
      </c>
      <c r="AI626" s="125">
        <f>IF(E626="","",E626)</f>
        <v/>
      </c>
      <c r="AJ626" s="111">
        <f>IF(AI626="","",$AJ$2)</f>
        <v/>
      </c>
      <c r="AK626" s="111" t="inlineStr">
        <is>
          <t>A</t>
        </is>
      </c>
      <c r="AL626" s="111" t="inlineStr">
        <is>
          <t>A+</t>
        </is>
      </c>
      <c r="AM626" s="111" t="inlineStr">
        <is>
          <t>B+</t>
        </is>
      </c>
      <c r="AN626" s="111">
        <f>IF(AI626="","",$AN$2)</f>
        <v/>
      </c>
      <c r="AO626" s="111">
        <f>IF(N626="","",IF(N626&gt;=$AO$1/100,"O","X"))</f>
        <v/>
      </c>
      <c r="AP626" s="111">
        <f>IF(I626="","",IF(I626&lt;=$AP$1,"O","X"))</f>
        <v/>
      </c>
      <c r="AQ626" s="111">
        <f>IF(O626="","",IF(O626&lt;=$AQ$1,"O","X"))</f>
        <v/>
      </c>
      <c r="AR626" s="111">
        <f>IF(M626="","",IF(M626&lt;=$AR$1,"O","X"))</f>
        <v/>
      </c>
      <c r="AS626" s="111" t="inlineStr">
        <is>
          <t>X</t>
        </is>
      </c>
      <c r="AT626" s="111">
        <f>IF(OR(F626="",AI626=""),"",IF(AND((F626&lt;=85),(AI626&gt;=15)),"O","X"))</f>
        <v/>
      </c>
      <c r="AU626" s="111">
        <f>IF(C626="","",IF(C626&gt;=$AU$1,"O","X"))</f>
        <v/>
      </c>
      <c r="AV626" s="111">
        <f>IF(AO626="","",IF(AND(AO626="O",AP626="O",AR626="O",AT626="O",AU626="O"),"후보","X"))</f>
        <v/>
      </c>
    </row>
    <row r="627" ht="24" customFormat="1" customHeight="1" s="38">
      <c r="A627" s="114" t="inlineStr">
        <is>
          <t>차암동 천안스마일시티효성해링턴플레이스</t>
        </is>
      </c>
      <c r="B627" s="115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24000</v>
      </c>
      <c r="J627" s="127" t="inlineStr">
        <is>
          <t>10</t>
        </is>
      </c>
      <c r="K627" s="127" t="n">
        <v>23000</v>
      </c>
      <c r="L627" s="127" t="inlineStr">
        <is>
          <t>20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1" t="n">
        <v>3</v>
      </c>
      <c r="R627" s="111" t="n">
        <v>2</v>
      </c>
      <c r="S627" s="111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1">
        <f>S627</f>
        <v/>
      </c>
      <c r="AF627" s="111">
        <f>Q627&amp;"/"&amp;R627</f>
        <v/>
      </c>
      <c r="AH627" s="20">
        <f>IF(A627="","",A627)</f>
        <v/>
      </c>
      <c r="AI627" s="125">
        <f>IF(E627="","",E627)</f>
        <v/>
      </c>
      <c r="AJ627" s="111">
        <f>IF(AI627="","",$AJ$2)</f>
        <v/>
      </c>
      <c r="AK627" s="111" t="inlineStr">
        <is>
          <t>A</t>
        </is>
      </c>
      <c r="AL627" s="111" t="inlineStr">
        <is>
          <t>A+</t>
        </is>
      </c>
      <c r="AM627" s="111" t="inlineStr">
        <is>
          <t>B+</t>
        </is>
      </c>
      <c r="AN627" s="111">
        <f>IF(AI627="","",$AN$2)</f>
        <v/>
      </c>
      <c r="AO627" s="111">
        <f>IF(N627="","",IF(N627&gt;=$AO$1/100,"O","X"))</f>
        <v/>
      </c>
      <c r="AP627" s="111">
        <f>IF(I627="","",IF(I627&lt;=$AP$1,"O","X"))</f>
        <v/>
      </c>
      <c r="AQ627" s="111">
        <f>IF(O627="","",IF(O627&lt;=$AQ$1,"O","X"))</f>
        <v/>
      </c>
      <c r="AR627" s="111">
        <f>IF(M627="","",IF(M627&lt;=$AR$1,"O","X"))</f>
        <v/>
      </c>
      <c r="AS627" s="111" t="inlineStr">
        <is>
          <t>X</t>
        </is>
      </c>
      <c r="AT627" s="111">
        <f>IF(OR(F627="",AI627=""),"",IF(AND((F627&lt;=85),(AI627&gt;=15)),"O","X"))</f>
        <v/>
      </c>
      <c r="AU627" s="111">
        <f>IF(C627="","",IF(C627&gt;=$AU$1,"O","X"))</f>
        <v/>
      </c>
      <c r="AV627" s="111">
        <f>IF(AO627="","",IF(AND(AO627="O",AP627="O",AR627="O",AT627="O",AU627="O"),"후보","X"))</f>
        <v/>
      </c>
    </row>
    <row r="628" ht="24" customFormat="1" customHeight="1" s="38">
      <c r="A628" s="114" t="inlineStr">
        <is>
          <t>차암동 천안스마일시티효성해링턴플레이스</t>
        </is>
      </c>
      <c r="B628" s="115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28000</v>
      </c>
      <c r="J628" s="127" t="inlineStr">
        <is>
          <t>고</t>
        </is>
      </c>
      <c r="K628" s="127" t="n">
        <v>26000</v>
      </c>
      <c r="L628" s="127" t="inlineStr">
        <is>
          <t>7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1" t="n">
        <v>3</v>
      </c>
      <c r="R628" s="111" t="n">
        <v>2</v>
      </c>
      <c r="S628" s="111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1">
        <f>S628</f>
        <v/>
      </c>
      <c r="AF628" s="111">
        <f>Q628&amp;"/"&amp;R628</f>
        <v/>
      </c>
      <c r="AH628" s="20">
        <f>IF(A628="","",A628)</f>
        <v/>
      </c>
      <c r="AI628" s="125">
        <f>IF(E628="","",E628)</f>
        <v/>
      </c>
      <c r="AJ628" s="111">
        <f>IF(AI628="","",$AJ$2)</f>
        <v/>
      </c>
      <c r="AK628" s="111" t="inlineStr">
        <is>
          <t>A</t>
        </is>
      </c>
      <c r="AL628" s="111" t="inlineStr">
        <is>
          <t>A+</t>
        </is>
      </c>
      <c r="AM628" s="111" t="inlineStr">
        <is>
          <t>B+</t>
        </is>
      </c>
      <c r="AN628" s="111">
        <f>IF(AI628="","",$AN$2)</f>
        <v/>
      </c>
      <c r="AO628" s="111">
        <f>IF(N628="","",IF(N628&gt;=$AO$1/100,"O","X"))</f>
        <v/>
      </c>
      <c r="AP628" s="111">
        <f>IF(I628="","",IF(I628&lt;=$AP$1,"O","X"))</f>
        <v/>
      </c>
      <c r="AQ628" s="111">
        <f>IF(O628="","",IF(O628&lt;=$AQ$1,"O","X"))</f>
        <v/>
      </c>
      <c r="AR628" s="111">
        <f>IF(M628="","",IF(M628&lt;=$AR$1,"O","X"))</f>
        <v/>
      </c>
      <c r="AS628" s="111" t="inlineStr">
        <is>
          <t>X</t>
        </is>
      </c>
      <c r="AT628" s="111">
        <f>IF(OR(F628="",AI628=""),"",IF(AND((F628&lt;=85),(AI628&gt;=15)),"O","X"))</f>
        <v/>
      </c>
      <c r="AU628" s="111">
        <f>IF(C628="","",IF(C628&gt;=$AU$1,"O","X"))</f>
        <v/>
      </c>
      <c r="AV628" s="111">
        <f>IF(AO628="","",IF(AND(AO628="O",AP628="O",AR628="O",AT628="O",AU628="O"),"후보","X"))</f>
        <v/>
      </c>
    </row>
    <row r="629" ht="24" customFormat="1" customHeight="1" s="38">
      <c r="A629" s="114" t="inlineStr">
        <is>
          <t>차암동 천안스마일시티효성해링턴플레이스</t>
        </is>
      </c>
      <c r="B629" s="115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36000</v>
      </c>
      <c r="J629" s="127" t="inlineStr">
        <is>
          <t>10</t>
        </is>
      </c>
      <c r="K629" s="127" t="n"/>
      <c r="L629" s="127" t="n"/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1" t="n">
        <v>3</v>
      </c>
      <c r="R629" s="111" t="n">
        <v>2</v>
      </c>
      <c r="S629" s="111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1">
        <f>S629</f>
        <v/>
      </c>
      <c r="AF629" s="111">
        <f>Q629&amp;"/"&amp;R629</f>
        <v/>
      </c>
      <c r="AH629" s="20">
        <f>IF(A629="","",A629)</f>
        <v/>
      </c>
      <c r="AI629" s="125">
        <f>IF(E629="","",E629)</f>
        <v/>
      </c>
      <c r="AJ629" s="111">
        <f>IF(AI629="","",$AJ$2)</f>
        <v/>
      </c>
      <c r="AK629" s="111" t="inlineStr">
        <is>
          <t>A</t>
        </is>
      </c>
      <c r="AL629" s="111" t="inlineStr">
        <is>
          <t>A+</t>
        </is>
      </c>
      <c r="AM629" s="111" t="inlineStr">
        <is>
          <t>B+</t>
        </is>
      </c>
      <c r="AN629" s="111">
        <f>IF(AI629="","",$AN$2)</f>
        <v/>
      </c>
      <c r="AO629" s="111">
        <f>IF(N629="","",IF(N629&gt;=$AO$1/100,"O","X"))</f>
        <v/>
      </c>
      <c r="AP629" s="111">
        <f>IF(I629="","",IF(I629&lt;=$AP$1,"O","X"))</f>
        <v/>
      </c>
      <c r="AQ629" s="111">
        <f>IF(O629="","",IF(O629&lt;=$AQ$1,"O","X"))</f>
        <v/>
      </c>
      <c r="AR629" s="111">
        <f>IF(M629="","",IF(M629&lt;=$AR$1,"O","X"))</f>
        <v/>
      </c>
      <c r="AS629" s="111" t="inlineStr">
        <is>
          <t>X</t>
        </is>
      </c>
      <c r="AT629" s="111">
        <f>IF(OR(F629="",AI629=""),"",IF(AND((F629&lt;=85),(AI629&gt;=15)),"O","X"))</f>
        <v/>
      </c>
      <c r="AU629" s="111">
        <f>IF(C629="","",IF(C629&gt;=$AU$1,"O","X"))</f>
        <v/>
      </c>
      <c r="AV629" s="111">
        <f>IF(AO629="","",IF(AND(AO629="O",AP629="O",AR629="O",AT629="O",AU629="O"),"후보","X"))</f>
        <v/>
      </c>
    </row>
    <row r="630" ht="24" customFormat="1" customHeight="1" s="38">
      <c r="A630" s="114" t="inlineStr">
        <is>
          <t>차암동 천안스마일시티효성해링턴플레이스</t>
        </is>
      </c>
      <c r="B630" s="115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42000</v>
      </c>
      <c r="J630" s="127" t="inlineStr">
        <is>
          <t>6</t>
        </is>
      </c>
      <c r="K630" s="127" t="n">
        <v>36000</v>
      </c>
      <c r="L630" s="127" t="inlineStr">
        <is>
          <t>15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1" t="n">
        <v>3</v>
      </c>
      <c r="R630" s="111" t="n">
        <v>2</v>
      </c>
      <c r="S630" s="111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1">
        <f>S630</f>
        <v/>
      </c>
      <c r="AF630" s="111">
        <f>Q630&amp;"/"&amp;R630</f>
        <v/>
      </c>
      <c r="AH630" s="20">
        <f>IF(A630="","",A630)</f>
        <v/>
      </c>
      <c r="AI630" s="125">
        <f>IF(E630="","",E630)</f>
        <v/>
      </c>
      <c r="AJ630" s="111">
        <f>IF(AI630="","",$AJ$2)</f>
        <v/>
      </c>
      <c r="AK630" s="111" t="inlineStr">
        <is>
          <t>A</t>
        </is>
      </c>
      <c r="AL630" s="111" t="inlineStr">
        <is>
          <t>A+</t>
        </is>
      </c>
      <c r="AM630" s="111" t="inlineStr">
        <is>
          <t>B+</t>
        </is>
      </c>
      <c r="AN630" s="111">
        <f>IF(AI630="","",$AN$2)</f>
        <v/>
      </c>
      <c r="AO630" s="111">
        <f>IF(N630="","",IF(N630&gt;=$AO$1/100,"O","X"))</f>
        <v/>
      </c>
      <c r="AP630" s="111">
        <f>IF(I630="","",IF(I630&lt;=$AP$1,"O","X"))</f>
        <v/>
      </c>
      <c r="AQ630" s="111">
        <f>IF(O630="","",IF(O630&lt;=$AQ$1,"O","X"))</f>
        <v/>
      </c>
      <c r="AR630" s="111">
        <f>IF(M630="","",IF(M630&lt;=$AR$1,"O","X"))</f>
        <v/>
      </c>
      <c r="AS630" s="111" t="inlineStr">
        <is>
          <t>X</t>
        </is>
      </c>
      <c r="AT630" s="111">
        <f>IF(OR(F630="",AI630=""),"",IF(AND((F630&lt;=85),(AI630&gt;=15)),"O","X"))</f>
        <v/>
      </c>
      <c r="AU630" s="111">
        <f>IF(C630="","",IF(C630&gt;=$AU$1,"O","X"))</f>
        <v/>
      </c>
      <c r="AV630" s="111">
        <f>IF(AO630="","",IF(AND(AO630="O",AP630="O",AR630="O",AT630="O",AU630="O"),"후보","X"))</f>
        <v/>
      </c>
    </row>
    <row r="631" ht="12" customFormat="1" customHeight="1" s="38">
      <c r="A631" s="114" t="inlineStr">
        <is>
          <t>차암동 천안한화꿈에그린스마일시티</t>
        </is>
      </c>
      <c r="B631" s="115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27500</v>
      </c>
      <c r="J631" s="127" t="inlineStr">
        <is>
          <t>6</t>
        </is>
      </c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1" t="n">
        <v>3</v>
      </c>
      <c r="R631" s="111" t="n">
        <v>2</v>
      </c>
      <c r="S631" s="111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1">
        <f>S631</f>
        <v/>
      </c>
      <c r="AF631" s="111">
        <f>Q631&amp;"/"&amp;R631</f>
        <v/>
      </c>
      <c r="AH631" s="20">
        <f>IF(A631="","",A631)</f>
        <v/>
      </c>
      <c r="AI631" s="125">
        <f>IF(E631="","",E631)</f>
        <v/>
      </c>
      <c r="AJ631" s="111">
        <f>IF(AI631="","",$AJ$2)</f>
        <v/>
      </c>
      <c r="AK631" s="111" t="inlineStr">
        <is>
          <t>A</t>
        </is>
      </c>
      <c r="AL631" s="111" t="inlineStr">
        <is>
          <t>A+</t>
        </is>
      </c>
      <c r="AM631" s="111" t="inlineStr">
        <is>
          <t>B+</t>
        </is>
      </c>
      <c r="AN631" s="111">
        <f>IF(AI631="","",$AN$2)</f>
        <v/>
      </c>
      <c r="AO631" s="111">
        <f>IF(N631="","",IF(N631&gt;=$AO$1/100,"O","X"))</f>
        <v/>
      </c>
      <c r="AP631" s="111">
        <f>IF(I631="","",IF(I631&lt;=$AP$1,"O","X"))</f>
        <v/>
      </c>
      <c r="AQ631" s="111">
        <f>IF(O631="","",IF(O631&lt;=$AQ$1,"O","X"))</f>
        <v/>
      </c>
      <c r="AR631" s="111">
        <f>IF(M631="","",IF(M631&lt;=$AR$1,"O","X"))</f>
        <v/>
      </c>
      <c r="AS631" s="111" t="inlineStr">
        <is>
          <t>X</t>
        </is>
      </c>
      <c r="AT631" s="111">
        <f>IF(OR(F631="",AI631=""),"",IF(AND((F631&lt;=85),(AI631&gt;=15)),"O","X"))</f>
        <v/>
      </c>
      <c r="AU631" s="111">
        <f>IF(C631="","",IF(C631&gt;=$AU$1,"O","X"))</f>
        <v/>
      </c>
      <c r="AV631" s="111">
        <f>IF(AO631="","",IF(AND(AO631="O",AP631="O",AR631="O",AT631="O",AU631="O"),"후보","X"))</f>
        <v/>
      </c>
    </row>
    <row r="632" ht="12" customFormat="1" customHeight="1" s="38">
      <c r="A632" s="114" t="inlineStr">
        <is>
          <t>차암동 천안한화꿈에그린스마일시티</t>
        </is>
      </c>
      <c r="B632" s="115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29900</v>
      </c>
      <c r="J632" s="127" t="inlineStr">
        <is>
          <t>9</t>
        </is>
      </c>
      <c r="K632" s="127" t="n">
        <v>33000</v>
      </c>
      <c r="L632" s="127" t="inlineStr">
        <is>
          <t>20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1" t="n">
        <v>3</v>
      </c>
      <c r="R632" s="111" t="n">
        <v>2</v>
      </c>
      <c r="S632" s="111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1">
        <f>S632</f>
        <v/>
      </c>
      <c r="AF632" s="111">
        <f>Q632&amp;"/"&amp;R632</f>
        <v/>
      </c>
      <c r="AH632" s="20">
        <f>IF(A632="","",A632)</f>
        <v/>
      </c>
      <c r="AI632" s="125">
        <f>IF(E632="","",E632)</f>
        <v/>
      </c>
      <c r="AJ632" s="111">
        <f>IF(AI632="","",$AJ$2)</f>
        <v/>
      </c>
      <c r="AK632" s="111" t="inlineStr">
        <is>
          <t>A</t>
        </is>
      </c>
      <c r="AL632" s="111" t="inlineStr">
        <is>
          <t>A+</t>
        </is>
      </c>
      <c r="AM632" s="111" t="inlineStr">
        <is>
          <t>B+</t>
        </is>
      </c>
      <c r="AN632" s="111">
        <f>IF(AI632="","",$AN$2)</f>
        <v/>
      </c>
      <c r="AO632" s="111">
        <f>IF(N632="","",IF(N632&gt;=$AO$1/100,"O","X"))</f>
        <v/>
      </c>
      <c r="AP632" s="111">
        <f>IF(I632="","",IF(I632&lt;=$AP$1,"O","X"))</f>
        <v/>
      </c>
      <c r="AQ632" s="111">
        <f>IF(O632="","",IF(O632&lt;=$AQ$1,"O","X"))</f>
        <v/>
      </c>
      <c r="AR632" s="111">
        <f>IF(M632="","",IF(M632&lt;=$AR$1,"O","X"))</f>
        <v/>
      </c>
      <c r="AS632" s="111" t="inlineStr">
        <is>
          <t>X</t>
        </is>
      </c>
      <c r="AT632" s="111">
        <f>IF(OR(F632="",AI632=""),"",IF(AND((F632&lt;=85),(AI632&gt;=15)),"O","X"))</f>
        <v/>
      </c>
      <c r="AU632" s="111">
        <f>IF(C632="","",IF(C632&gt;=$AU$1,"O","X"))</f>
        <v/>
      </c>
      <c r="AV632" s="111">
        <f>IF(AO632="","",IF(AND(AO632="O",AP632="O",AR632="O",AT632="O",AU632="O"),"후보","X"))</f>
        <v/>
      </c>
    </row>
    <row r="633" ht="12" customFormat="1" customHeight="1" s="38">
      <c r="A633" s="114" t="inlineStr">
        <is>
          <t>차암동 천안한화꿈에그린스마일시티</t>
        </is>
      </c>
      <c r="B633" s="115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10</t>
        </is>
      </c>
      <c r="K633" s="127" t="n">
        <v>29000</v>
      </c>
      <c r="L633" s="127" t="inlineStr">
        <is>
          <t>7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1" t="n">
        <v>3</v>
      </c>
      <c r="R633" s="111" t="n">
        <v>2</v>
      </c>
      <c r="S633" s="111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1">
        <f>S633</f>
        <v/>
      </c>
      <c r="AF633" s="111">
        <f>Q633&amp;"/"&amp;R633</f>
        <v/>
      </c>
      <c r="AH633" s="20">
        <f>IF(A633="","",A633)</f>
        <v/>
      </c>
      <c r="AI633" s="125">
        <f>IF(E633="","",E633)</f>
        <v/>
      </c>
      <c r="AJ633" s="111">
        <f>IF(AI633="","",$AJ$2)</f>
        <v/>
      </c>
      <c r="AK633" s="111" t="inlineStr">
        <is>
          <t>A</t>
        </is>
      </c>
      <c r="AL633" s="111" t="inlineStr">
        <is>
          <t>A+</t>
        </is>
      </c>
      <c r="AM633" s="111" t="inlineStr">
        <is>
          <t>B+</t>
        </is>
      </c>
      <c r="AN633" s="111">
        <f>IF(AI633="","",$AN$2)</f>
        <v/>
      </c>
      <c r="AO633" s="111">
        <f>IF(N633="","",IF(N633&gt;=$AO$1/100,"O","X"))</f>
        <v/>
      </c>
      <c r="AP633" s="111">
        <f>IF(I633="","",IF(I633&lt;=$AP$1,"O","X"))</f>
        <v/>
      </c>
      <c r="AQ633" s="111">
        <f>IF(O633="","",IF(O633&lt;=$AQ$1,"O","X"))</f>
        <v/>
      </c>
      <c r="AR633" s="111">
        <f>IF(M633="","",IF(M633&lt;=$AR$1,"O","X"))</f>
        <v/>
      </c>
      <c r="AS633" s="111" t="inlineStr">
        <is>
          <t>X</t>
        </is>
      </c>
      <c r="AT633" s="111">
        <f>IF(OR(F633="",AI633=""),"",IF(AND((F633&lt;=85),(AI633&gt;=15)),"O","X"))</f>
        <v/>
      </c>
      <c r="AU633" s="111">
        <f>IF(C633="","",IF(C633&gt;=$AU$1,"O","X"))</f>
        <v/>
      </c>
      <c r="AV633" s="111">
        <f>IF(AO633="","",IF(AND(AO633="O",AP633="O",AR633="O",AT633="O",AU633="O"),"후보","X"))</f>
        <v/>
      </c>
    </row>
    <row r="634" ht="12" customFormat="1" customHeight="1" s="38">
      <c r="A634" s="114" t="inlineStr">
        <is>
          <t>차암동 e편한세상스마일시티2차</t>
        </is>
      </c>
      <c r="B634" s="115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25500</v>
      </c>
      <c r="J634" s="127" t="inlineStr">
        <is>
          <t>13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1" t="n">
        <v>3</v>
      </c>
      <c r="R634" s="111" t="n">
        <v>2</v>
      </c>
      <c r="S634" s="111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1">
        <f>S634</f>
        <v/>
      </c>
      <c r="AF634" s="111">
        <f>Q634&amp;"/"&amp;R634</f>
        <v/>
      </c>
      <c r="AH634" s="20">
        <f>IF(A634="","",A634)</f>
        <v/>
      </c>
      <c r="AI634" s="125">
        <f>IF(E634="","",E634)</f>
        <v/>
      </c>
      <c r="AJ634" s="111">
        <f>IF(AI634="","",$AJ$2)</f>
        <v/>
      </c>
      <c r="AK634" s="111" t="inlineStr">
        <is>
          <t>A</t>
        </is>
      </c>
      <c r="AL634" s="111" t="inlineStr">
        <is>
          <t>A+</t>
        </is>
      </c>
      <c r="AM634" s="111" t="inlineStr">
        <is>
          <t>B+</t>
        </is>
      </c>
      <c r="AN634" s="111">
        <f>IF(AI634="","",$AN$2)</f>
        <v/>
      </c>
      <c r="AO634" s="111">
        <f>IF(N634="","",IF(N634&gt;=$AO$1/100,"O","X"))</f>
        <v/>
      </c>
      <c r="AP634" s="111">
        <f>IF(I634="","",IF(I634&lt;=$AP$1,"O","X"))</f>
        <v/>
      </c>
      <c r="AQ634" s="111">
        <f>IF(O634="","",IF(O634&lt;=$AQ$1,"O","X"))</f>
        <v/>
      </c>
      <c r="AR634" s="111">
        <f>IF(M634="","",IF(M634&lt;=$AR$1,"O","X"))</f>
        <v/>
      </c>
      <c r="AS634" s="111" t="inlineStr">
        <is>
          <t>X</t>
        </is>
      </c>
      <c r="AT634" s="111">
        <f>IF(OR(F634="",AI634=""),"",IF(AND((F634&lt;=85),(AI634&gt;=15)),"O","X"))</f>
        <v/>
      </c>
      <c r="AU634" s="111">
        <f>IF(C634="","",IF(C634&gt;=$AU$1,"O","X"))</f>
        <v/>
      </c>
      <c r="AV634" s="111">
        <f>IF(AO634="","",IF(AND(AO634="O",AP634="O",AR634="O",AT634="O",AU634="O"),"후보","X"))</f>
        <v/>
      </c>
    </row>
    <row r="635" ht="12" customFormat="1" customHeight="1" s="38">
      <c r="A635" s="114" t="inlineStr">
        <is>
          <t>차암동 e편한세상스마일시티2차</t>
        </is>
      </c>
      <c r="B635" s="115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30000</v>
      </c>
      <c r="J635" s="127" t="inlineStr">
        <is>
          <t>22</t>
        </is>
      </c>
      <c r="K635" s="127" t="n">
        <v>26500</v>
      </c>
      <c r="L635" s="127" t="inlineStr">
        <is>
          <t>19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1" t="n">
        <v>3</v>
      </c>
      <c r="R635" s="111" t="n">
        <v>2</v>
      </c>
      <c r="S635" s="111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1">
        <f>S635</f>
        <v/>
      </c>
      <c r="AF635" s="111">
        <f>Q635&amp;"/"&amp;R635</f>
        <v/>
      </c>
      <c r="AH635" s="20">
        <f>IF(A635="","",A635)</f>
        <v/>
      </c>
      <c r="AI635" s="125">
        <f>IF(E635="","",E635)</f>
        <v/>
      </c>
      <c r="AJ635" s="111">
        <f>IF(AI635="","",$AJ$2)</f>
        <v/>
      </c>
      <c r="AK635" s="111" t="inlineStr">
        <is>
          <t>A</t>
        </is>
      </c>
      <c r="AL635" s="111" t="inlineStr">
        <is>
          <t>A+</t>
        </is>
      </c>
      <c r="AM635" s="111" t="inlineStr">
        <is>
          <t>B+</t>
        </is>
      </c>
      <c r="AN635" s="111">
        <f>IF(AI635="","",$AN$2)</f>
        <v/>
      </c>
      <c r="AO635" s="111">
        <f>IF(N635="","",IF(N635&gt;=$AO$1/100,"O","X"))</f>
        <v/>
      </c>
      <c r="AP635" s="111">
        <f>IF(I635="","",IF(I635&lt;=$AP$1,"O","X"))</f>
        <v/>
      </c>
      <c r="AQ635" s="111">
        <f>IF(O635="","",IF(O635&lt;=$AQ$1,"O","X"))</f>
        <v/>
      </c>
      <c r="AR635" s="111">
        <f>IF(M635="","",IF(M635&lt;=$AR$1,"O","X"))</f>
        <v/>
      </c>
      <c r="AS635" s="111" t="inlineStr">
        <is>
          <t>X</t>
        </is>
      </c>
      <c r="AT635" s="111">
        <f>IF(OR(F635="",AI635=""),"",IF(AND((F635&lt;=85),(AI635&gt;=15)),"O","X"))</f>
        <v/>
      </c>
      <c r="AU635" s="111">
        <f>IF(C635="","",IF(C635&gt;=$AU$1,"O","X"))</f>
        <v/>
      </c>
      <c r="AV635" s="111">
        <f>IF(AO635="","",IF(AND(AO635="O",AP635="O",AR635="O",AT635="O",AU635="O"),"후보","X"))</f>
        <v/>
      </c>
    </row>
    <row r="636" ht="12" customFormat="1" customHeight="1" s="38">
      <c r="A636" s="114" t="inlineStr">
        <is>
          <t>차암동 e편한세상스마일시티2차</t>
        </is>
      </c>
      <c r="B636" s="115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34000</v>
      </c>
      <c r="J636" s="127" t="inlineStr">
        <is>
          <t>15</t>
        </is>
      </c>
      <c r="K636" s="127" t="n">
        <v>28500</v>
      </c>
      <c r="L636" s="127" t="inlineStr">
        <is>
          <t>17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1" t="n">
        <v>3</v>
      </c>
      <c r="R636" s="111" t="n">
        <v>2</v>
      </c>
      <c r="S636" s="111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1">
        <f>S636</f>
        <v/>
      </c>
      <c r="AF636" s="111">
        <f>Q636&amp;"/"&amp;R636</f>
        <v/>
      </c>
      <c r="AH636" s="20">
        <f>IF(A636="","",A636)</f>
        <v/>
      </c>
      <c r="AI636" s="125">
        <f>IF(E636="","",E636)</f>
        <v/>
      </c>
      <c r="AJ636" s="111">
        <f>IF(AI636="","",$AJ$2)</f>
        <v/>
      </c>
      <c r="AK636" s="111" t="inlineStr">
        <is>
          <t>A</t>
        </is>
      </c>
      <c r="AL636" s="111" t="inlineStr">
        <is>
          <t>A+</t>
        </is>
      </c>
      <c r="AM636" s="111" t="inlineStr">
        <is>
          <t>B+</t>
        </is>
      </c>
      <c r="AN636" s="111">
        <f>IF(AI636="","",$AN$2)</f>
        <v/>
      </c>
      <c r="AO636" s="111">
        <f>IF(N636="","",IF(N636&gt;=$AO$1/100,"O","X"))</f>
        <v/>
      </c>
      <c r="AP636" s="111">
        <f>IF(I636="","",IF(I636&lt;=$AP$1,"O","X"))</f>
        <v/>
      </c>
      <c r="AQ636" s="111">
        <f>IF(O636="","",IF(O636&lt;=$AQ$1,"O","X"))</f>
        <v/>
      </c>
      <c r="AR636" s="111">
        <f>IF(M636="","",IF(M636&lt;=$AR$1,"O","X"))</f>
        <v/>
      </c>
      <c r="AS636" s="111" t="inlineStr">
        <is>
          <t>X</t>
        </is>
      </c>
      <c r="AT636" s="111">
        <f>IF(OR(F636="",AI636=""),"",IF(AND((F636&lt;=85),(AI636&gt;=15)),"O","X"))</f>
        <v/>
      </c>
      <c r="AU636" s="111">
        <f>IF(C636="","",IF(C636&gt;=$AU$1,"O","X"))</f>
        <v/>
      </c>
      <c r="AV636" s="111">
        <f>IF(AO636="","",IF(AND(AO636="O",AP636="O",AR636="O",AT636="O",AU636="O"),"후보","X"))</f>
        <v/>
      </c>
    </row>
    <row r="637" ht="12" customFormat="1" customHeight="1" s="38">
      <c r="A637" s="114" t="inlineStr">
        <is>
          <t>차암동 e편한세상스마일시티2차</t>
        </is>
      </c>
      <c r="B637" s="115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40500</v>
      </c>
      <c r="J637" s="127" t="inlineStr">
        <is>
          <t>5</t>
        </is>
      </c>
      <c r="K637" s="127" t="n">
        <v>30000</v>
      </c>
      <c r="L637" s="127" t="inlineStr">
        <is>
          <t>5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1" t="n">
        <v>3</v>
      </c>
      <c r="R637" s="111" t="n">
        <v>2</v>
      </c>
      <c r="S637" s="111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1">
        <f>S637</f>
        <v/>
      </c>
      <c r="AF637" s="111">
        <f>Q637&amp;"/"&amp;R637</f>
        <v/>
      </c>
      <c r="AH637" s="20">
        <f>IF(A637="","",A637)</f>
        <v/>
      </c>
      <c r="AI637" s="125">
        <f>IF(E637="","",E637)</f>
        <v/>
      </c>
      <c r="AJ637" s="111">
        <f>IF(AI637="","",$AJ$2)</f>
        <v/>
      </c>
      <c r="AK637" s="111" t="inlineStr">
        <is>
          <t>A</t>
        </is>
      </c>
      <c r="AL637" s="111" t="inlineStr">
        <is>
          <t>A+</t>
        </is>
      </c>
      <c r="AM637" s="111" t="inlineStr">
        <is>
          <t>B+</t>
        </is>
      </c>
      <c r="AN637" s="111">
        <f>IF(AI637="","",$AN$2)</f>
        <v/>
      </c>
      <c r="AO637" s="111">
        <f>IF(N637="","",IF(N637&gt;=$AO$1/100,"O","X"))</f>
        <v/>
      </c>
      <c r="AP637" s="111">
        <f>IF(I637="","",IF(I637&lt;=$AP$1,"O","X"))</f>
        <v/>
      </c>
      <c r="AQ637" s="111">
        <f>IF(O637="","",IF(O637&lt;=$AQ$1,"O","X"))</f>
        <v/>
      </c>
      <c r="AR637" s="111">
        <f>IF(M637="","",IF(M637&lt;=$AR$1,"O","X"))</f>
        <v/>
      </c>
      <c r="AS637" s="111" t="inlineStr">
        <is>
          <t>X</t>
        </is>
      </c>
      <c r="AT637" s="111">
        <f>IF(OR(F637="",AI637=""),"",IF(AND((F637&lt;=85),(AI637&gt;=15)),"O","X"))</f>
        <v/>
      </c>
      <c r="AU637" s="111">
        <f>IF(C637="","",IF(C637&gt;=$AU$1,"O","X"))</f>
        <v/>
      </c>
      <c r="AV637" s="111">
        <f>IF(AO637="","",IF(AND(AO637="O",AP637="O",AR637="O",AT637="O",AU637="O"),"후보","X"))</f>
        <v/>
      </c>
    </row>
    <row r="638" ht="12" customFormat="1" customHeight="1" s="38">
      <c r="A638" s="114" t="inlineStr">
        <is>
          <t>차암동 e편한세상스마일시티</t>
        </is>
      </c>
      <c r="B638" s="115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24000</v>
      </c>
      <c r="J638" s="127" t="inlineStr">
        <is>
          <t>19</t>
        </is>
      </c>
      <c r="K638" s="127" t="n">
        <v>23000</v>
      </c>
      <c r="L638" s="127" t="inlineStr">
        <is>
          <t>20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1" t="n">
        <v>3</v>
      </c>
      <c r="R638" s="111" t="n">
        <v>2</v>
      </c>
      <c r="S638" s="111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1">
        <f>S638</f>
        <v/>
      </c>
      <c r="AF638" s="111">
        <f>Q638&amp;"/"&amp;R638</f>
        <v/>
      </c>
      <c r="AH638" s="20">
        <f>IF(A638="","",A638)</f>
        <v/>
      </c>
      <c r="AI638" s="125">
        <f>IF(E638="","",E638)</f>
        <v/>
      </c>
      <c r="AJ638" s="111">
        <f>IF(AI638="","",$AJ$2)</f>
        <v/>
      </c>
      <c r="AK638" s="111" t="inlineStr">
        <is>
          <t>A</t>
        </is>
      </c>
      <c r="AL638" s="111" t="inlineStr">
        <is>
          <t>A+</t>
        </is>
      </c>
      <c r="AM638" s="111" t="inlineStr">
        <is>
          <t>B+</t>
        </is>
      </c>
      <c r="AN638" s="111">
        <f>IF(AI638="","",$AN$2)</f>
        <v/>
      </c>
      <c r="AO638" s="111">
        <f>IF(N638="","",IF(N638&gt;=$AO$1/100,"O","X"))</f>
        <v/>
      </c>
      <c r="AP638" s="111">
        <f>IF(I638="","",IF(I638&lt;=$AP$1,"O","X"))</f>
        <v/>
      </c>
      <c r="AQ638" s="111">
        <f>IF(O638="","",IF(O638&lt;=$AQ$1,"O","X"))</f>
        <v/>
      </c>
      <c r="AR638" s="111">
        <f>IF(M638="","",IF(M638&lt;=$AR$1,"O","X"))</f>
        <v/>
      </c>
      <c r="AS638" s="111" t="inlineStr">
        <is>
          <t>X</t>
        </is>
      </c>
      <c r="AT638" s="111">
        <f>IF(OR(F638="",AI638=""),"",IF(AND((F638&lt;=85),(AI638&gt;=15)),"O","X"))</f>
        <v/>
      </c>
      <c r="AU638" s="111">
        <f>IF(C638="","",IF(C638&gt;=$AU$1,"O","X"))</f>
        <v/>
      </c>
      <c r="AV638" s="111">
        <f>IF(AO638="","",IF(AND(AO638="O",AP638="O",AR638="O",AT638="O",AU638="O"),"후보","X"))</f>
        <v/>
      </c>
    </row>
    <row r="639" ht="12" customFormat="1" customHeight="1" s="38">
      <c r="A639" s="114" t="inlineStr">
        <is>
          <t>차암동 e편한세상스마일시티</t>
        </is>
      </c>
      <c r="B639" s="115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28000</v>
      </c>
      <c r="J639" s="127" t="inlineStr">
        <is>
          <t>10</t>
        </is>
      </c>
      <c r="K639" s="127" t="n">
        <v>24000</v>
      </c>
      <c r="L639" s="127" t="inlineStr">
        <is>
          <t>22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1" t="n">
        <v>3</v>
      </c>
      <c r="R639" s="111" t="n">
        <v>2</v>
      </c>
      <c r="S639" s="111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1">
        <f>S639</f>
        <v/>
      </c>
      <c r="AF639" s="111">
        <f>Q639&amp;"/"&amp;R639</f>
        <v/>
      </c>
      <c r="AH639" s="20">
        <f>IF(A639="","",A639)</f>
        <v/>
      </c>
      <c r="AI639" s="125">
        <f>IF(E639="","",E639)</f>
        <v/>
      </c>
      <c r="AJ639" s="111">
        <f>IF(AI639="","",$AJ$2)</f>
        <v/>
      </c>
      <c r="AK639" s="111" t="inlineStr">
        <is>
          <t>A</t>
        </is>
      </c>
      <c r="AL639" s="111" t="inlineStr">
        <is>
          <t>A+</t>
        </is>
      </c>
      <c r="AM639" s="111" t="inlineStr">
        <is>
          <t>B+</t>
        </is>
      </c>
      <c r="AN639" s="111">
        <f>IF(AI639="","",$AN$2)</f>
        <v/>
      </c>
      <c r="AO639" s="111">
        <f>IF(N639="","",IF(N639&gt;=$AO$1/100,"O","X"))</f>
        <v/>
      </c>
      <c r="AP639" s="111">
        <f>IF(I639="","",IF(I639&lt;=$AP$1,"O","X"))</f>
        <v/>
      </c>
      <c r="AQ639" s="111">
        <f>IF(O639="","",IF(O639&lt;=$AQ$1,"O","X"))</f>
        <v/>
      </c>
      <c r="AR639" s="111">
        <f>IF(M639="","",IF(M639&lt;=$AR$1,"O","X"))</f>
        <v/>
      </c>
      <c r="AS639" s="111" t="inlineStr">
        <is>
          <t>X</t>
        </is>
      </c>
      <c r="AT639" s="111">
        <f>IF(OR(F639="",AI639=""),"",IF(AND((F639&lt;=85),(AI639&gt;=15)),"O","X"))</f>
        <v/>
      </c>
      <c r="AU639" s="111">
        <f>IF(C639="","",IF(C639&gt;=$AU$1,"O","X"))</f>
        <v/>
      </c>
      <c r="AV639" s="111">
        <f>IF(AO639="","",IF(AND(AO639="O",AP639="O",AR639="O",AT639="O",AU639="O"),"후보","X"))</f>
        <v/>
      </c>
    </row>
    <row r="640" ht="12" customFormat="1" customHeight="1" s="38">
      <c r="A640" s="114" t="inlineStr">
        <is>
          <t>차암동 e편한세상스마일시티</t>
        </is>
      </c>
      <c r="B640" s="115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33000</v>
      </c>
      <c r="J640" s="127" t="inlineStr">
        <is>
          <t>23</t>
        </is>
      </c>
      <c r="K640" s="127" t="n">
        <v>30000</v>
      </c>
      <c r="L640" s="127" t="inlineStr">
        <is>
          <t>24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1" t="n">
        <v>3</v>
      </c>
      <c r="R640" s="111" t="n">
        <v>2</v>
      </c>
      <c r="S640" s="111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1">
        <f>S640</f>
        <v/>
      </c>
      <c r="AF640" s="111">
        <f>Q640&amp;"/"&amp;R640</f>
        <v/>
      </c>
      <c r="AH640" s="20">
        <f>IF(A640="","",A640)</f>
        <v/>
      </c>
      <c r="AI640" s="125">
        <f>IF(E640="","",E640)</f>
        <v/>
      </c>
      <c r="AJ640" s="111">
        <f>IF(AI640="","",$AJ$2)</f>
        <v/>
      </c>
      <c r="AK640" s="111" t="inlineStr">
        <is>
          <t>A</t>
        </is>
      </c>
      <c r="AL640" s="111" t="inlineStr">
        <is>
          <t>A+</t>
        </is>
      </c>
      <c r="AM640" s="111" t="inlineStr">
        <is>
          <t>B+</t>
        </is>
      </c>
      <c r="AN640" s="111">
        <f>IF(AI640="","",$AN$2)</f>
        <v/>
      </c>
      <c r="AO640" s="111">
        <f>IF(N640="","",IF(N640&gt;=$AO$1/100,"O","X"))</f>
        <v/>
      </c>
      <c r="AP640" s="111">
        <f>IF(I640="","",IF(I640&lt;=$AP$1,"O","X"))</f>
        <v/>
      </c>
      <c r="AQ640" s="111">
        <f>IF(O640="","",IF(O640&lt;=$AQ$1,"O","X"))</f>
        <v/>
      </c>
      <c r="AR640" s="111">
        <f>IF(M640="","",IF(M640&lt;=$AR$1,"O","X"))</f>
        <v/>
      </c>
      <c r="AS640" s="111" t="inlineStr">
        <is>
          <t>X</t>
        </is>
      </c>
      <c r="AT640" s="111">
        <f>IF(OR(F640="",AI640=""),"",IF(AND((F640&lt;=85),(AI640&gt;=15)),"O","X"))</f>
        <v/>
      </c>
      <c r="AU640" s="111">
        <f>IF(C640="","",IF(C640&gt;=$AU$1,"O","X"))</f>
        <v/>
      </c>
      <c r="AV640" s="111">
        <f>IF(AO640="","",IF(AND(AO640="O",AP640="O",AR640="O",AT640="O",AU640="O"),"후보","X"))</f>
        <v/>
      </c>
    </row>
    <row r="641" ht="12" customFormat="1" customHeight="1" s="38">
      <c r="A641" s="114" t="inlineStr">
        <is>
          <t>차암동 e편한세상스마일시티</t>
        </is>
      </c>
      <c r="B641" s="115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35000</v>
      </c>
      <c r="J641" s="127" t="inlineStr">
        <is>
          <t>5</t>
        </is>
      </c>
      <c r="K641" s="127" t="n"/>
      <c r="L641" s="127" t="n"/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1" t="n">
        <v>3</v>
      </c>
      <c r="R641" s="111" t="n">
        <v>2</v>
      </c>
      <c r="S641" s="111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1">
        <f>S641</f>
        <v/>
      </c>
      <c r="AF641" s="111">
        <f>Q641&amp;"/"&amp;R641</f>
        <v/>
      </c>
      <c r="AH641" s="20">
        <f>IF(A641="","",A641)</f>
        <v/>
      </c>
      <c r="AI641" s="125">
        <f>IF(E641="","",E641)</f>
        <v/>
      </c>
      <c r="AJ641" s="111">
        <f>IF(AI641="","",$AJ$2)</f>
        <v/>
      </c>
      <c r="AK641" s="111" t="inlineStr">
        <is>
          <t>A</t>
        </is>
      </c>
      <c r="AL641" s="111" t="inlineStr">
        <is>
          <t>A+</t>
        </is>
      </c>
      <c r="AM641" s="111" t="inlineStr">
        <is>
          <t>B+</t>
        </is>
      </c>
      <c r="AN641" s="111">
        <f>IF(AI641="","",$AN$2)</f>
        <v/>
      </c>
      <c r="AO641" s="111">
        <f>IF(N641="","",IF(N641&gt;=$AO$1/100,"O","X"))</f>
        <v/>
      </c>
      <c r="AP641" s="111">
        <f>IF(I641="","",IF(I641&lt;=$AP$1,"O","X"))</f>
        <v/>
      </c>
      <c r="AQ641" s="111">
        <f>IF(O641="","",IF(O641&lt;=$AQ$1,"O","X"))</f>
        <v/>
      </c>
      <c r="AR641" s="111">
        <f>IF(M641="","",IF(M641&lt;=$AR$1,"O","X"))</f>
        <v/>
      </c>
      <c r="AS641" s="111" t="inlineStr">
        <is>
          <t>X</t>
        </is>
      </c>
      <c r="AT641" s="111">
        <f>IF(OR(F641="",AI641=""),"",IF(AND((F641&lt;=85),(AI641&gt;=15)),"O","X"))</f>
        <v/>
      </c>
      <c r="AU641" s="111">
        <f>IF(C641="","",IF(C641&gt;=$AU$1,"O","X"))</f>
        <v/>
      </c>
      <c r="AV641" s="111">
        <f>IF(AO641="","",IF(AND(AO641="O",AP641="O",AR641="O",AT641="O",AU641="O"),"후보","X"))</f>
        <v/>
      </c>
    </row>
    <row r="642" ht="12" customFormat="1" customHeight="1" s="38">
      <c r="A642" s="114" t="inlineStr">
        <is>
          <t>차암동 e편한세상스마일시티</t>
        </is>
      </c>
      <c r="B642" s="115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37500</v>
      </c>
      <c r="J642" s="127" t="inlineStr">
        <is>
          <t>고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1" t="n">
        <v>3</v>
      </c>
      <c r="R642" s="111" t="n">
        <v>2</v>
      </c>
      <c r="S642" s="111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1">
        <f>S642</f>
        <v/>
      </c>
      <c r="AF642" s="111">
        <f>Q642&amp;"/"&amp;R642</f>
        <v/>
      </c>
      <c r="AH642" s="20">
        <f>IF(A642="","",A642)</f>
        <v/>
      </c>
      <c r="AI642" s="125">
        <f>IF(E642="","",E642)</f>
        <v/>
      </c>
      <c r="AJ642" s="111">
        <f>IF(AI642="","",$AJ$2)</f>
        <v/>
      </c>
      <c r="AK642" s="111" t="inlineStr">
        <is>
          <t>A</t>
        </is>
      </c>
      <c r="AL642" s="111" t="inlineStr">
        <is>
          <t>A+</t>
        </is>
      </c>
      <c r="AM642" s="111" t="inlineStr">
        <is>
          <t>B+</t>
        </is>
      </c>
      <c r="AN642" s="111">
        <f>IF(AI642="","",$AN$2)</f>
        <v/>
      </c>
      <c r="AO642" s="111">
        <f>IF(N642="","",IF(N642&gt;=$AO$1/100,"O","X"))</f>
        <v/>
      </c>
      <c r="AP642" s="111">
        <f>IF(I642="","",IF(I642&lt;=$AP$1,"O","X"))</f>
        <v/>
      </c>
      <c r="AQ642" s="111">
        <f>IF(O642="","",IF(O642&lt;=$AQ$1,"O","X"))</f>
        <v/>
      </c>
      <c r="AR642" s="111">
        <f>IF(M642="","",IF(M642&lt;=$AR$1,"O","X"))</f>
        <v/>
      </c>
      <c r="AS642" s="111" t="inlineStr">
        <is>
          <t>X</t>
        </is>
      </c>
      <c r="AT642" s="111">
        <f>IF(OR(F642="",AI642=""),"",IF(AND((F642&lt;=85),(AI642&gt;=15)),"O","X"))</f>
        <v/>
      </c>
      <c r="AU642" s="111">
        <f>IF(C642="","",IF(C642&gt;=$AU$1,"O","X"))</f>
        <v/>
      </c>
      <c r="AV642" s="111">
        <f>IF(AO642="","",IF(AND(AO642="O",AP642="O",AR642="O",AT642="O",AU642="O"),"후보","X"))</f>
        <v/>
      </c>
    </row>
    <row r="643" ht="12" customFormat="1" customHeight="1" s="38">
      <c r="A643" s="114" t="inlineStr">
        <is>
          <t>차암동 e편한세상스마일시티</t>
        </is>
      </c>
      <c r="B643" s="115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33000</v>
      </c>
      <c r="L643" s="127" t="inlineStr">
        <is>
          <t>20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1" t="n">
        <v>3</v>
      </c>
      <c r="R643" s="111" t="n">
        <v>2</v>
      </c>
      <c r="S643" s="111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1">
        <f>S643</f>
        <v/>
      </c>
      <c r="AF643" s="111">
        <f>Q643&amp;"/"&amp;R643</f>
        <v/>
      </c>
      <c r="AH643" s="20">
        <f>IF(A643="","",A643)</f>
        <v/>
      </c>
      <c r="AI643" s="125">
        <f>IF(E643="","",E643)</f>
        <v/>
      </c>
      <c r="AJ643" s="111">
        <f>IF(AI643="","",$AJ$2)</f>
        <v/>
      </c>
      <c r="AK643" s="111" t="inlineStr">
        <is>
          <t>A</t>
        </is>
      </c>
      <c r="AL643" s="111" t="inlineStr">
        <is>
          <t>A+</t>
        </is>
      </c>
      <c r="AM643" s="111" t="inlineStr">
        <is>
          <t>B+</t>
        </is>
      </c>
      <c r="AN643" s="111">
        <f>IF(AI643="","",$AN$2)</f>
        <v/>
      </c>
      <c r="AO643" s="111">
        <f>IF(N643="","",IF(N643&gt;=$AO$1/100,"O","X"))</f>
        <v/>
      </c>
      <c r="AP643" s="111">
        <f>IF(I643="","",IF(I643&lt;=$AP$1,"O","X"))</f>
        <v/>
      </c>
      <c r="AQ643" s="111">
        <f>IF(O643="","",IF(O643&lt;=$AQ$1,"O","X"))</f>
        <v/>
      </c>
      <c r="AR643" s="111">
        <f>IF(M643="","",IF(M643&lt;=$AR$1,"O","X"))</f>
        <v/>
      </c>
      <c r="AS643" s="111" t="inlineStr">
        <is>
          <t>X</t>
        </is>
      </c>
      <c r="AT643" s="111">
        <f>IF(OR(F643="",AI643=""),"",IF(AND((F643&lt;=85),(AI643&gt;=15)),"O","X"))</f>
        <v/>
      </c>
      <c r="AU643" s="111">
        <f>IF(C643="","",IF(C643&gt;=$AU$1,"O","X"))</f>
        <v/>
      </c>
      <c r="AV643" s="111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4240" operator="lessThan" dxfId="2">
      <formula>15.1</formula>
    </cfRule>
    <cfRule type="cellIs" priority="94241" operator="lessThan" dxfId="24484">
      <formula>18.1</formula>
    </cfRule>
    <cfRule type="cellIs" priority="94242" operator="lessThan" dxfId="24483">
      <formula>21.1</formula>
    </cfRule>
    <cfRule type="cellIs" priority="94243" operator="lessThan" dxfId="24482">
      <formula>24.1</formula>
    </cfRule>
    <cfRule type="cellIs" priority="94244" operator="lessThan" dxfId="1">
      <formula>30</formula>
    </cfRule>
    <cfRule type="cellIs" priority="94245" operator="lessThan" dxfId="24480">
      <formula>34.1</formula>
    </cfRule>
  </conditionalFormatting>
  <conditionalFormatting sqref="Z3">
    <cfRule type="colorScale" priority="9423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4237" operator="greaterThan" dxfId="17">
      <formula>0.9</formula>
    </cfRule>
    <cfRule type="cellIs" priority="94238" operator="greaterThan" dxfId="16">
      <formula>0.85</formula>
    </cfRule>
  </conditionalFormatting>
  <conditionalFormatting sqref="N2">
    <cfRule type="cellIs" priority="94235" operator="greaterThan" dxfId="17">
      <formula>0.9</formula>
    </cfRule>
    <cfRule type="cellIs" priority="9423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27" sqref="H27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불당동 천안불당지웰더샵</t>
        </is>
      </c>
      <c r="B4" s="115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152000</v>
      </c>
      <c r="J4" s="127" t="inlineStr">
        <is>
          <t>중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n">
        <v>147</v>
      </c>
      <c r="U4" s="9" t="n"/>
    </row>
    <row r="5" ht="12" customFormat="1" customHeight="1" s="38">
      <c r="A5" s="114" t="inlineStr">
        <is>
          <t>불당동 천안불당린스트라우스2단지</t>
        </is>
      </c>
      <c r="B5" s="115" t="inlineStr">
        <is>
          <t>17.07.</t>
        </is>
      </c>
      <c r="C5" s="123" t="n">
        <v>557</v>
      </c>
      <c r="D5" s="124" t="n">
        <v>160.2</v>
      </c>
      <c r="E5" s="125" t="n">
        <v>48</v>
      </c>
      <c r="F5" s="124" t="n">
        <v>122.7</v>
      </c>
      <c r="G5" s="17" t="n">
        <v>37</v>
      </c>
      <c r="H5" s="126" t="n">
        <v>32</v>
      </c>
      <c r="I5" s="127" t="n">
        <v>150000</v>
      </c>
      <c r="J5" s="127" t="inlineStr">
        <is>
          <t>10</t>
        </is>
      </c>
      <c r="K5" s="127" t="n">
        <v>85000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4</v>
      </c>
      <c r="R5" s="111" t="n">
        <v>2</v>
      </c>
      <c r="S5" s="111" t="inlineStr">
        <is>
          <t>계</t>
        </is>
      </c>
      <c r="T5" s="5" t="inlineStr">
        <is>
          <t>160B</t>
        </is>
      </c>
      <c r="U5" s="9" t="n"/>
    </row>
    <row r="6" ht="12" customFormat="1" customHeight="1" s="38">
      <c r="A6" s="114" t="inlineStr">
        <is>
          <t>불당동 천안불당린스트라우스1단지</t>
        </is>
      </c>
      <c r="B6" s="115" t="inlineStr">
        <is>
          <t>17.07.</t>
        </is>
      </c>
      <c r="C6" s="123" t="n">
        <v>595</v>
      </c>
      <c r="D6" s="124" t="n">
        <v>149.8</v>
      </c>
      <c r="E6" s="125" t="n">
        <v>45</v>
      </c>
      <c r="F6" s="124" t="n">
        <v>113.3</v>
      </c>
      <c r="G6" s="17" t="n">
        <v>34</v>
      </c>
      <c r="H6" s="126" t="n">
        <v>90</v>
      </c>
      <c r="I6" s="127" t="n">
        <v>130000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149</v>
      </c>
      <c r="U6" s="9" t="n"/>
    </row>
    <row r="7" ht="12" customFormat="1" customHeight="1" s="38">
      <c r="A7" s="114" t="inlineStr">
        <is>
          <t>쌍용동 파크밸리동일하이빌</t>
        </is>
      </c>
      <c r="B7" s="115" t="inlineStr">
        <is>
          <t>11.02.</t>
        </is>
      </c>
      <c r="C7" s="123" t="n">
        <v>964</v>
      </c>
      <c r="D7" s="124" t="n">
        <v>264.4</v>
      </c>
      <c r="E7" s="125" t="n">
        <v>80</v>
      </c>
      <c r="F7" s="124" t="n">
        <v>236.3</v>
      </c>
      <c r="G7" s="17" t="n">
        <v>71</v>
      </c>
      <c r="H7" s="126" t="n">
        <v>108</v>
      </c>
      <c r="I7" s="127" t="n">
        <v>120000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264</v>
      </c>
      <c r="U7" s="9" t="n"/>
    </row>
    <row r="8" ht="12" customFormat="1" customHeight="1" s="38">
      <c r="A8" s="114" t="inlineStr">
        <is>
          <t>불당동 천안불당린스트라우스2단지</t>
        </is>
      </c>
      <c r="B8" s="115" t="inlineStr">
        <is>
          <t>17.07.</t>
        </is>
      </c>
      <c r="C8" s="123" t="n">
        <v>557</v>
      </c>
      <c r="D8" s="124" t="n">
        <v>149.8</v>
      </c>
      <c r="E8" s="125" t="n">
        <v>45</v>
      </c>
      <c r="F8" s="124" t="n">
        <v>113.3</v>
      </c>
      <c r="G8" s="17" t="n">
        <v>34</v>
      </c>
      <c r="H8" s="126" t="n">
        <v>117</v>
      </c>
      <c r="I8" s="127" t="n">
        <v>115000</v>
      </c>
      <c r="J8" s="127" t="inlineStr">
        <is>
          <t>9</t>
        </is>
      </c>
      <c r="K8" s="127" t="n">
        <v>78000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149</v>
      </c>
      <c r="U8" s="9" t="n"/>
    </row>
    <row r="9" ht="12" customFormat="1" customHeight="1" s="38">
      <c r="A9" s="114" t="inlineStr">
        <is>
          <t>불당동 불당호반써밋플레이스센터시티</t>
        </is>
      </c>
      <c r="B9" s="115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148</v>
      </c>
      <c r="U9" s="9" t="n"/>
    </row>
    <row r="10" ht="12" customFormat="1" customHeight="1" s="38">
      <c r="A10" s="114" t="inlineStr">
        <is>
          <t>불당동 천안불당지웰더샵</t>
        </is>
      </c>
      <c r="B10" s="115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27</t>
        </is>
      </c>
      <c r="K10" s="127" t="n">
        <v>62000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inlineStr">
        <is>
          <t>130A</t>
        </is>
      </c>
      <c r="U10" s="9" t="n"/>
    </row>
    <row r="11" ht="12" customFormat="1" customHeight="1" s="38">
      <c r="A11" s="114" t="inlineStr">
        <is>
          <t>불당동 불당호반써밋플레이스</t>
        </is>
      </c>
      <c r="B11" s="115" t="inlineStr">
        <is>
          <t>17.01.</t>
        </is>
      </c>
      <c r="C11" s="123" t="n">
        <v>573</v>
      </c>
      <c r="D11" s="124" t="n">
        <v>131.7</v>
      </c>
      <c r="E11" s="125" t="n">
        <v>40</v>
      </c>
      <c r="F11" s="124" t="n">
        <v>99.90000000000001</v>
      </c>
      <c r="G11" s="17" t="n">
        <v>30</v>
      </c>
      <c r="H11" s="126" t="n">
        <v>143</v>
      </c>
      <c r="I11" s="127" t="n">
        <v>105000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inlineStr">
        <is>
          <t>131A</t>
        </is>
      </c>
      <c r="U11" s="9" t="n"/>
    </row>
    <row r="12" ht="12" customFormat="1" customHeight="1" s="38">
      <c r="A12" s="114" t="inlineStr">
        <is>
          <t>쌍용동 파크밸리동일하이빌</t>
        </is>
      </c>
      <c r="B12" s="115" t="inlineStr">
        <is>
          <t>11.02.</t>
        </is>
      </c>
      <c r="C12" s="123" t="n">
        <v>964</v>
      </c>
      <c r="D12" s="124" t="n">
        <v>231.3</v>
      </c>
      <c r="E12" s="125" t="n">
        <v>70</v>
      </c>
      <c r="F12" s="124" t="n">
        <v>202.1</v>
      </c>
      <c r="G12" s="17" t="n">
        <v>61</v>
      </c>
      <c r="H12" s="126" t="n">
        <v>123</v>
      </c>
      <c r="I12" s="127" t="n">
        <v>99000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3</v>
      </c>
      <c r="S12" s="111" t="inlineStr">
        <is>
          <t>계</t>
        </is>
      </c>
      <c r="T12" s="5" t="inlineStr">
        <is>
          <t>231B</t>
        </is>
      </c>
      <c r="U12" s="9" t="n"/>
    </row>
    <row r="13" ht="12" customFormat="1" customHeight="1" s="38">
      <c r="A13" s="114" t="inlineStr">
        <is>
          <t>백석동 천안백석아이파크2차</t>
        </is>
      </c>
      <c r="B13" s="115" t="inlineStr">
        <is>
          <t>14.12.</t>
        </is>
      </c>
      <c r="C13" s="123" t="n">
        <v>1562</v>
      </c>
      <c r="D13" s="124" t="n">
        <v>172.5</v>
      </c>
      <c r="E13" s="125" t="n">
        <v>52</v>
      </c>
      <c r="F13" s="124" t="n">
        <v>140.4</v>
      </c>
      <c r="G13" s="17" t="n">
        <v>42</v>
      </c>
      <c r="H13" s="126" t="n">
        <v>75</v>
      </c>
      <c r="I13" s="127" t="n">
        <v>90000</v>
      </c>
      <c r="J13" s="127" t="inlineStr">
        <is>
          <t>13</t>
        </is>
      </c>
      <c r="K13" s="127" t="n">
        <v>58000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172</v>
      </c>
      <c r="U13" s="9" t="n"/>
    </row>
    <row r="14" ht="12" customFormat="1" customHeight="1" s="38">
      <c r="A14" s="114" t="inlineStr">
        <is>
          <t>불당동 천안불당린스트라우스2단지</t>
        </is>
      </c>
      <c r="B14" s="115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133</v>
      </c>
      <c r="U14" s="9" t="n"/>
    </row>
    <row r="15" ht="12" customFormat="1" customHeight="1" s="38">
      <c r="A15" s="114" t="inlineStr">
        <is>
          <t>불당동 불당호반써밋플레이스센터시티</t>
        </is>
      </c>
      <c r="B15" s="115" t="inlineStr">
        <is>
          <t>17.11.</t>
        </is>
      </c>
      <c r="C15" s="123" t="n">
        <v>815</v>
      </c>
      <c r="D15" s="124" t="n">
        <v>129.5</v>
      </c>
      <c r="E15" s="125" t="n">
        <v>39</v>
      </c>
      <c r="F15" s="124" t="n">
        <v>98.2</v>
      </c>
      <c r="G15" s="17" t="n">
        <v>30</v>
      </c>
      <c r="H15" s="126" t="n">
        <v>275</v>
      </c>
      <c r="I15" s="127" t="n">
        <v>87000</v>
      </c>
      <c r="J15" s="127" t="inlineStr">
        <is>
          <t>13</t>
        </is>
      </c>
      <c r="K15" s="127" t="n">
        <v>57000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129</v>
      </c>
      <c r="U15" s="9" t="n"/>
    </row>
    <row r="16" ht="12" customFormat="1" customHeight="1" s="38">
      <c r="A16" s="114" t="inlineStr">
        <is>
          <t>불당동 불당호반베르디움더퍼스트</t>
        </is>
      </c>
      <c r="B16" s="115" t="inlineStr">
        <is>
          <t>16.10.</t>
        </is>
      </c>
      <c r="C16" s="123" t="n">
        <v>1096</v>
      </c>
      <c r="D16" s="124" t="n">
        <v>127.7</v>
      </c>
      <c r="E16" s="125" t="n">
        <v>39</v>
      </c>
      <c r="F16" s="124" t="n">
        <v>100</v>
      </c>
      <c r="G16" s="17" t="n">
        <v>30</v>
      </c>
      <c r="H16" s="126" t="n">
        <v>228</v>
      </c>
      <c r="I16" s="127" t="n">
        <v>87000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127A</t>
        </is>
      </c>
      <c r="U16" s="9" t="n"/>
    </row>
    <row r="17" ht="12" customFormat="1" customHeight="1" s="38">
      <c r="A17" s="114" t="inlineStr">
        <is>
          <t>불당동 천안불당지웰더샵</t>
        </is>
      </c>
      <c r="B17" s="115" t="inlineStr">
        <is>
          <t>16.08.</t>
        </is>
      </c>
      <c r="C17" s="123" t="n">
        <v>685</v>
      </c>
      <c r="D17" s="124" t="n">
        <v>113.8</v>
      </c>
      <c r="E17" s="125" t="n">
        <v>34</v>
      </c>
      <c r="F17" s="124" t="n">
        <v>84.7</v>
      </c>
      <c r="G17" s="17" t="n">
        <v>26</v>
      </c>
      <c r="H17" s="126" t="n">
        <v>174</v>
      </c>
      <c r="I17" s="127" t="n">
        <v>87000</v>
      </c>
      <c r="J17" s="127" t="inlineStr">
        <is>
          <t>고</t>
        </is>
      </c>
      <c r="K17" s="127" t="n">
        <v>47000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113B</t>
        </is>
      </c>
      <c r="U17" s="9" t="n"/>
    </row>
    <row r="18" ht="12" customFormat="1" customHeight="1" s="38">
      <c r="A18" s="114" t="inlineStr">
        <is>
          <t>쌍용동 파크밸리동일하이빌</t>
        </is>
      </c>
      <c r="B18" s="115" t="inlineStr">
        <is>
          <t>11.02.</t>
        </is>
      </c>
      <c r="C18" s="123" t="n">
        <v>964</v>
      </c>
      <c r="D18" s="124" t="n">
        <v>196.6</v>
      </c>
      <c r="E18" s="125" t="n">
        <v>59</v>
      </c>
      <c r="F18" s="124" t="n">
        <v>172.6</v>
      </c>
      <c r="G18" s="17" t="n">
        <v>52</v>
      </c>
      <c r="H18" s="126" t="n">
        <v>192</v>
      </c>
      <c r="I18" s="127" t="n">
        <v>86000</v>
      </c>
      <c r="J18" s="127" t="inlineStr">
        <is>
          <t>고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196</v>
      </c>
      <c r="U18" s="9" t="n"/>
    </row>
    <row r="19" ht="12" customFormat="1" customHeight="1" s="38">
      <c r="A19" s="114" t="inlineStr">
        <is>
          <t>불당동 천안불당린스트라우스1단지</t>
        </is>
      </c>
      <c r="B19" s="115" t="inlineStr">
        <is>
          <t>17.07.</t>
        </is>
      </c>
      <c r="C19" s="123" t="n">
        <v>595</v>
      </c>
      <c r="D19" s="124" t="n">
        <v>132.7</v>
      </c>
      <c r="E19" s="125" t="n">
        <v>40</v>
      </c>
      <c r="F19" s="124" t="n">
        <v>100</v>
      </c>
      <c r="G19" s="17" t="n">
        <v>30</v>
      </c>
      <c r="H19" s="126" t="n">
        <v>177</v>
      </c>
      <c r="I19" s="127" t="n">
        <v>85000</v>
      </c>
      <c r="J19" s="127" t="inlineStr">
        <is>
          <t>10</t>
        </is>
      </c>
      <c r="K19" s="127" t="n">
        <v>57000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132</v>
      </c>
      <c r="U19" s="9" t="n"/>
    </row>
    <row r="20" ht="12" customFormat="1" customHeight="1" s="38">
      <c r="A20" s="114" t="inlineStr">
        <is>
          <t>불당동 불당아이파크</t>
        </is>
      </c>
      <c r="B20" s="115" t="inlineStr">
        <is>
          <t>04.07.</t>
        </is>
      </c>
      <c r="C20" s="123" t="n">
        <v>1046</v>
      </c>
      <c r="D20" s="124" t="n">
        <v>169.4</v>
      </c>
      <c r="E20" s="125" t="n">
        <v>51</v>
      </c>
      <c r="F20" s="124" t="n">
        <v>134.3</v>
      </c>
      <c r="G20" s="17" t="n">
        <v>41</v>
      </c>
      <c r="H20" s="126" t="n">
        <v>52</v>
      </c>
      <c r="I20" s="127" t="n">
        <v>85000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169</v>
      </c>
      <c r="U20" s="9" t="n"/>
    </row>
    <row r="21" ht="12" customFormat="1" customHeight="1" s="38">
      <c r="A21" s="114" t="inlineStr">
        <is>
          <t>불당동 천안불당지웰푸르지오</t>
        </is>
      </c>
      <c r="B21" s="115" t="inlineStr">
        <is>
          <t>16.04.</t>
        </is>
      </c>
      <c r="C21" s="123" t="n">
        <v>682</v>
      </c>
      <c r="D21" s="124" t="n">
        <v>130.3</v>
      </c>
      <c r="E21" s="125" t="n">
        <v>39</v>
      </c>
      <c r="F21" s="124" t="n">
        <v>100</v>
      </c>
      <c r="G21" s="17" t="n">
        <v>30</v>
      </c>
      <c r="H21" s="126" t="n">
        <v>154</v>
      </c>
      <c r="I21" s="127" t="n">
        <v>83000</v>
      </c>
      <c r="J21" s="127" t="inlineStr">
        <is>
          <t>중</t>
        </is>
      </c>
      <c r="K21" s="127" t="n">
        <v>53000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inlineStr">
        <is>
          <t>130C</t>
        </is>
      </c>
      <c r="U21" s="9" t="n"/>
    </row>
    <row r="22" ht="12" customFormat="1" customHeight="1" s="38">
      <c r="A22" s="114" t="inlineStr">
        <is>
          <t>성성동 천안레이크타운2차푸르지오</t>
        </is>
      </c>
      <c r="B22" s="115" t="inlineStr">
        <is>
          <t>18.01.</t>
        </is>
      </c>
      <c r="C22" s="123" t="n">
        <v>1730</v>
      </c>
      <c r="D22" s="124" t="n">
        <v>131.2</v>
      </c>
      <c r="E22" s="125" t="n">
        <v>40</v>
      </c>
      <c r="F22" s="124" t="n">
        <v>99.8</v>
      </c>
      <c r="G22" s="17" t="n">
        <v>30</v>
      </c>
      <c r="H22" s="126" t="n">
        <v>134</v>
      </c>
      <c r="I22" s="127" t="n">
        <v>82000</v>
      </c>
      <c r="J22" s="127" t="inlineStr">
        <is>
          <t>22</t>
        </is>
      </c>
      <c r="K22" s="127" t="n">
        <v>48000</v>
      </c>
      <c r="L22" s="127" t="inlineStr">
        <is>
          <t>23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2</v>
      </c>
      <c r="S22" s="111" t="inlineStr">
        <is>
          <t>계</t>
        </is>
      </c>
      <c r="T22" s="5" t="n">
        <v>131</v>
      </c>
      <c r="U22" s="9" t="n"/>
    </row>
    <row r="23" ht="12" customFormat="1" customHeight="1" s="38">
      <c r="A23" s="114" t="inlineStr">
        <is>
          <t>불당동 호반베르디움센트로포레</t>
        </is>
      </c>
      <c r="B23" s="115" t="inlineStr">
        <is>
          <t>17.02.</t>
        </is>
      </c>
      <c r="C23" s="123" t="n">
        <v>705</v>
      </c>
      <c r="D23" s="124" t="n">
        <v>124.4</v>
      </c>
      <c r="E23" s="125" t="n">
        <v>38</v>
      </c>
      <c r="F23" s="124" t="n">
        <v>97.40000000000001</v>
      </c>
      <c r="G23" s="17" t="n">
        <v>29</v>
      </c>
      <c r="H23" s="126" t="n">
        <v>351</v>
      </c>
      <c r="I23" s="127" t="n">
        <v>81000</v>
      </c>
      <c r="J23" s="127" t="inlineStr">
        <is>
          <t>15</t>
        </is>
      </c>
      <c r="K23" s="127" t="n">
        <v>49000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124</v>
      </c>
      <c r="U23" s="9" t="n"/>
    </row>
    <row r="24" ht="12" customFormat="1" customHeight="1" s="38">
      <c r="A24" s="114" t="inlineStr">
        <is>
          <t>불당동 불당호반써밋플레이스</t>
        </is>
      </c>
      <c r="B24" s="115" t="inlineStr">
        <is>
          <t>17.01.</t>
        </is>
      </c>
      <c r="C24" s="123" t="n">
        <v>573</v>
      </c>
      <c r="D24" s="124" t="n">
        <v>114.5</v>
      </c>
      <c r="E24" s="125" t="n">
        <v>35</v>
      </c>
      <c r="F24" s="124" t="n">
        <v>84.7</v>
      </c>
      <c r="G24" s="17" t="n">
        <v>26</v>
      </c>
      <c r="H24" s="126" t="n">
        <v>211</v>
      </c>
      <c r="I24" s="127" t="n">
        <v>81000</v>
      </c>
      <c r="J24" s="127" t="inlineStr">
        <is>
          <t>11</t>
        </is>
      </c>
      <c r="K24" s="127" t="n">
        <v>50000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114A</t>
        </is>
      </c>
      <c r="U24" s="9" t="n"/>
    </row>
    <row r="25" ht="12" customFormat="1" customHeight="1" s="38">
      <c r="A25" s="114" t="inlineStr">
        <is>
          <t>불당동 천안불당린스트라우스2단지</t>
        </is>
      </c>
      <c r="B25" s="115" t="inlineStr">
        <is>
          <t>17.07.</t>
        </is>
      </c>
      <c r="C25" s="123" t="n">
        <v>557</v>
      </c>
      <c r="D25" s="124" t="n">
        <v>114.5</v>
      </c>
      <c r="E25" s="125" t="n">
        <v>35</v>
      </c>
      <c r="F25" s="124" t="n">
        <v>85</v>
      </c>
      <c r="G25" s="17" t="n">
        <v>26</v>
      </c>
      <c r="H25" s="126" t="n">
        <v>187</v>
      </c>
      <c r="I25" s="127" t="n">
        <v>80000</v>
      </c>
      <c r="J25" s="127" t="inlineStr">
        <is>
          <t>중</t>
        </is>
      </c>
      <c r="K25" s="127" t="n">
        <v>45000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114A</t>
        </is>
      </c>
      <c r="U25" s="9" t="n"/>
    </row>
    <row r="26" ht="12" customFormat="1" customHeight="1" s="38">
      <c r="A26" s="114" t="inlineStr">
        <is>
          <t>쌍용동 파크밸리동일하이빌</t>
        </is>
      </c>
      <c r="B26" s="115" t="inlineStr">
        <is>
          <t>11.02.</t>
        </is>
      </c>
      <c r="C26" s="123" t="n">
        <v>964</v>
      </c>
      <c r="D26" s="124" t="n">
        <v>164.7</v>
      </c>
      <c r="E26" s="125" t="n">
        <v>50</v>
      </c>
      <c r="F26" s="124" t="n">
        <v>137.9</v>
      </c>
      <c r="G26" s="17" t="n">
        <v>42</v>
      </c>
      <c r="H26" s="126" t="n">
        <v>134</v>
      </c>
      <c r="I26" s="127" t="n">
        <v>80000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백석동 천안백석아이파크2차</t>
        </is>
      </c>
      <c r="B27" s="115" t="inlineStr">
        <is>
          <t>14.12.</t>
        </is>
      </c>
      <c r="C27" s="123" t="n">
        <v>1562</v>
      </c>
      <c r="D27" s="124" t="n">
        <v>151.9</v>
      </c>
      <c r="E27" s="125" t="n">
        <v>46</v>
      </c>
      <c r="F27" s="124" t="n">
        <v>122.7</v>
      </c>
      <c r="G27" s="17" t="n">
        <v>37</v>
      </c>
      <c r="H27" s="126" t="n">
        <v>181</v>
      </c>
      <c r="I27" s="127" t="n">
        <v>77000</v>
      </c>
      <c r="J27" s="127" t="inlineStr">
        <is>
          <t>25</t>
        </is>
      </c>
      <c r="K27" s="127" t="n">
        <v>50000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151</v>
      </c>
      <c r="U27" s="9" t="n"/>
    </row>
    <row r="28" ht="12" customFormat="1" customHeight="1" s="38">
      <c r="A28" s="114" t="inlineStr">
        <is>
          <t>불당동 불당호반베르디움더퍼스트</t>
        </is>
      </c>
      <c r="B28" s="115" t="inlineStr">
        <is>
          <t>16.10.</t>
        </is>
      </c>
      <c r="C28" s="123" t="n">
        <v>1096</v>
      </c>
      <c r="D28" s="124" t="n">
        <v>111.2</v>
      </c>
      <c r="E28" s="125" t="n">
        <v>34</v>
      </c>
      <c r="F28" s="124" t="n">
        <v>84.8</v>
      </c>
      <c r="G28" s="17" t="n">
        <v>26</v>
      </c>
      <c r="H28" s="126" t="n">
        <v>304</v>
      </c>
      <c r="I28" s="127" t="n">
        <v>75000</v>
      </c>
      <c r="J28" s="127" t="inlineStr">
        <is>
          <t>8</t>
        </is>
      </c>
      <c r="K28" s="127" t="n">
        <v>45000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111</v>
      </c>
      <c r="U28" s="9" t="n"/>
    </row>
    <row r="29" ht="12" customFormat="1" customHeight="1" s="38">
      <c r="A29" s="114" t="inlineStr">
        <is>
          <t>불당동 천안불당린스트라우스1단지</t>
        </is>
      </c>
      <c r="B29" s="115" t="inlineStr">
        <is>
          <t>17.07.</t>
        </is>
      </c>
      <c r="C29" s="123" t="n">
        <v>595</v>
      </c>
      <c r="D29" s="124" t="n">
        <v>114.7</v>
      </c>
      <c r="E29" s="125" t="n">
        <v>35</v>
      </c>
      <c r="F29" s="124" t="n">
        <v>85</v>
      </c>
      <c r="G29" s="17" t="n">
        <v>26</v>
      </c>
      <c r="H29" s="126" t="n">
        <v>206</v>
      </c>
      <c r="I29" s="127" t="n">
        <v>74000</v>
      </c>
      <c r="J29" s="127" t="inlineStr">
        <is>
          <t>중</t>
        </is>
      </c>
      <c r="K29" s="127" t="n">
        <v>43000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114A</t>
        </is>
      </c>
      <c r="U29" s="9" t="n"/>
    </row>
    <row r="30" ht="12" customFormat="1" customHeight="1" s="38">
      <c r="A30" s="114" t="inlineStr">
        <is>
          <t>불당동 불당리더힐스</t>
        </is>
      </c>
      <c r="B30" s="115" t="inlineStr">
        <is>
          <t>16.11.</t>
        </is>
      </c>
      <c r="C30" s="123" t="n">
        <v>744</v>
      </c>
      <c r="D30" s="124" t="n">
        <v>117.6</v>
      </c>
      <c r="E30" s="125" t="n">
        <v>36</v>
      </c>
      <c r="F30" s="124" t="n">
        <v>84.59999999999999</v>
      </c>
      <c r="G30" s="17" t="n">
        <v>26</v>
      </c>
      <c r="H30" s="126" t="n">
        <v>96</v>
      </c>
      <c r="I30" s="127" t="n">
        <v>73000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117BH</t>
        </is>
      </c>
      <c r="U30" s="9" t="n"/>
    </row>
    <row r="31" ht="12" customFormat="1" customHeight="1" s="38">
      <c r="A31" s="114" t="inlineStr">
        <is>
          <t>불당동 불당호반써밋플레이스센터시티</t>
        </is>
      </c>
      <c r="B31" s="115" t="inlineStr">
        <is>
          <t>17.11.</t>
        </is>
      </c>
      <c r="C31" s="123" t="n">
        <v>815</v>
      </c>
      <c r="D31" s="124" t="n">
        <v>112.9</v>
      </c>
      <c r="E31" s="125" t="n">
        <v>34</v>
      </c>
      <c r="F31" s="124" t="n">
        <v>85</v>
      </c>
      <c r="G31" s="17" t="n">
        <v>26</v>
      </c>
      <c r="H31" s="126" t="n">
        <v>214</v>
      </c>
      <c r="I31" s="127" t="n">
        <v>72800</v>
      </c>
      <c r="J31" s="127" t="inlineStr">
        <is>
          <t>고</t>
        </is>
      </c>
      <c r="K31" s="127" t="n">
        <v>39000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112B</t>
        </is>
      </c>
      <c r="U31" s="9" t="n"/>
    </row>
    <row r="32" ht="12" customFormat="1" customHeight="1" s="38">
      <c r="A32" s="114" t="inlineStr">
        <is>
          <t>불당동 호반베르디움센트로포레</t>
        </is>
      </c>
      <c r="B32" s="115" t="inlineStr">
        <is>
          <t>17.02.</t>
        </is>
      </c>
      <c r="C32" s="123" t="n">
        <v>705</v>
      </c>
      <c r="D32" s="124" t="n">
        <v>114</v>
      </c>
      <c r="E32" s="125" t="n">
        <v>34</v>
      </c>
      <c r="F32" s="124" t="n">
        <v>84.90000000000001</v>
      </c>
      <c r="G32" s="17" t="n">
        <v>26</v>
      </c>
      <c r="H32" s="126" t="n">
        <v>266</v>
      </c>
      <c r="I32" s="127" t="n">
        <v>72700</v>
      </c>
      <c r="J32" s="127" t="inlineStr">
        <is>
          <t>5</t>
        </is>
      </c>
      <c r="K32" s="127" t="n">
        <v>45000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n">
        <v>113</v>
      </c>
      <c r="U32" s="9" t="n"/>
    </row>
    <row r="33" ht="12" customFormat="1" customHeight="1" s="38">
      <c r="A33" s="114" t="inlineStr">
        <is>
          <t>백석동 백석마을아이파크</t>
        </is>
      </c>
      <c r="B33" s="115" t="inlineStr">
        <is>
          <t>09.04.</t>
        </is>
      </c>
      <c r="C33" s="123" t="n">
        <v>1040</v>
      </c>
      <c r="D33" s="124" t="n">
        <v>225.5</v>
      </c>
      <c r="E33" s="125" t="n">
        <v>68</v>
      </c>
      <c r="F33" s="124" t="n">
        <v>185.5</v>
      </c>
      <c r="G33" s="17" t="n">
        <v>56</v>
      </c>
      <c r="H33" s="126" t="n">
        <v>72</v>
      </c>
      <c r="I33" s="127" t="n">
        <v>72000</v>
      </c>
      <c r="J33" s="127" t="inlineStr">
        <is>
          <t>5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3</v>
      </c>
      <c r="S33" s="111" t="inlineStr">
        <is>
          <t>계</t>
        </is>
      </c>
      <c r="T33" s="5" t="n">
        <v>225</v>
      </c>
      <c r="U33" s="9" t="n"/>
    </row>
    <row r="34" ht="12" customFormat="1" customHeight="1" s="38">
      <c r="A34" s="114" t="inlineStr">
        <is>
          <t>백석동 백석마을아이파크</t>
        </is>
      </c>
      <c r="B34" s="115" t="inlineStr">
        <is>
          <t>09.04.</t>
        </is>
      </c>
      <c r="C34" s="123" t="n">
        <v>1040</v>
      </c>
      <c r="D34" s="124" t="n">
        <v>197.9</v>
      </c>
      <c r="E34" s="125" t="n">
        <v>60</v>
      </c>
      <c r="F34" s="124" t="n">
        <v>165.4</v>
      </c>
      <c r="G34" s="17" t="n">
        <v>50</v>
      </c>
      <c r="H34" s="126" t="n">
        <v>144</v>
      </c>
      <c r="I34" s="127" t="n">
        <v>70000</v>
      </c>
      <c r="J34" s="127" t="inlineStr">
        <is>
          <t>9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197</v>
      </c>
      <c r="U34" s="9" t="n"/>
    </row>
    <row r="35" ht="12" customFormat="1" customHeight="1" s="38">
      <c r="A35" s="114" t="inlineStr">
        <is>
          <t>백석동 천안백석푸르지오</t>
        </is>
      </c>
      <c r="B35" s="115" t="inlineStr">
        <is>
          <t>10.02.</t>
        </is>
      </c>
      <c r="C35" s="123" t="n">
        <v>746</v>
      </c>
      <c r="D35" s="124" t="n">
        <v>174.4</v>
      </c>
      <c r="E35" s="125" t="n">
        <v>53</v>
      </c>
      <c r="F35" s="124" t="n">
        <v>146.1</v>
      </c>
      <c r="G35" s="17" t="n">
        <v>44</v>
      </c>
      <c r="H35" s="126" t="n">
        <v>46</v>
      </c>
      <c r="I35" s="127" t="n">
        <v>70000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174</v>
      </c>
      <c r="U35" s="9" t="n"/>
    </row>
    <row r="36" ht="12" customFormat="1" customHeight="1" s="38">
      <c r="A36" s="114" t="inlineStr">
        <is>
          <t>불당동 불당아이파크</t>
        </is>
      </c>
      <c r="B36" s="115" t="inlineStr">
        <is>
          <t>04.07.</t>
        </is>
      </c>
      <c r="C36" s="123" t="n">
        <v>1046</v>
      </c>
      <c r="D36" s="124" t="n">
        <v>130.4</v>
      </c>
      <c r="E36" s="125" t="n">
        <v>39</v>
      </c>
      <c r="F36" s="124" t="n">
        <v>101.7</v>
      </c>
      <c r="G36" s="17" t="n">
        <v>31</v>
      </c>
      <c r="H36" s="126" t="n">
        <v>155</v>
      </c>
      <c r="I36" s="127" t="n">
        <v>70000</v>
      </c>
      <c r="J36" s="127" t="inlineStr">
        <is>
          <t>5</t>
        </is>
      </c>
      <c r="K36" s="127" t="n">
        <v>42000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130</v>
      </c>
      <c r="U36" s="9" t="n"/>
    </row>
    <row r="37" ht="12" customFormat="1" customHeight="1" s="38">
      <c r="A37" s="114" t="inlineStr">
        <is>
          <t>불당동 천안불당지웰푸르지오</t>
        </is>
      </c>
      <c r="B37" s="115" t="inlineStr">
        <is>
          <t>16.04.</t>
        </is>
      </c>
      <c r="C37" s="123" t="n">
        <v>682</v>
      </c>
      <c r="D37" s="124" t="n">
        <v>110</v>
      </c>
      <c r="E37" s="125" t="n">
        <v>33</v>
      </c>
      <c r="F37" s="124" t="n">
        <v>85</v>
      </c>
      <c r="G37" s="17" t="n">
        <v>26</v>
      </c>
      <c r="H37" s="126" t="n">
        <v>233</v>
      </c>
      <c r="I37" s="127" t="n">
        <v>70000</v>
      </c>
      <c r="J37" s="127" t="inlineStr">
        <is>
          <t>6</t>
        </is>
      </c>
      <c r="K37" s="127" t="n">
        <v>40000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110A</t>
        </is>
      </c>
      <c r="U37" s="9" t="n"/>
    </row>
    <row r="38" ht="12" customFormat="1" customHeight="1" s="38">
      <c r="A38" s="114" t="inlineStr">
        <is>
          <t>성성동 천안레이크타운3차푸르지오</t>
        </is>
      </c>
      <c r="B38" s="115" t="inlineStr">
        <is>
          <t>20.05.</t>
        </is>
      </c>
      <c r="C38" s="123" t="n">
        <v>1067</v>
      </c>
      <c r="D38" s="124" t="n">
        <v>114.9</v>
      </c>
      <c r="E38" s="125" t="n">
        <v>35</v>
      </c>
      <c r="F38" s="124" t="n">
        <v>85</v>
      </c>
      <c r="G38" s="17" t="n">
        <v>26</v>
      </c>
      <c r="H38" s="126" t="n">
        <v>296</v>
      </c>
      <c r="I38" s="127" t="n">
        <v>70000</v>
      </c>
      <c r="J38" s="127" t="inlineStr">
        <is>
          <t>18</t>
        </is>
      </c>
      <c r="K38" s="127" t="n">
        <v>42000</v>
      </c>
      <c r="L38" s="127" t="inlineStr">
        <is>
          <t>21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</row>
    <row r="39" ht="12" customFormat="1" customHeight="1" s="38">
      <c r="A39" s="114" t="inlineStr">
        <is>
          <t>성성동 천안시티자이</t>
        </is>
      </c>
      <c r="B39" s="115" t="inlineStr">
        <is>
          <t>18.10.</t>
        </is>
      </c>
      <c r="C39" s="123" t="n">
        <v>1646</v>
      </c>
      <c r="D39" s="124" t="n">
        <v>118.6</v>
      </c>
      <c r="E39" s="125" t="n">
        <v>36</v>
      </c>
      <c r="F39" s="124" t="n">
        <v>84.90000000000001</v>
      </c>
      <c r="G39" s="17" t="n">
        <v>26</v>
      </c>
      <c r="H39" s="126" t="n">
        <v>687</v>
      </c>
      <c r="I39" s="127" t="n">
        <v>70000</v>
      </c>
      <c r="J39" s="127" t="inlineStr">
        <is>
          <t>28</t>
        </is>
      </c>
      <c r="K39" s="127" t="n">
        <v>38000</v>
      </c>
      <c r="L39" s="127" t="inlineStr">
        <is>
          <t>33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inlineStr">
        <is>
          <t>118A</t>
        </is>
      </c>
      <c r="U39" s="9" t="n"/>
    </row>
    <row r="40" ht="12" customFormat="1" customHeight="1" s="38">
      <c r="A40" s="114" t="inlineStr">
        <is>
          <t>성성동 천안레이크타운푸르지오</t>
        </is>
      </c>
      <c r="B40" s="115" t="inlineStr">
        <is>
          <t>17.07.</t>
        </is>
      </c>
      <c r="C40" s="123" t="n">
        <v>995</v>
      </c>
      <c r="D40" s="124" t="n">
        <v>115.8</v>
      </c>
      <c r="E40" s="125" t="n">
        <v>35</v>
      </c>
      <c r="F40" s="124" t="n">
        <v>84.90000000000001</v>
      </c>
      <c r="G40" s="17" t="n">
        <v>26</v>
      </c>
      <c r="H40" s="126" t="n">
        <v>415</v>
      </c>
      <c r="I40" s="127" t="n">
        <v>69000</v>
      </c>
      <c r="J40" s="127" t="inlineStr">
        <is>
          <t>14</t>
        </is>
      </c>
      <c r="K40" s="127" t="n">
        <v>35000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inlineStr">
        <is>
          <t>115A</t>
        </is>
      </c>
      <c r="U40" s="9" t="n"/>
    </row>
    <row r="41" ht="12" customFormat="1" customHeight="1" s="38">
      <c r="A41" s="114" t="inlineStr">
        <is>
          <t>백석동 천안백석아이파크2차</t>
        </is>
      </c>
      <c r="B41" s="115" t="inlineStr">
        <is>
          <t>14.12.</t>
        </is>
      </c>
      <c r="C41" s="123" t="n">
        <v>1562</v>
      </c>
      <c r="D41" s="124" t="n">
        <v>135.6</v>
      </c>
      <c r="E41" s="125" t="n">
        <v>41</v>
      </c>
      <c r="F41" s="124" t="n">
        <v>106.7</v>
      </c>
      <c r="G41" s="17" t="n">
        <v>32</v>
      </c>
      <c r="H41" s="126" t="n">
        <v>272</v>
      </c>
      <c r="I41" s="127" t="n">
        <v>67000</v>
      </c>
      <c r="J41" s="127" t="inlineStr">
        <is>
          <t>7</t>
        </is>
      </c>
      <c r="K41" s="127" t="n">
        <v>45000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135</v>
      </c>
      <c r="U41" s="9" t="n"/>
    </row>
    <row r="42" ht="12" customFormat="1" customHeight="1" s="38">
      <c r="A42" s="114" t="inlineStr">
        <is>
          <t>백석동 천안백석아이파크3차</t>
        </is>
      </c>
      <c r="B42" s="115" t="inlineStr">
        <is>
          <t>17.05.</t>
        </is>
      </c>
      <c r="C42" s="123" t="n">
        <v>805</v>
      </c>
      <c r="D42" s="124" t="n">
        <v>130.2</v>
      </c>
      <c r="E42" s="125" t="n">
        <v>39</v>
      </c>
      <c r="F42" s="124" t="n">
        <v>99.8</v>
      </c>
      <c r="G42" s="17" t="n">
        <v>30</v>
      </c>
      <c r="H42" s="126" t="n">
        <v>176</v>
      </c>
      <c r="I42" s="127" t="n">
        <v>65000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130A</t>
        </is>
      </c>
      <c r="U42" s="9" t="n"/>
    </row>
    <row r="43" ht="12" customFormat="1" customHeight="1" s="38">
      <c r="A43" s="114" t="inlineStr">
        <is>
          <t>백석동 백석마을아이파크</t>
        </is>
      </c>
      <c r="B43" s="115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65000</v>
      </c>
      <c r="J43" s="127" t="inlineStr">
        <is>
          <t>11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161</v>
      </c>
      <c r="U43" s="9" t="n"/>
    </row>
    <row r="44" ht="12" customFormat="1" customHeight="1" s="38">
      <c r="A44" s="114" t="inlineStr">
        <is>
          <t>성성동 천안레이크타운2차푸르지오</t>
        </is>
      </c>
      <c r="B44" s="115" t="inlineStr">
        <is>
          <t>18.01.</t>
        </is>
      </c>
      <c r="C44" s="123" t="n">
        <v>1730</v>
      </c>
      <c r="D44" s="124" t="n">
        <v>115.7</v>
      </c>
      <c r="E44" s="125" t="n">
        <v>35</v>
      </c>
      <c r="F44" s="124" t="n">
        <v>84.90000000000001</v>
      </c>
      <c r="G44" s="17" t="n">
        <v>26</v>
      </c>
      <c r="H44" s="126" t="n">
        <v>562</v>
      </c>
      <c r="I44" s="127" t="n">
        <v>65000</v>
      </c>
      <c r="J44" s="127" t="inlineStr">
        <is>
          <t>16</t>
        </is>
      </c>
      <c r="K44" s="127" t="n">
        <v>38000</v>
      </c>
      <c r="L44" s="127" t="inlineStr">
        <is>
          <t>16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2</v>
      </c>
      <c r="S44" s="111" t="inlineStr">
        <is>
          <t>계</t>
        </is>
      </c>
      <c r="T44" s="5" t="inlineStr">
        <is>
          <t>115A-2</t>
        </is>
      </c>
      <c r="U44" s="9" t="n"/>
    </row>
    <row r="45" ht="12" customFormat="1" customHeight="1" s="38">
      <c r="A45" s="114" t="inlineStr">
        <is>
          <t>성성동 천안레이크타운3차푸르지오</t>
        </is>
      </c>
      <c r="B45" s="115" t="inlineStr">
        <is>
          <t>20.05.</t>
        </is>
      </c>
      <c r="C45" s="123" t="n">
        <v>1067</v>
      </c>
      <c r="D45" s="124" t="n">
        <v>106</v>
      </c>
      <c r="E45" s="125" t="n">
        <v>32</v>
      </c>
      <c r="F45" s="124" t="n">
        <v>73.59999999999999</v>
      </c>
      <c r="G45" s="17" t="n">
        <v>22</v>
      </c>
      <c r="H45" s="126" t="n">
        <v>281</v>
      </c>
      <c r="I45" s="127" t="n">
        <v>64000</v>
      </c>
      <c r="J45" s="127" t="inlineStr">
        <is>
          <t>9</t>
        </is>
      </c>
      <c r="K45" s="127" t="n">
        <v>33000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105</v>
      </c>
      <c r="U45" s="9" t="n"/>
    </row>
    <row r="46" ht="12" customFormat="1" customHeight="1" s="38">
      <c r="A46" s="114" t="inlineStr">
        <is>
          <t>백석동 백석리슈빌</t>
        </is>
      </c>
      <c r="B46" s="115" t="inlineStr">
        <is>
          <t>10.04.</t>
        </is>
      </c>
      <c r="C46" s="123" t="n">
        <v>901</v>
      </c>
      <c r="D46" s="124" t="n">
        <v>191.3</v>
      </c>
      <c r="E46" s="125" t="n">
        <v>58</v>
      </c>
      <c r="F46" s="124" t="n">
        <v>156.6</v>
      </c>
      <c r="G46" s="17" t="n">
        <v>47</v>
      </c>
      <c r="H46" s="126" t="n">
        <v>80</v>
      </c>
      <c r="I46" s="127" t="n">
        <v>63000</v>
      </c>
      <c r="J46" s="127" t="inlineStr">
        <is>
          <t>19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5</v>
      </c>
      <c r="R46" s="111" t="n">
        <v>2</v>
      </c>
      <c r="S46" s="111" t="inlineStr">
        <is>
          <t>계</t>
        </is>
      </c>
      <c r="T46" s="5" t="n">
        <v>191</v>
      </c>
      <c r="U46" s="9" t="n"/>
    </row>
    <row r="47" ht="12" customFormat="1" customHeight="1" s="38">
      <c r="A47" s="114" t="inlineStr">
        <is>
          <t>백석동 천안백석푸르지오</t>
        </is>
      </c>
      <c r="B47" s="115" t="inlineStr">
        <is>
          <t>10.02.</t>
        </is>
      </c>
      <c r="C47" s="123" t="n">
        <v>746</v>
      </c>
      <c r="D47" s="124" t="n">
        <v>161.5</v>
      </c>
      <c r="E47" s="125" t="n">
        <v>49</v>
      </c>
      <c r="F47" s="124" t="n">
        <v>130.3</v>
      </c>
      <c r="G47" s="17" t="n">
        <v>39</v>
      </c>
      <c r="H47" s="126" t="n">
        <v>42</v>
      </c>
      <c r="I47" s="127" t="n">
        <v>63000</v>
      </c>
      <c r="J47" s="127" t="inlineStr">
        <is>
          <t>15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161</v>
      </c>
      <c r="U47" s="9" t="n"/>
    </row>
    <row r="48" ht="12" customFormat="1" customHeight="1" s="38">
      <c r="A48" s="114" t="inlineStr">
        <is>
          <t>불당동 동일하이빌</t>
        </is>
      </c>
      <c r="B48" s="115" t="inlineStr">
        <is>
          <t>04.08.</t>
        </is>
      </c>
      <c r="C48" s="123" t="n">
        <v>1203</v>
      </c>
      <c r="D48" s="124" t="n">
        <v>141.7</v>
      </c>
      <c r="E48" s="125" t="n">
        <v>43</v>
      </c>
      <c r="F48" s="124" t="n">
        <v>110.1</v>
      </c>
      <c r="G48" s="17" t="n">
        <v>33</v>
      </c>
      <c r="H48" s="126" t="n">
        <v>104</v>
      </c>
      <c r="I48" s="127" t="n">
        <v>63000</v>
      </c>
      <c r="J48" s="127" t="inlineStr">
        <is>
          <t>6</t>
        </is>
      </c>
      <c r="K48" s="127" t="n">
        <v>42000</v>
      </c>
      <c r="L48" s="127" t="inlineStr">
        <is>
          <t>17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n">
        <v>141</v>
      </c>
      <c r="U48" s="9" t="n"/>
    </row>
    <row r="49" ht="12" customFormat="1" customHeight="1" s="38">
      <c r="A49" s="114" t="inlineStr">
        <is>
          <t>불당동 불당이안</t>
        </is>
      </c>
      <c r="B49" s="115" t="inlineStr">
        <is>
          <t>15.12.</t>
        </is>
      </c>
      <c r="C49" s="123" t="n">
        <v>800</v>
      </c>
      <c r="D49" s="124" t="n">
        <v>112.7</v>
      </c>
      <c r="E49" s="125" t="n">
        <v>34</v>
      </c>
      <c r="F49" s="124" t="n">
        <v>84.90000000000001</v>
      </c>
      <c r="G49" s="17" t="n">
        <v>26</v>
      </c>
      <c r="H49" s="126" t="n">
        <v>313</v>
      </c>
      <c r="I49" s="127" t="n">
        <v>61900</v>
      </c>
      <c r="J49" s="127" t="inlineStr">
        <is>
          <t>중</t>
        </is>
      </c>
      <c r="K49" s="127" t="n">
        <v>40000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112A</t>
        </is>
      </c>
      <c r="U49" s="9" t="n"/>
    </row>
    <row r="50" ht="12" customFormat="1" customHeight="1" s="38">
      <c r="A50" s="114" t="inlineStr">
        <is>
          <t>와촌동 천안역사동아라이크텐</t>
        </is>
      </c>
      <c r="B50" s="115" t="inlineStr">
        <is>
          <t>21.04.</t>
        </is>
      </c>
      <c r="C50" s="123" t="n">
        <v>992</v>
      </c>
      <c r="D50" s="124" t="n">
        <v>112.7</v>
      </c>
      <c r="E50" s="125" t="n">
        <v>34</v>
      </c>
      <c r="F50" s="124" t="n">
        <v>85</v>
      </c>
      <c r="G50" s="17" t="n">
        <v>26</v>
      </c>
      <c r="H50" s="126" t="n">
        <v>361</v>
      </c>
      <c r="I50" s="127" t="n">
        <v>60000</v>
      </c>
      <c r="J50" s="127" t="inlineStr">
        <is>
          <t>41</t>
        </is>
      </c>
      <c r="K50" s="127" t="n">
        <v>30000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112A</t>
        </is>
      </c>
      <c r="U50" s="9" t="n"/>
    </row>
    <row r="51" ht="12" customFormat="1" customHeight="1" s="38">
      <c r="A51" s="114" t="inlineStr">
        <is>
          <t>두정동 두정역효성해링턴플레이스</t>
        </is>
      </c>
      <c r="B51" s="115" t="inlineStr">
        <is>
          <t>20.04.</t>
        </is>
      </c>
      <c r="C51" s="123" t="n">
        <v>2586</v>
      </c>
      <c r="D51" s="124" t="n">
        <v>110</v>
      </c>
      <c r="E51" s="125" t="n">
        <v>33</v>
      </c>
      <c r="F51" s="124" t="n">
        <v>84.90000000000001</v>
      </c>
      <c r="G51" s="17" t="n">
        <v>26</v>
      </c>
      <c r="H51" s="126" t="n">
        <v>188</v>
      </c>
      <c r="I51" s="127" t="n">
        <v>57000</v>
      </c>
      <c r="J51" s="127" t="inlineStr">
        <is>
          <t>27</t>
        </is>
      </c>
      <c r="K51" s="127" t="n">
        <v>33000</v>
      </c>
      <c r="L51" s="127" t="inlineStr">
        <is>
          <t>27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110A</t>
        </is>
      </c>
      <c r="U51" s="9" t="n"/>
    </row>
    <row r="52" ht="12" customFormat="1" customHeight="1" s="38">
      <c r="A52" s="114" t="inlineStr">
        <is>
          <t>두정동 포레나천안두정</t>
        </is>
      </c>
      <c r="B52" s="115" t="inlineStr">
        <is>
          <t>22.03.</t>
        </is>
      </c>
      <c r="C52" s="123" t="n">
        <v>1067</v>
      </c>
      <c r="D52" s="124" t="n">
        <v>132.5</v>
      </c>
      <c r="E52" s="125" t="n">
        <v>40</v>
      </c>
      <c r="F52" s="124" t="n">
        <v>102.5</v>
      </c>
      <c r="G52" s="17" t="n">
        <v>31</v>
      </c>
      <c r="H52" s="126" t="n">
        <v>101</v>
      </c>
      <c r="I52" s="127" t="n">
        <v>55520</v>
      </c>
      <c r="J52" s="127" t="inlineStr">
        <is>
          <t>8</t>
        </is>
      </c>
      <c r="K52" s="127" t="n">
        <v>43000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132</v>
      </c>
      <c r="U52" s="9" t="n"/>
    </row>
    <row r="53" ht="12" customFormat="1" customHeight="1" s="38">
      <c r="A53" s="114" t="inlineStr">
        <is>
          <t>두정동 천안두정역푸르지오</t>
        </is>
      </c>
      <c r="B53" s="115" t="inlineStr">
        <is>
          <t>09.11.</t>
        </is>
      </c>
      <c r="C53" s="123" t="n">
        <v>937</v>
      </c>
      <c r="D53" s="124" t="n">
        <v>185.1</v>
      </c>
      <c r="E53" s="125" t="n">
        <v>56</v>
      </c>
      <c r="F53" s="124" t="n">
        <v>150.9</v>
      </c>
      <c r="G53" s="17" t="n">
        <v>46</v>
      </c>
      <c r="H53" s="126" t="n">
        <v>78</v>
      </c>
      <c r="I53" s="127" t="n">
        <v>55000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185</v>
      </c>
      <c r="U53" s="9" t="n"/>
    </row>
    <row r="54" ht="12" customFormat="1" customHeight="1" s="38">
      <c r="A54" s="114" t="inlineStr">
        <is>
          <t>두정동 두정역코아루스위트</t>
        </is>
      </c>
      <c r="B54" s="115" t="inlineStr">
        <is>
          <t>14.10.</t>
        </is>
      </c>
      <c r="C54" s="123" t="n">
        <v>481</v>
      </c>
      <c r="D54" s="124" t="n">
        <v>152.1</v>
      </c>
      <c r="E54" s="125" t="n">
        <v>46</v>
      </c>
      <c r="F54" s="124" t="n">
        <v>127.1</v>
      </c>
      <c r="G54" s="17" t="n">
        <v>38</v>
      </c>
      <c r="H54" s="126" t="n">
        <v>44</v>
      </c>
      <c r="I54" s="127" t="n">
        <v>55000</v>
      </c>
      <c r="J54" s="127" t="inlineStr">
        <is>
          <t>7</t>
        </is>
      </c>
      <c r="K54" s="127" t="n">
        <v>43000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152</v>
      </c>
      <c r="U54" s="9" t="n"/>
    </row>
    <row r="55" ht="12" customFormat="1" customHeight="1" s="38">
      <c r="A55" s="114" t="inlineStr">
        <is>
          <t>성성동 천안레이크타운2차푸르지오</t>
        </is>
      </c>
      <c r="B55" s="115" t="inlineStr">
        <is>
          <t>18.01.</t>
        </is>
      </c>
      <c r="C55" s="123" t="n">
        <v>1730</v>
      </c>
      <c r="D55" s="124" t="n">
        <v>105.7</v>
      </c>
      <c r="E55" s="125" t="n">
        <v>32</v>
      </c>
      <c r="F55" s="124" t="n">
        <v>74.8</v>
      </c>
      <c r="G55" s="17" t="n">
        <v>23</v>
      </c>
      <c r="H55" s="126" t="n">
        <v>102</v>
      </c>
      <c r="I55" s="127" t="n">
        <v>55000</v>
      </c>
      <c r="J55" s="127" t="inlineStr">
        <is>
          <t>28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105A</t>
        </is>
      </c>
      <c r="U55" s="9" t="n"/>
    </row>
    <row r="56" ht="12" customFormat="1" customHeight="1" s="38">
      <c r="A56" s="114" t="inlineStr">
        <is>
          <t>성성동 천안시티자이</t>
        </is>
      </c>
      <c r="B56" s="115" t="inlineStr">
        <is>
          <t>18.10.</t>
        </is>
      </c>
      <c r="C56" s="123" t="n">
        <v>1646</v>
      </c>
      <c r="D56" s="124" t="n">
        <v>104.3</v>
      </c>
      <c r="E56" s="125" t="n">
        <v>32</v>
      </c>
      <c r="F56" s="124" t="n">
        <v>74.5</v>
      </c>
      <c r="G56" s="17" t="n">
        <v>23</v>
      </c>
      <c r="H56" s="126" t="n">
        <v>204</v>
      </c>
      <c r="I56" s="127" t="n">
        <v>54000</v>
      </c>
      <c r="J56" s="127" t="inlineStr">
        <is>
          <t>33</t>
        </is>
      </c>
      <c r="K56" s="127" t="n">
        <v>40000</v>
      </c>
      <c r="L56" s="127" t="inlineStr">
        <is>
          <t>24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104A</t>
        </is>
      </c>
      <c r="U56" s="9" t="n"/>
    </row>
    <row r="57" ht="12" customFormat="1" customHeight="1" s="38">
      <c r="A57" s="114" t="inlineStr">
        <is>
          <t>두정동 천안두정역푸르지오</t>
        </is>
      </c>
      <c r="B57" s="115" t="inlineStr">
        <is>
          <t>09.11.</t>
        </is>
      </c>
      <c r="C57" s="123" t="n">
        <v>937</v>
      </c>
      <c r="D57" s="124" t="n">
        <v>156.6</v>
      </c>
      <c r="E57" s="125" t="n">
        <v>47</v>
      </c>
      <c r="F57" s="124" t="n">
        <v>123.5</v>
      </c>
      <c r="G57" s="17" t="n">
        <v>37</v>
      </c>
      <c r="H57" s="126" t="n">
        <v>89</v>
      </c>
      <c r="I57" s="127" t="n">
        <v>53000</v>
      </c>
      <c r="J57" s="127" t="inlineStr">
        <is>
          <t>18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156</v>
      </c>
      <c r="U57" s="9" t="n"/>
    </row>
    <row r="58" ht="12" customFormat="1" customHeight="1" s="38">
      <c r="A58" s="114" t="inlineStr">
        <is>
          <t>불당동 불당호반베르디움더퍼스트</t>
        </is>
      </c>
      <c r="B58" s="115" t="inlineStr">
        <is>
          <t>16.10.</t>
        </is>
      </c>
      <c r="C58" s="123" t="n">
        <v>1096</v>
      </c>
      <c r="D58" s="124" t="n">
        <v>82.7</v>
      </c>
      <c r="E58" s="125" t="n">
        <v>25</v>
      </c>
      <c r="F58" s="124" t="n">
        <v>59.9</v>
      </c>
      <c r="G58" s="17" t="n">
        <v>18</v>
      </c>
      <c r="H58" s="126" t="n">
        <v>441</v>
      </c>
      <c r="I58" s="127" t="n">
        <v>53000</v>
      </c>
      <c r="J58" s="127" t="inlineStr">
        <is>
          <t>5</t>
        </is>
      </c>
      <c r="K58" s="127" t="n">
        <v>32500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82A</t>
        </is>
      </c>
      <c r="U58" s="9" t="n"/>
    </row>
    <row r="59" ht="12" customFormat="1" customHeight="1" s="38">
      <c r="A59" s="114" t="inlineStr">
        <is>
          <t>불당동 불당이안</t>
        </is>
      </c>
      <c r="B59" s="115" t="inlineStr">
        <is>
          <t>15.12.</t>
        </is>
      </c>
      <c r="C59" s="123" t="n">
        <v>800</v>
      </c>
      <c r="D59" s="124" t="n">
        <v>99.09999999999999</v>
      </c>
      <c r="E59" s="125" t="n">
        <v>30</v>
      </c>
      <c r="F59" s="124" t="n">
        <v>74.90000000000001</v>
      </c>
      <c r="G59" s="17" t="n">
        <v>23</v>
      </c>
      <c r="H59" s="126" t="n">
        <v>210</v>
      </c>
      <c r="I59" s="127" t="n">
        <v>52000</v>
      </c>
      <c r="J59" s="127" t="inlineStr">
        <is>
          <t>9</t>
        </is>
      </c>
      <c r="K59" s="127" t="n">
        <v>35000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99A</t>
        </is>
      </c>
      <c r="U59" s="9" t="n"/>
    </row>
    <row r="60" ht="12" customFormat="1" customHeight="1" s="38">
      <c r="A60" s="114" t="inlineStr">
        <is>
          <t>성성동 천안레이크타운푸르지오</t>
        </is>
      </c>
      <c r="B60" s="115" t="inlineStr">
        <is>
          <t>17.07.</t>
        </is>
      </c>
      <c r="C60" s="123" t="n">
        <v>995</v>
      </c>
      <c r="D60" s="124" t="n">
        <v>103.4</v>
      </c>
      <c r="E60" s="125" t="n">
        <v>31</v>
      </c>
      <c r="F60" s="124" t="n">
        <v>74.8</v>
      </c>
      <c r="G60" s="17" t="n">
        <v>23</v>
      </c>
      <c r="H60" s="126" t="n">
        <v>57</v>
      </c>
      <c r="I60" s="127" t="n">
        <v>52000</v>
      </c>
      <c r="J60" s="127" t="inlineStr">
        <is>
          <t>23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103A</t>
        </is>
      </c>
      <c r="U60" s="9" t="n"/>
    </row>
    <row r="61" ht="12" customFormat="1" customHeight="1" s="38">
      <c r="A61" s="114" t="inlineStr">
        <is>
          <t>쌍용동 파크밸리동일하이빌</t>
        </is>
      </c>
      <c r="B61" s="115" t="inlineStr">
        <is>
          <t>11.02.</t>
        </is>
      </c>
      <c r="C61" s="123" t="n">
        <v>964</v>
      </c>
      <c r="D61" s="124" t="n">
        <v>109.6</v>
      </c>
      <c r="E61" s="125" t="n">
        <v>33</v>
      </c>
      <c r="F61" s="124" t="n">
        <v>85</v>
      </c>
      <c r="G61" s="17" t="n">
        <v>26</v>
      </c>
      <c r="H61" s="126" t="n">
        <v>134</v>
      </c>
      <c r="I61" s="127" t="n">
        <v>52000</v>
      </c>
      <c r="J61" s="127" t="inlineStr">
        <is>
          <t>12</t>
        </is>
      </c>
      <c r="K61" s="127" t="n">
        <v>39500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109</v>
      </c>
      <c r="U61" s="9" t="n"/>
    </row>
    <row r="62" ht="12" customFormat="1" customHeight="1" s="38">
      <c r="A62" s="114" t="inlineStr">
        <is>
          <t>불당동 호반리젠시빌스위트</t>
        </is>
      </c>
      <c r="B62" s="115" t="inlineStr">
        <is>
          <t>04.10.</t>
        </is>
      </c>
      <c r="C62" s="123" t="n">
        <v>476</v>
      </c>
      <c r="D62" s="124" t="n">
        <v>148.8</v>
      </c>
      <c r="E62" s="125" t="n">
        <v>45</v>
      </c>
      <c r="F62" s="124" t="n">
        <v>117.5</v>
      </c>
      <c r="G62" s="17" t="n">
        <v>36</v>
      </c>
      <c r="H62" s="126" t="n">
        <v>268</v>
      </c>
      <c r="I62" s="127" t="n">
        <v>50000</v>
      </c>
      <c r="J62" s="127" t="inlineStr">
        <is>
          <t>8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148</v>
      </c>
      <c r="U62" s="9" t="n"/>
    </row>
    <row r="63" ht="12" customFormat="1" customHeight="1" s="38">
      <c r="A63" s="114" t="inlineStr">
        <is>
          <t>불당동 불당리더힐스</t>
        </is>
      </c>
      <c r="B63" s="115" t="inlineStr">
        <is>
          <t>16.11.</t>
        </is>
      </c>
      <c r="C63" s="123" t="n">
        <v>744</v>
      </c>
      <c r="D63" s="124" t="n">
        <v>103.7</v>
      </c>
      <c r="E63" s="125" t="n">
        <v>31</v>
      </c>
      <c r="F63" s="124" t="n">
        <v>74.59999999999999</v>
      </c>
      <c r="G63" s="17" t="n">
        <v>23</v>
      </c>
      <c r="H63" s="126" t="n">
        <v>180</v>
      </c>
      <c r="I63" s="127" t="n">
        <v>50000</v>
      </c>
      <c r="J63" s="127" t="inlineStr">
        <is>
          <t>11</t>
        </is>
      </c>
      <c r="K63" s="127" t="n">
        <v>36000</v>
      </c>
      <c r="L63" s="127" t="inlineStr">
        <is>
          <t>16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103A</t>
        </is>
      </c>
      <c r="U63" s="9" t="n"/>
    </row>
    <row r="64" ht="12" customFormat="1" customHeight="1" s="38">
      <c r="A64" s="114" t="inlineStr">
        <is>
          <t>성성동 천안레이크타운3차푸르지오</t>
        </is>
      </c>
      <c r="B64" s="115" t="inlineStr">
        <is>
          <t>20.05.</t>
        </is>
      </c>
      <c r="C64" s="123" t="n">
        <v>1067</v>
      </c>
      <c r="D64" s="124" t="n">
        <v>87.09999999999999</v>
      </c>
      <c r="E64" s="125" t="n">
        <v>26</v>
      </c>
      <c r="F64" s="124" t="n">
        <v>60</v>
      </c>
      <c r="G64" s="17" t="n">
        <v>18</v>
      </c>
      <c r="H64" s="126" t="n">
        <v>146</v>
      </c>
      <c r="I64" s="127" t="n">
        <v>50000</v>
      </c>
      <c r="J64" s="127" t="inlineStr">
        <is>
          <t>31</t>
        </is>
      </c>
      <c r="K64" s="127" t="n">
        <v>33000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87A</t>
        </is>
      </c>
      <c r="U64" s="9" t="n"/>
    </row>
    <row r="65" ht="12" customFormat="1" customHeight="1" s="38">
      <c r="A65" s="114" t="inlineStr">
        <is>
          <t>백석동 천안백석푸르지오</t>
        </is>
      </c>
      <c r="B65" s="115" t="inlineStr">
        <is>
          <t>10.02.</t>
        </is>
      </c>
      <c r="C65" s="123" t="n">
        <v>746</v>
      </c>
      <c r="D65" s="124" t="n">
        <v>140.8</v>
      </c>
      <c r="E65" s="125" t="n">
        <v>43</v>
      </c>
      <c r="F65" s="124" t="n">
        <v>110.7</v>
      </c>
      <c r="G65" s="17" t="n">
        <v>33</v>
      </c>
      <c r="H65" s="126" t="n">
        <v>208</v>
      </c>
      <c r="I65" s="127" t="n">
        <v>49000</v>
      </c>
      <c r="J65" s="127" t="inlineStr">
        <is>
          <t>9</t>
        </is>
      </c>
      <c r="K65" s="127" t="n">
        <v>40000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140</v>
      </c>
      <c r="U65" s="9" t="n"/>
    </row>
    <row r="66" ht="12" customFormat="1" customHeight="1" s="38">
      <c r="A66" s="114" t="inlineStr">
        <is>
          <t>쌍용동 쌍용자이</t>
        </is>
      </c>
      <c r="B66" s="115" t="inlineStr">
        <is>
          <t>07.01.</t>
        </is>
      </c>
      <c r="C66" s="123" t="n">
        <v>564</v>
      </c>
      <c r="D66" s="124" t="n">
        <v>179.5</v>
      </c>
      <c r="E66" s="125" t="n">
        <v>54</v>
      </c>
      <c r="F66" s="124" t="n">
        <v>145.9</v>
      </c>
      <c r="G66" s="17" t="n">
        <v>44</v>
      </c>
      <c r="H66" s="126" t="n">
        <v>119</v>
      </c>
      <c r="I66" s="127" t="n">
        <v>49000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179</v>
      </c>
      <c r="U66" s="9" t="n"/>
    </row>
    <row r="67" ht="12" customFormat="1" customHeight="1" s="38">
      <c r="A67" s="114" t="inlineStr">
        <is>
          <t>두정동 두정역효성해링턴플레이스</t>
        </is>
      </c>
      <c r="B67" s="115" t="inlineStr">
        <is>
          <t>20.04.</t>
        </is>
      </c>
      <c r="C67" s="123" t="n">
        <v>2586</v>
      </c>
      <c r="D67" s="124" t="n">
        <v>95.90000000000001</v>
      </c>
      <c r="E67" s="125" t="n">
        <v>29</v>
      </c>
      <c r="F67" s="124" t="n">
        <v>71.40000000000001</v>
      </c>
      <c r="G67" s="17" t="n">
        <v>22</v>
      </c>
      <c r="H67" s="126" t="n">
        <v>234</v>
      </c>
      <c r="I67" s="127" t="n">
        <v>48000</v>
      </c>
      <c r="J67" s="127" t="inlineStr">
        <is>
          <t>중</t>
        </is>
      </c>
      <c r="K67" s="127" t="n">
        <v>32000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95A</t>
        </is>
      </c>
      <c r="U67" s="9" t="n"/>
    </row>
    <row r="68" ht="12" customFormat="1" customHeight="1" s="38">
      <c r="A68" s="114" t="inlineStr">
        <is>
          <t>백석동 천안백석아이파크2차</t>
        </is>
      </c>
      <c r="B68" s="115" t="inlineStr">
        <is>
          <t>14.12.</t>
        </is>
      </c>
      <c r="C68" s="123" t="n">
        <v>1562</v>
      </c>
      <c r="D68" s="124" t="n">
        <v>113.6</v>
      </c>
      <c r="E68" s="125" t="n">
        <v>34</v>
      </c>
      <c r="F68" s="124" t="n">
        <v>85</v>
      </c>
      <c r="G68" s="17" t="n">
        <v>26</v>
      </c>
      <c r="H68" s="126" t="n">
        <v>854</v>
      </c>
      <c r="I68" s="127" t="n">
        <v>48000</v>
      </c>
      <c r="J68" s="127" t="inlineStr">
        <is>
          <t>12</t>
        </is>
      </c>
      <c r="K68" s="127" t="n">
        <v>35000</v>
      </c>
      <c r="L68" s="127" t="inlineStr">
        <is>
          <t>22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113A</t>
        </is>
      </c>
      <c r="U68" s="9" t="n"/>
    </row>
    <row r="69" ht="12" customFormat="1" customHeight="1" s="38">
      <c r="A69" s="114" t="inlineStr">
        <is>
          <t>불당동 불당아이파크</t>
        </is>
      </c>
      <c r="B69" s="115" t="inlineStr">
        <is>
          <t>04.07.</t>
        </is>
      </c>
      <c r="C69" s="123" t="n">
        <v>1046</v>
      </c>
      <c r="D69" s="124" t="n">
        <v>113.1</v>
      </c>
      <c r="E69" s="125" t="n">
        <v>34</v>
      </c>
      <c r="F69" s="124" t="n">
        <v>85</v>
      </c>
      <c r="G69" s="17" t="n">
        <v>26</v>
      </c>
      <c r="H69" s="126" t="n">
        <v>823</v>
      </c>
      <c r="I69" s="127" t="n">
        <v>48000</v>
      </c>
      <c r="J69" s="127" t="inlineStr">
        <is>
          <t>고</t>
        </is>
      </c>
      <c r="K69" s="127" t="n">
        <v>29500</v>
      </c>
      <c r="L69" s="127" t="inlineStr">
        <is>
          <t>고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113</v>
      </c>
      <c r="U69" s="9" t="n"/>
    </row>
    <row r="70" ht="12" customFormat="1" customHeight="1" s="38">
      <c r="A70" s="114" t="inlineStr">
        <is>
          <t>성성동 천안레이크타운푸르지오</t>
        </is>
      </c>
      <c r="B70" s="115" t="inlineStr">
        <is>
          <t>17.07.</t>
        </is>
      </c>
      <c r="C70" s="123" t="n">
        <v>995</v>
      </c>
      <c r="D70" s="124" t="n">
        <v>88.59999999999999</v>
      </c>
      <c r="E70" s="125" t="n">
        <v>27</v>
      </c>
      <c r="F70" s="124" t="n">
        <v>62.9</v>
      </c>
      <c r="G70" s="17" t="n">
        <v>19</v>
      </c>
      <c r="H70" s="126" t="n">
        <v>48</v>
      </c>
      <c r="I70" s="127" t="n">
        <v>48000</v>
      </c>
      <c r="J70" s="127" t="inlineStr">
        <is>
          <t>23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88A</t>
        </is>
      </c>
      <c r="U70" s="9" t="n"/>
    </row>
    <row r="71" ht="12" customFormat="1" customHeight="1" s="38">
      <c r="A71" s="114" t="inlineStr">
        <is>
          <t>쌍용동 천안쌍용역코오롱하늘채</t>
        </is>
      </c>
      <c r="B71" s="115" t="inlineStr">
        <is>
          <t>18.05.</t>
        </is>
      </c>
      <c r="C71" s="123" t="n">
        <v>454</v>
      </c>
      <c r="D71" s="124" t="n">
        <v>113.8</v>
      </c>
      <c r="E71" s="125" t="n">
        <v>34</v>
      </c>
      <c r="F71" s="124" t="n">
        <v>85</v>
      </c>
      <c r="G71" s="17" t="n">
        <v>26</v>
      </c>
      <c r="H71" s="126" t="n">
        <v>85</v>
      </c>
      <c r="I71" s="127" t="n">
        <v>48000</v>
      </c>
      <c r="J71" s="127" t="inlineStr">
        <is>
          <t>고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113</v>
      </c>
      <c r="U71" s="9" t="n"/>
    </row>
    <row r="72" ht="12" customFormat="1" customHeight="1" s="38">
      <c r="A72" s="114" t="inlineStr">
        <is>
          <t>와촌동 천안역사동아라이크텐</t>
        </is>
      </c>
      <c r="B72" s="115" t="inlineStr">
        <is>
          <t>21.04.</t>
        </is>
      </c>
      <c r="C72" s="123" t="n">
        <v>992</v>
      </c>
      <c r="D72" s="124" t="n">
        <v>87.90000000000001</v>
      </c>
      <c r="E72" s="125" t="n">
        <v>27</v>
      </c>
      <c r="F72" s="124" t="n">
        <v>65.40000000000001</v>
      </c>
      <c r="G72" s="17" t="n">
        <v>20</v>
      </c>
      <c r="H72" s="126" t="n">
        <v>178</v>
      </c>
      <c r="I72" s="127" t="n">
        <v>48000</v>
      </c>
      <c r="J72" s="127" t="inlineStr">
        <is>
          <t>30</t>
        </is>
      </c>
      <c r="K72" s="127" t="n">
        <v>27000</v>
      </c>
      <c r="L72" s="127" t="inlineStr">
        <is>
          <t>48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87A</t>
        </is>
      </c>
      <c r="U72" s="9" t="n"/>
    </row>
    <row r="73" ht="12" customFormat="1" customHeight="1" s="38">
      <c r="A73" s="114" t="inlineStr">
        <is>
          <t>두정동 e편한세상두정3차</t>
        </is>
      </c>
      <c r="B73" s="115" t="inlineStr">
        <is>
          <t>17.03.</t>
        </is>
      </c>
      <c r="C73" s="123" t="n">
        <v>992</v>
      </c>
      <c r="D73" s="124" t="n">
        <v>111</v>
      </c>
      <c r="E73" s="125" t="n">
        <v>34</v>
      </c>
      <c r="F73" s="124" t="n">
        <v>85</v>
      </c>
      <c r="G73" s="17" t="n">
        <v>26</v>
      </c>
      <c r="H73" s="126" t="n">
        <v>302</v>
      </c>
      <c r="I73" s="127" t="n">
        <v>47000</v>
      </c>
      <c r="J73" s="127" t="inlineStr">
        <is>
          <t>5</t>
        </is>
      </c>
      <c r="K73" s="127" t="n">
        <v>30000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110B</t>
        </is>
      </c>
      <c r="U73" s="9" t="n"/>
    </row>
    <row r="74" ht="12" customFormat="1" customHeight="1" s="38">
      <c r="A74" s="114" t="inlineStr">
        <is>
          <t>성성동 천안레이크타운2차푸르지오</t>
        </is>
      </c>
      <c r="B74" s="115" t="inlineStr">
        <is>
          <t>18.01.</t>
        </is>
      </c>
      <c r="C74" s="123" t="n">
        <v>1730</v>
      </c>
      <c r="D74" s="124" t="n">
        <v>88.40000000000001</v>
      </c>
      <c r="E74" s="125" t="n">
        <v>27</v>
      </c>
      <c r="F74" s="124" t="n">
        <v>62.9</v>
      </c>
      <c r="G74" s="17" t="n">
        <v>19</v>
      </c>
      <c r="H74" s="126" t="n">
        <v>170</v>
      </c>
      <c r="I74" s="127" t="n">
        <v>47000</v>
      </c>
      <c r="J74" s="127" t="inlineStr">
        <is>
          <t>16</t>
        </is>
      </c>
      <c r="K74" s="127" t="n">
        <v>30000</v>
      </c>
      <c r="L74" s="127" t="inlineStr">
        <is>
          <t>28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88A</t>
        </is>
      </c>
      <c r="U74" s="9" t="n"/>
    </row>
    <row r="75" ht="12" customFormat="1" customHeight="1" s="38">
      <c r="A75" s="114" t="inlineStr">
        <is>
          <t>쌍용동 용암동아벽산</t>
        </is>
      </c>
      <c r="B75" s="115" t="inlineStr">
        <is>
          <t>99.05.</t>
        </is>
      </c>
      <c r="C75" s="123" t="n">
        <v>505</v>
      </c>
      <c r="D75" s="124" t="n">
        <v>216.5</v>
      </c>
      <c r="E75" s="125" t="n">
        <v>65</v>
      </c>
      <c r="F75" s="124" t="n">
        <v>178.3</v>
      </c>
      <c r="G75" s="17" t="n">
        <v>54</v>
      </c>
      <c r="H75" s="126" t="n">
        <v>120</v>
      </c>
      <c r="I75" s="127" t="n">
        <v>47000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5</v>
      </c>
      <c r="R75" s="111" t="n">
        <v>2</v>
      </c>
      <c r="S75" s="111" t="inlineStr">
        <is>
          <t>계</t>
        </is>
      </c>
      <c r="T75" s="5" t="n">
        <v>216</v>
      </c>
      <c r="U75" s="9" t="n"/>
    </row>
    <row r="76" ht="12" customFormat="1" customHeight="1" s="38">
      <c r="A76" s="114" t="inlineStr">
        <is>
          <t>성성동 천안시티자이</t>
        </is>
      </c>
      <c r="B76" s="115" t="inlineStr">
        <is>
          <t>18.10.</t>
        </is>
      </c>
      <c r="C76" s="123" t="n">
        <v>1646</v>
      </c>
      <c r="D76" s="124" t="n">
        <v>84.8</v>
      </c>
      <c r="E76" s="125" t="n">
        <v>26</v>
      </c>
      <c r="F76" s="124" t="n">
        <v>60</v>
      </c>
      <c r="G76" s="17" t="n">
        <v>18</v>
      </c>
      <c r="H76" s="126" t="n">
        <v>209</v>
      </c>
      <c r="I76" s="127" t="n">
        <v>46500</v>
      </c>
      <c r="J76" s="127" t="inlineStr">
        <is>
          <t>6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84A</t>
        </is>
      </c>
      <c r="U76" s="9" t="n"/>
    </row>
    <row r="77" ht="12" customFormat="1" customHeight="1" s="38">
      <c r="A77" s="114" t="inlineStr">
        <is>
          <t>백석동 천안브라운스톤</t>
        </is>
      </c>
      <c r="B77" s="115" t="inlineStr">
        <is>
          <t>06.05.</t>
        </is>
      </c>
      <c r="C77" s="123" t="n">
        <v>901</v>
      </c>
      <c r="D77" s="124" t="n">
        <v>184.8</v>
      </c>
      <c r="E77" s="125" t="n">
        <v>56</v>
      </c>
      <c r="F77" s="124" t="n">
        <v>155.6</v>
      </c>
      <c r="G77" s="17" t="n">
        <v>47</v>
      </c>
      <c r="H77" s="126" t="n">
        <v>56</v>
      </c>
      <c r="I77" s="127" t="n">
        <v>46000</v>
      </c>
      <c r="J77" s="127" t="inlineStr">
        <is>
          <t>중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계</t>
        </is>
      </c>
      <c r="T77" s="5" t="n">
        <v>184</v>
      </c>
      <c r="U77" s="9" t="n"/>
    </row>
    <row r="78" ht="12" customFormat="1" customHeight="1" s="38">
      <c r="A78" s="114" t="inlineStr">
        <is>
          <t>두정동 천안두정역푸르지오</t>
        </is>
      </c>
      <c r="B78" s="115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33000</v>
      </c>
      <c r="L78" s="127" t="inlineStr">
        <is>
          <t>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134A</t>
        </is>
      </c>
      <c r="U78" s="9" t="n"/>
    </row>
    <row r="79" ht="12" customFormat="1" customHeight="1" s="38">
      <c r="A79" s="114" t="inlineStr">
        <is>
          <t>두정동 한성필하우스3차</t>
        </is>
      </c>
      <c r="B79" s="115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154</v>
      </c>
      <c r="U79" s="9" t="n"/>
    </row>
    <row r="80" ht="12" customFormat="1" customHeight="1" s="38">
      <c r="A80" s="114" t="inlineStr">
        <is>
          <t>두정동 두정역코아루스위트</t>
        </is>
      </c>
      <c r="B80" s="115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20</t>
        </is>
      </c>
      <c r="K80" s="127" t="n">
        <v>50000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136</v>
      </c>
      <c r="U80" s="9" t="n"/>
    </row>
    <row r="81" ht="12" customFormat="1" customHeight="1" s="38">
      <c r="A81" s="114" t="inlineStr">
        <is>
          <t>두정동 천안두정역이안더센트럴</t>
        </is>
      </c>
      <c r="B81" s="115" t="inlineStr">
        <is>
          <t>11.01.</t>
        </is>
      </c>
      <c r="C81" s="123" t="n">
        <v>935</v>
      </c>
      <c r="D81" s="124" t="n">
        <v>145.8</v>
      </c>
      <c r="E81" s="125" t="n">
        <v>44</v>
      </c>
      <c r="F81" s="124" t="n">
        <v>114.9</v>
      </c>
      <c r="G81" s="17" t="n">
        <v>35</v>
      </c>
      <c r="H81" s="126" t="n">
        <v>152</v>
      </c>
      <c r="I81" s="127" t="n">
        <v>45000</v>
      </c>
      <c r="J81" s="127" t="inlineStr">
        <is>
          <t>중</t>
        </is>
      </c>
      <c r="K81" s="127" t="n">
        <v>31000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4</v>
      </c>
      <c r="R81" s="111" t="n">
        <v>2</v>
      </c>
      <c r="S81" s="111" t="inlineStr">
        <is>
          <t>계</t>
        </is>
      </c>
      <c r="T81" s="5" t="n">
        <v>145</v>
      </c>
      <c r="U81" s="9" t="n"/>
    </row>
    <row r="82" ht="12" customFormat="1" customHeight="1" s="38">
      <c r="A82" s="114" t="inlineStr">
        <is>
          <t>백석동 백석리슈빌</t>
        </is>
      </c>
      <c r="B82" s="115" t="inlineStr">
        <is>
          <t>10.04.</t>
        </is>
      </c>
      <c r="C82" s="123" t="n">
        <v>901</v>
      </c>
      <c r="D82" s="124" t="n">
        <v>132.1</v>
      </c>
      <c r="E82" s="125" t="n">
        <v>40</v>
      </c>
      <c r="F82" s="124" t="n">
        <v>103.6</v>
      </c>
      <c r="G82" s="17" t="n">
        <v>31</v>
      </c>
      <c r="H82" s="126" t="n">
        <v>120</v>
      </c>
      <c r="I82" s="127" t="n">
        <v>45000</v>
      </c>
      <c r="J82" s="127" t="inlineStr">
        <is>
          <t>8</t>
        </is>
      </c>
      <c r="K82" s="127" t="n">
        <v>40000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132B</t>
        </is>
      </c>
      <c r="U82" s="9" t="n"/>
    </row>
    <row r="83" ht="12" customFormat="1" customHeight="1" s="38">
      <c r="A83" s="114" t="inlineStr">
        <is>
          <t>불당동 대원칸타빌</t>
        </is>
      </c>
      <c r="B83" s="115" t="inlineStr">
        <is>
          <t>04.09.</t>
        </is>
      </c>
      <c r="C83" s="123" t="n">
        <v>1011</v>
      </c>
      <c r="D83" s="124" t="n">
        <v>135.2</v>
      </c>
      <c r="E83" s="125" t="n">
        <v>41</v>
      </c>
      <c r="F83" s="124" t="n">
        <v>108</v>
      </c>
      <c r="G83" s="17" t="n">
        <v>33</v>
      </c>
      <c r="H83" s="126" t="n">
        <v>84</v>
      </c>
      <c r="I83" s="127" t="n">
        <v>45000</v>
      </c>
      <c r="J83" s="127" t="inlineStr">
        <is>
          <t>8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135</v>
      </c>
      <c r="U83" s="9" t="n"/>
    </row>
    <row r="84" ht="12" customFormat="1" customHeight="1" s="38">
      <c r="A84" s="114" t="inlineStr">
        <is>
          <t>불당동 동일하이빌</t>
        </is>
      </c>
      <c r="B84" s="115" t="inlineStr">
        <is>
          <t>04.08.</t>
        </is>
      </c>
      <c r="C84" s="123" t="n">
        <v>1203</v>
      </c>
      <c r="D84" s="124" t="n">
        <v>112.4</v>
      </c>
      <c r="E84" s="125" t="n">
        <v>34</v>
      </c>
      <c r="F84" s="124" t="n">
        <v>85</v>
      </c>
      <c r="G84" s="17" t="n">
        <v>26</v>
      </c>
      <c r="H84" s="126" t="n">
        <v>696</v>
      </c>
      <c r="I84" s="127" t="n">
        <v>45000</v>
      </c>
      <c r="J84" s="127" t="inlineStr">
        <is>
          <t>5</t>
        </is>
      </c>
      <c r="K84" s="127" t="n">
        <v>33000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112</v>
      </c>
      <c r="U84" s="9" t="n"/>
    </row>
    <row r="85" ht="12" customFormat="1" customHeight="1" s="38">
      <c r="A85" s="114" t="inlineStr">
        <is>
          <t>쌍용동 현대아이파크홈타운6차1단지</t>
        </is>
      </c>
      <c r="B85" s="115" t="inlineStr">
        <is>
          <t>04.05.</t>
        </is>
      </c>
      <c r="C85" s="123" t="n">
        <v>1316</v>
      </c>
      <c r="D85" s="124" t="n">
        <v>152.1</v>
      </c>
      <c r="E85" s="125" t="n">
        <v>46</v>
      </c>
      <c r="F85" s="124" t="n">
        <v>123.6</v>
      </c>
      <c r="G85" s="17" t="n">
        <v>37</v>
      </c>
      <c r="H85" s="126" t="n">
        <v>120</v>
      </c>
      <c r="I85" s="127" t="n">
        <v>45000</v>
      </c>
      <c r="J85" s="127" t="inlineStr">
        <is>
          <t>10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n">
        <v>152</v>
      </c>
      <c r="U85" s="9" t="n"/>
    </row>
    <row r="86" ht="12" customFormat="1" customHeight="1" s="38">
      <c r="A86" s="114" t="inlineStr">
        <is>
          <t>백석동 천안백석아이파크3차</t>
        </is>
      </c>
      <c r="B86" s="115" t="inlineStr">
        <is>
          <t>17.05.</t>
        </is>
      </c>
      <c r="C86" s="123" t="n">
        <v>805</v>
      </c>
      <c r="D86" s="124" t="n">
        <v>102.3</v>
      </c>
      <c r="E86" s="125" t="n">
        <v>31</v>
      </c>
      <c r="F86" s="124" t="n">
        <v>75</v>
      </c>
      <c r="G86" s="17" t="n">
        <v>23</v>
      </c>
      <c r="H86" s="126" t="n">
        <v>144</v>
      </c>
      <c r="I86" s="127" t="n">
        <v>44000</v>
      </c>
      <c r="J86" s="127" t="inlineStr">
        <is>
          <t>5</t>
        </is>
      </c>
      <c r="K86" s="127" t="n">
        <v>34000</v>
      </c>
      <c r="L86" s="127" t="inlineStr">
        <is>
          <t>17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102A</t>
        </is>
      </c>
      <c r="U86" s="9" t="n"/>
    </row>
    <row r="87" ht="12" customFormat="1" customHeight="1" s="38">
      <c r="A87" s="114" t="inlineStr">
        <is>
          <t>두정동 e편한세상두정3차</t>
        </is>
      </c>
      <c r="B87" s="115" t="inlineStr">
        <is>
          <t>17.03.</t>
        </is>
      </c>
      <c r="C87" s="123" t="n">
        <v>992</v>
      </c>
      <c r="D87" s="124" t="n">
        <v>101.2</v>
      </c>
      <c r="E87" s="125" t="n">
        <v>31</v>
      </c>
      <c r="F87" s="124" t="n">
        <v>75.8</v>
      </c>
      <c r="G87" s="17" t="n">
        <v>23</v>
      </c>
      <c r="H87" s="126" t="n">
        <v>166</v>
      </c>
      <c r="I87" s="127" t="n">
        <v>43500</v>
      </c>
      <c r="J87" s="127" t="inlineStr">
        <is>
          <t>8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101</v>
      </c>
      <c r="U87" s="9" t="n"/>
    </row>
    <row r="88" ht="12" customFormat="1" customHeight="1" s="38">
      <c r="A88" s="114" t="inlineStr">
        <is>
          <t>두정동 포레나천안두정</t>
        </is>
      </c>
      <c r="B88" s="115" t="inlineStr">
        <is>
          <t>22.03.</t>
        </is>
      </c>
      <c r="C88" s="123" t="n">
        <v>1067</v>
      </c>
      <c r="D88" s="124" t="n">
        <v>109.9</v>
      </c>
      <c r="E88" s="125" t="n">
        <v>33</v>
      </c>
      <c r="F88" s="124" t="n">
        <v>84.90000000000001</v>
      </c>
      <c r="G88" s="17" t="n">
        <v>26</v>
      </c>
      <c r="H88" s="126" t="n">
        <v>421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11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109A</t>
        </is>
      </c>
      <c r="U88" s="9" t="n"/>
    </row>
    <row r="89" ht="12" customFormat="1" customHeight="1" s="38">
      <c r="A89" s="114" t="inlineStr">
        <is>
          <t>불당동 불당리더힐스</t>
        </is>
      </c>
      <c r="B89" s="115" t="inlineStr">
        <is>
          <t>16.11.</t>
        </is>
      </c>
      <c r="C89" s="123" t="n">
        <v>744</v>
      </c>
      <c r="D89" s="124" t="n">
        <v>83.3</v>
      </c>
      <c r="E89" s="125" t="n">
        <v>25</v>
      </c>
      <c r="F89" s="124" t="n">
        <v>59.9</v>
      </c>
      <c r="G89" s="17" t="n">
        <v>18</v>
      </c>
      <c r="H89" s="126" t="n">
        <v>223</v>
      </c>
      <c r="I89" s="127" t="n">
        <v>43000</v>
      </c>
      <c r="J89" s="127" t="inlineStr">
        <is>
          <t>중</t>
        </is>
      </c>
      <c r="K89" s="127" t="n">
        <v>30000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83AH</t>
        </is>
      </c>
      <c r="U89" s="9" t="n"/>
    </row>
    <row r="90" ht="12" customFormat="1" customHeight="1" s="38">
      <c r="A90" s="114" t="inlineStr">
        <is>
          <t>쌍용동 월봉일성5차</t>
        </is>
      </c>
      <c r="B90" s="115" t="inlineStr">
        <is>
          <t>99.05.</t>
        </is>
      </c>
      <c r="C90" s="123" t="n">
        <v>765</v>
      </c>
      <c r="D90" s="124" t="n">
        <v>165.7</v>
      </c>
      <c r="E90" s="125" t="n">
        <v>50</v>
      </c>
      <c r="F90" s="124" t="n">
        <v>134.6</v>
      </c>
      <c r="G90" s="17" t="n">
        <v>41</v>
      </c>
      <c r="H90" s="126" t="n">
        <v>59</v>
      </c>
      <c r="I90" s="127" t="n">
        <v>43000</v>
      </c>
      <c r="J90" s="127" t="inlineStr">
        <is>
          <t>11</t>
        </is>
      </c>
      <c r="K90" s="127" t="n">
        <v>32000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165</v>
      </c>
      <c r="U90" s="9" t="n"/>
    </row>
    <row r="91" ht="12" customFormat="1" customHeight="1" s="38">
      <c r="A91" s="114" t="inlineStr">
        <is>
          <t>백석동 천안브라운스톤</t>
        </is>
      </c>
      <c r="B91" s="115" t="inlineStr">
        <is>
          <t>06.05.</t>
        </is>
      </c>
      <c r="C91" s="123" t="n">
        <v>901</v>
      </c>
      <c r="D91" s="124" t="n">
        <v>154.5</v>
      </c>
      <c r="E91" s="125" t="n">
        <v>47</v>
      </c>
      <c r="F91" s="124" t="n">
        <v>128.4</v>
      </c>
      <c r="G91" s="17" t="n">
        <v>39</v>
      </c>
      <c r="H91" s="126" t="n">
        <v>86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n">
        <v>154</v>
      </c>
      <c r="U91" s="9" t="n"/>
    </row>
    <row r="92" ht="12" customFormat="1" customHeight="1" s="38">
      <c r="A92" s="114" t="inlineStr">
        <is>
          <t>차암동 천안스마일시티효성해링턴플레이스</t>
        </is>
      </c>
      <c r="B92" s="115" t="inlineStr">
        <is>
          <t>16.01.</t>
        </is>
      </c>
      <c r="C92" s="123" t="n">
        <v>1318</v>
      </c>
      <c r="D92" s="124" t="n">
        <v>109.9</v>
      </c>
      <c r="E92" s="125" t="n">
        <v>33</v>
      </c>
      <c r="F92" s="124" t="n">
        <v>85</v>
      </c>
      <c r="G92" s="17" t="n">
        <v>26</v>
      </c>
      <c r="H92" s="126" t="n">
        <v>238</v>
      </c>
      <c r="I92" s="127" t="n">
        <v>42000</v>
      </c>
      <c r="J92" s="127" t="inlineStr">
        <is>
          <t>6</t>
        </is>
      </c>
      <c r="K92" s="127" t="n">
        <v>36000</v>
      </c>
      <c r="L92" s="127" t="inlineStr">
        <is>
          <t>15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109</v>
      </c>
      <c r="U92" s="9" t="n"/>
    </row>
    <row r="93" ht="12" customFormat="1" customHeight="1" s="38">
      <c r="A93" s="114" t="inlineStr">
        <is>
          <t>두정동 두정역코아루스위트</t>
        </is>
      </c>
      <c r="B93" s="115" t="inlineStr">
        <is>
          <t>14.10.</t>
        </is>
      </c>
      <c r="C93" s="123" t="n">
        <v>481</v>
      </c>
      <c r="D93" s="124" t="n">
        <v>124.5</v>
      </c>
      <c r="E93" s="125" t="n">
        <v>38</v>
      </c>
      <c r="F93" s="124" t="n">
        <v>100</v>
      </c>
      <c r="G93" s="17" t="n">
        <v>30</v>
      </c>
      <c r="H93" s="126" t="n">
        <v>92</v>
      </c>
      <c r="I93" s="127" t="n">
        <v>41000</v>
      </c>
      <c r="J93" s="127" t="inlineStr">
        <is>
          <t>8</t>
        </is>
      </c>
      <c r="K93" s="127" t="n">
        <v>31000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124A</t>
        </is>
      </c>
      <c r="U93" s="9" t="n"/>
    </row>
    <row r="94" ht="12" customFormat="1" customHeight="1" s="38">
      <c r="A94" s="114" t="inlineStr">
        <is>
          <t>쌍용동 천안쌍용역코오롱하늘채</t>
        </is>
      </c>
      <c r="B94" s="115" t="inlineStr">
        <is>
          <t>18.05.</t>
        </is>
      </c>
      <c r="C94" s="123" t="n">
        <v>454</v>
      </c>
      <c r="D94" s="124" t="n">
        <v>96.5</v>
      </c>
      <c r="E94" s="125" t="n">
        <v>29</v>
      </c>
      <c r="F94" s="124" t="n">
        <v>70.90000000000001</v>
      </c>
      <c r="G94" s="17" t="n">
        <v>21</v>
      </c>
      <c r="H94" s="126" t="n">
        <v>90</v>
      </c>
      <c r="I94" s="127" t="n">
        <v>40500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96</v>
      </c>
      <c r="U94" s="9" t="n"/>
    </row>
    <row r="95" ht="12" customFormat="1" customHeight="1" s="38">
      <c r="A95" s="114" t="inlineStr">
        <is>
          <t>차암동 e편한세상스마일시티2차</t>
        </is>
      </c>
      <c r="B95" s="115" t="inlineStr">
        <is>
          <t>16.08.</t>
        </is>
      </c>
      <c r="C95" s="123" t="n">
        <v>1269</v>
      </c>
      <c r="D95" s="124" t="n">
        <v>110.5</v>
      </c>
      <c r="E95" s="125" t="n">
        <v>33</v>
      </c>
      <c r="F95" s="124" t="n">
        <v>84.90000000000001</v>
      </c>
      <c r="G95" s="17" t="n">
        <v>26</v>
      </c>
      <c r="H95" s="126" t="n">
        <v>132</v>
      </c>
      <c r="I95" s="127" t="n">
        <v>40500</v>
      </c>
      <c r="J95" s="127" t="inlineStr">
        <is>
          <t>5</t>
        </is>
      </c>
      <c r="K95" s="127" t="n">
        <v>30000</v>
      </c>
      <c r="L95" s="127" t="inlineStr">
        <is>
          <t>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n">
        <v>110</v>
      </c>
      <c r="U95" s="9" t="n"/>
    </row>
    <row r="96" ht="12" customFormat="1" customHeight="1" s="38">
      <c r="A96" s="114" t="inlineStr">
        <is>
          <t>두정동 e편한세상두정2차</t>
        </is>
      </c>
      <c r="B96" s="115" t="inlineStr">
        <is>
          <t>13.06.</t>
        </is>
      </c>
      <c r="C96" s="123" t="n">
        <v>848</v>
      </c>
      <c r="D96" s="124" t="n">
        <v>111.7</v>
      </c>
      <c r="E96" s="125" t="n">
        <v>34</v>
      </c>
      <c r="F96" s="124" t="n">
        <v>84.90000000000001</v>
      </c>
      <c r="G96" s="17" t="n">
        <v>26</v>
      </c>
      <c r="H96" s="126" t="n">
        <v>321</v>
      </c>
      <c r="I96" s="127" t="n">
        <v>40000</v>
      </c>
      <c r="J96" s="127" t="inlineStr">
        <is>
          <t>10</t>
        </is>
      </c>
      <c r="K96" s="127" t="n">
        <v>32000</v>
      </c>
      <c r="L96" s="127" t="inlineStr">
        <is>
          <t>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111A</t>
        </is>
      </c>
      <c r="U96" s="9" t="n"/>
    </row>
    <row r="97" ht="12" customFormat="1" customHeight="1" s="38">
      <c r="A97" s="114" t="inlineStr">
        <is>
          <t>두정동 천안두정역이안더센트럴</t>
        </is>
      </c>
      <c r="B97" s="115" t="inlineStr">
        <is>
          <t>11.01.</t>
        </is>
      </c>
      <c r="C97" s="123" t="n">
        <v>935</v>
      </c>
      <c r="D97" s="124" t="n">
        <v>129.5</v>
      </c>
      <c r="E97" s="125" t="n">
        <v>39</v>
      </c>
      <c r="F97" s="124" t="n">
        <v>102.5</v>
      </c>
      <c r="G97" s="17" t="n">
        <v>31</v>
      </c>
      <c r="H97" s="126" t="n">
        <v>183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18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n">
        <v>129</v>
      </c>
      <c r="U97" s="9" t="n"/>
    </row>
    <row r="98" ht="12" customFormat="1" customHeight="1" s="38">
      <c r="A98" s="114" t="inlineStr">
        <is>
          <t>불당동 대동다숲</t>
        </is>
      </c>
      <c r="B98" s="115" t="inlineStr">
        <is>
          <t>04.10.</t>
        </is>
      </c>
      <c r="C98" s="123" t="n">
        <v>791</v>
      </c>
      <c r="D98" s="124" t="n">
        <v>106.7</v>
      </c>
      <c r="E98" s="125" t="n">
        <v>32</v>
      </c>
      <c r="F98" s="124" t="n">
        <v>84.8</v>
      </c>
      <c r="G98" s="17" t="n">
        <v>26</v>
      </c>
      <c r="H98" s="126" t="n">
        <v>341</v>
      </c>
      <c r="I98" s="127" t="n">
        <v>40000</v>
      </c>
      <c r="J98" s="127" t="inlineStr">
        <is>
          <t>5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106A</t>
        </is>
      </c>
      <c r="U98" s="9" t="n"/>
    </row>
    <row r="99" ht="12" customFormat="1" customHeight="1" s="38">
      <c r="A99" s="114" t="inlineStr">
        <is>
          <t>와촌동 신동아파밀리에</t>
        </is>
      </c>
      <c r="B99" s="115" t="inlineStr">
        <is>
          <t>05.03.</t>
        </is>
      </c>
      <c r="C99" s="123" t="n">
        <v>621</v>
      </c>
      <c r="D99" s="124" t="n">
        <v>132.4</v>
      </c>
      <c r="E99" s="125" t="n">
        <v>40</v>
      </c>
      <c r="F99" s="124" t="n">
        <v>109.2</v>
      </c>
      <c r="G99" s="17" t="n">
        <v>33</v>
      </c>
      <c r="H99" s="126" t="n">
        <v>180</v>
      </c>
      <c r="I99" s="127" t="n">
        <v>40000</v>
      </c>
      <c r="J99" s="127" t="inlineStr">
        <is>
          <t>6</t>
        </is>
      </c>
      <c r="K99" s="127" t="n">
        <v>30000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132</v>
      </c>
      <c r="U99" s="9" t="n"/>
    </row>
    <row r="100" ht="12" customFormat="1" customHeight="1" s="38">
      <c r="A100" s="114" t="inlineStr">
        <is>
          <t>차암동 e편한세상스마일시티</t>
        </is>
      </c>
      <c r="B100" s="115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33000</v>
      </c>
      <c r="L100" s="127" t="inlineStr">
        <is>
          <t>20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8">
      <c r="A101" s="114" t="inlineStr">
        <is>
          <t>백석동 백석마을아이파크</t>
        </is>
      </c>
      <c r="B101" s="115" t="inlineStr">
        <is>
          <t>09.04.</t>
        </is>
      </c>
      <c r="C101" s="123" t="n">
        <v>1040</v>
      </c>
      <c r="D101" s="124" t="n">
        <v>114.5</v>
      </c>
      <c r="E101" s="125" t="n">
        <v>35</v>
      </c>
      <c r="F101" s="124" t="n">
        <v>85</v>
      </c>
      <c r="G101" s="17" t="n">
        <v>26</v>
      </c>
      <c r="H101" s="126" t="n">
        <v>394</v>
      </c>
      <c r="I101" s="127" t="n">
        <v>39500</v>
      </c>
      <c r="J101" s="127" t="inlineStr">
        <is>
          <t>고</t>
        </is>
      </c>
      <c r="K101" s="127" t="n">
        <v>30000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inlineStr">
        <is>
          <t>114A</t>
        </is>
      </c>
      <c r="U101" s="9" t="n"/>
    </row>
    <row r="102" ht="12" customFormat="1" customHeight="1" s="38">
      <c r="A102" s="114" t="inlineStr">
        <is>
          <t>불당동 대원칸타빌</t>
        </is>
      </c>
      <c r="B102" s="115" t="inlineStr">
        <is>
          <t>04.09.</t>
        </is>
      </c>
      <c r="C102" s="123" t="n">
        <v>1011</v>
      </c>
      <c r="D102" s="124" t="n">
        <v>113.3</v>
      </c>
      <c r="E102" s="125" t="n">
        <v>34</v>
      </c>
      <c r="F102" s="124" t="n">
        <v>84.90000000000001</v>
      </c>
      <c r="G102" s="17" t="n">
        <v>26</v>
      </c>
      <c r="H102" s="126" t="n">
        <v>508</v>
      </c>
      <c r="I102" s="127" t="n">
        <v>39500</v>
      </c>
      <c r="J102" s="127" t="inlineStr">
        <is>
          <t>12</t>
        </is>
      </c>
      <c r="K102" s="127" t="n">
        <v>35000</v>
      </c>
      <c r="L102" s="127" t="inlineStr">
        <is>
          <t>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2</v>
      </c>
      <c r="S102" s="111" t="inlineStr">
        <is>
          <t>계</t>
        </is>
      </c>
      <c r="T102" s="5" t="n">
        <v>113</v>
      </c>
      <c r="U102" s="9" t="n"/>
    </row>
    <row r="103" ht="12" customFormat="1" customHeight="1" s="38">
      <c r="A103" s="114" t="inlineStr">
        <is>
          <t>쌍용동 쌍용자이</t>
        </is>
      </c>
      <c r="B103" s="115" t="inlineStr">
        <is>
          <t>07.01.</t>
        </is>
      </c>
      <c r="C103" s="123" t="n">
        <v>564</v>
      </c>
      <c r="D103" s="124" t="n">
        <v>143.5</v>
      </c>
      <c r="E103" s="125" t="n">
        <v>43</v>
      </c>
      <c r="F103" s="124" t="n">
        <v>114.1</v>
      </c>
      <c r="G103" s="17" t="n">
        <v>35</v>
      </c>
      <c r="H103" s="126" t="n">
        <v>150</v>
      </c>
      <c r="I103" s="127" t="n">
        <v>39500</v>
      </c>
      <c r="J103" s="127" t="inlineStr">
        <is>
          <t>7</t>
        </is>
      </c>
      <c r="K103" s="127" t="n">
        <v>35000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143</v>
      </c>
      <c r="U103" s="9" t="n"/>
    </row>
    <row r="104" ht="12" customFormat="1" customHeight="1" s="38">
      <c r="A104" s="114" t="inlineStr">
        <is>
          <t>쌍용동 쌍용동일하이빌</t>
        </is>
      </c>
      <c r="B104" s="115" t="inlineStr">
        <is>
          <t>07.04.</t>
        </is>
      </c>
      <c r="C104" s="123" t="n">
        <v>523</v>
      </c>
      <c r="D104" s="124" t="n">
        <v>145.4</v>
      </c>
      <c r="E104" s="125" t="n">
        <v>44</v>
      </c>
      <c r="F104" s="124" t="n">
        <v>114.8</v>
      </c>
      <c r="G104" s="17" t="n">
        <v>35</v>
      </c>
      <c r="H104" s="126" t="n">
        <v>231</v>
      </c>
      <c r="I104" s="127" t="n">
        <v>39500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145A</t>
        </is>
      </c>
      <c r="U104" s="9" t="n"/>
    </row>
    <row r="105" ht="12" customFormat="1" customHeight="1" s="38">
      <c r="A105" s="114" t="inlineStr">
        <is>
          <t>두정동 천안두정역푸르지오</t>
        </is>
      </c>
      <c r="B105" s="115" t="inlineStr">
        <is>
          <t>09.11.</t>
        </is>
      </c>
      <c r="C105" s="123" t="n">
        <v>937</v>
      </c>
      <c r="D105" s="124" t="n">
        <v>113.4</v>
      </c>
      <c r="E105" s="125" t="n">
        <v>34</v>
      </c>
      <c r="F105" s="124" t="n">
        <v>85</v>
      </c>
      <c r="G105" s="17" t="n">
        <v>26</v>
      </c>
      <c r="H105" s="126" t="n">
        <v>192</v>
      </c>
      <c r="I105" s="127" t="n">
        <v>39000</v>
      </c>
      <c r="J105" s="127" t="inlineStr">
        <is>
          <t>16</t>
        </is>
      </c>
      <c r="K105" s="127" t="n">
        <v>26000</v>
      </c>
      <c r="L105" s="127" t="inlineStr">
        <is>
          <t>9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113A</t>
        </is>
      </c>
      <c r="U105" s="9" t="n"/>
    </row>
    <row r="106" ht="12" customFormat="1" customHeight="1" s="38">
      <c r="A106" s="114" t="inlineStr">
        <is>
          <t>쌍용동 용암동아벽산</t>
        </is>
      </c>
      <c r="B106" s="115" t="inlineStr">
        <is>
          <t>99.05.</t>
        </is>
      </c>
      <c r="C106" s="123" t="n">
        <v>505</v>
      </c>
      <c r="D106" s="124" t="n">
        <v>164.8</v>
      </c>
      <c r="E106" s="125" t="n">
        <v>50</v>
      </c>
      <c r="F106" s="124" t="n">
        <v>134.8</v>
      </c>
      <c r="G106" s="17" t="n">
        <v>41</v>
      </c>
      <c r="H106" s="126" t="n">
        <v>265</v>
      </c>
      <c r="I106" s="127" t="n">
        <v>39000</v>
      </c>
      <c r="J106" s="127" t="inlineStr">
        <is>
          <t>13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164</v>
      </c>
      <c r="U106" s="9" t="n"/>
    </row>
    <row r="107" ht="12" customFormat="1" customHeight="1" s="38">
      <c r="A107" s="114" t="inlineStr">
        <is>
          <t>두정동 포레나천안두정</t>
        </is>
      </c>
      <c r="B107" s="115" t="inlineStr">
        <is>
          <t>22.03.</t>
        </is>
      </c>
      <c r="C107" s="123" t="n">
        <v>1067</v>
      </c>
      <c r="D107" s="124" t="n">
        <v>100</v>
      </c>
      <c r="E107" s="125" t="n">
        <v>30</v>
      </c>
      <c r="F107" s="124" t="n">
        <v>76.7</v>
      </c>
      <c r="G107" s="17" t="n">
        <v>23</v>
      </c>
      <c r="H107" s="126" t="n">
        <v>252</v>
      </c>
      <c r="I107" s="127" t="n">
        <v>38220</v>
      </c>
      <c r="J107" s="127" t="inlineStr">
        <is>
          <t>10</t>
        </is>
      </c>
      <c r="K107" s="127" t="n">
        <v>26000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99A</t>
        </is>
      </c>
      <c r="U107" s="9" t="n"/>
    </row>
    <row r="108" ht="12" customFormat="1" customHeight="1" s="38">
      <c r="A108" s="114" t="inlineStr">
        <is>
          <t>두정동 두정역효성해링턴플레이스</t>
        </is>
      </c>
      <c r="B108" s="115" t="inlineStr">
        <is>
          <t>20.04.</t>
        </is>
      </c>
      <c r="C108" s="123" t="n">
        <v>2586</v>
      </c>
      <c r="D108" s="124" t="n">
        <v>84.8</v>
      </c>
      <c r="E108" s="125" t="n">
        <v>26</v>
      </c>
      <c r="F108" s="124" t="n">
        <v>59.9</v>
      </c>
      <c r="G108" s="17" t="n">
        <v>18</v>
      </c>
      <c r="H108" s="126" t="n">
        <v>864</v>
      </c>
      <c r="I108" s="127" t="n">
        <v>38000</v>
      </c>
      <c r="J108" s="127" t="inlineStr">
        <is>
          <t>6</t>
        </is>
      </c>
      <c r="K108" s="127" t="n">
        <v>28000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84A</t>
        </is>
      </c>
      <c r="U108" s="9" t="n"/>
    </row>
    <row r="109" ht="12" customFormat="1" customHeight="1" s="38">
      <c r="A109" s="114" t="inlineStr">
        <is>
          <t>쌍용동 현대아이파크홈타운6차1단지</t>
        </is>
      </c>
      <c r="B109" s="115" t="inlineStr">
        <is>
          <t>04.05.</t>
        </is>
      </c>
      <c r="C109" s="123" t="n">
        <v>1316</v>
      </c>
      <c r="D109" s="124" t="n">
        <v>137.1</v>
      </c>
      <c r="E109" s="125" t="n">
        <v>41</v>
      </c>
      <c r="F109" s="124" t="n">
        <v>107.3</v>
      </c>
      <c r="G109" s="17" t="n">
        <v>32</v>
      </c>
      <c r="H109" s="126" t="n">
        <v>300</v>
      </c>
      <c r="I109" s="127" t="n">
        <v>37500</v>
      </c>
      <c r="J109" s="127" t="inlineStr">
        <is>
          <t>14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137</v>
      </c>
      <c r="U109" s="9" t="n"/>
    </row>
    <row r="110" ht="12" customFormat="1" customHeight="1" s="38">
      <c r="A110" s="114" t="inlineStr">
        <is>
          <t>두정동 e편한세상두정2차</t>
        </is>
      </c>
      <c r="B110" s="115" t="inlineStr">
        <is>
          <t>13.06.</t>
        </is>
      </c>
      <c r="C110" s="123" t="n">
        <v>848</v>
      </c>
      <c r="D110" s="124" t="n">
        <v>98.59999999999999</v>
      </c>
      <c r="E110" s="125" t="n">
        <v>30</v>
      </c>
      <c r="F110" s="124" t="n">
        <v>72.7</v>
      </c>
      <c r="G110" s="17" t="n">
        <v>22</v>
      </c>
      <c r="H110" s="126" t="n">
        <v>198</v>
      </c>
      <c r="I110" s="127" t="n">
        <v>37000</v>
      </c>
      <c r="J110" s="127" t="inlineStr">
        <is>
          <t>19</t>
        </is>
      </c>
      <c r="K110" s="127" t="n">
        <v>30000</v>
      </c>
      <c r="L110" s="127" t="inlineStr">
        <is>
          <t>9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98A</t>
        </is>
      </c>
      <c r="U110" s="9" t="n"/>
    </row>
    <row r="111" ht="12" customFormat="1" customHeight="1" s="38">
      <c r="A111" s="114" t="inlineStr">
        <is>
          <t>두정동 천안두정역이안더센트럴</t>
        </is>
      </c>
      <c r="B111" s="115" t="inlineStr">
        <is>
          <t>11.01.</t>
        </is>
      </c>
      <c r="C111" s="123" t="n">
        <v>935</v>
      </c>
      <c r="D111" s="124" t="n">
        <v>115.6</v>
      </c>
      <c r="E111" s="125" t="n">
        <v>35</v>
      </c>
      <c r="F111" s="124" t="n">
        <v>85</v>
      </c>
      <c r="G111" s="17" t="n">
        <v>26</v>
      </c>
      <c r="H111" s="126" t="n">
        <v>264</v>
      </c>
      <c r="I111" s="127" t="n">
        <v>37000</v>
      </c>
      <c r="J111" s="127" t="inlineStr">
        <is>
          <t>14</t>
        </is>
      </c>
      <c r="K111" s="127" t="n">
        <v>27000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115C</t>
        </is>
      </c>
      <c r="U111" s="9" t="n"/>
    </row>
    <row r="112" ht="12" customFormat="1" customHeight="1" s="38">
      <c r="A112" s="114" t="inlineStr">
        <is>
          <t>두정동 e편한세상두정4차</t>
        </is>
      </c>
      <c r="B112" s="115" t="inlineStr">
        <is>
          <t>18.10.</t>
        </is>
      </c>
      <c r="C112" s="123" t="n">
        <v>456</v>
      </c>
      <c r="D112" s="124" t="n">
        <v>100.8</v>
      </c>
      <c r="E112" s="125" t="n">
        <v>30</v>
      </c>
      <c r="F112" s="124" t="n">
        <v>72.8</v>
      </c>
      <c r="G112" s="17" t="n">
        <v>22</v>
      </c>
      <c r="H112" s="126" t="n">
        <v>110</v>
      </c>
      <c r="I112" s="127" t="n">
        <v>37000</v>
      </c>
      <c r="J112" s="127" t="inlineStr">
        <is>
          <t>5</t>
        </is>
      </c>
      <c r="K112" s="127" t="n">
        <v>24000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100</v>
      </c>
      <c r="U112" s="9" t="n"/>
    </row>
    <row r="113" ht="12" customFormat="1" customHeight="1" s="38">
      <c r="A113" s="114" t="inlineStr">
        <is>
          <t>두정동 세광엔리치빌3차</t>
        </is>
      </c>
      <c r="B113" s="115" t="inlineStr">
        <is>
          <t>03.09.</t>
        </is>
      </c>
      <c r="C113" s="123" t="n">
        <v>476</v>
      </c>
      <c r="D113" s="124" t="n">
        <v>149.1</v>
      </c>
      <c r="E113" s="125" t="n">
        <v>45</v>
      </c>
      <c r="F113" s="124" t="n">
        <v>123</v>
      </c>
      <c r="G113" s="17" t="n">
        <v>37</v>
      </c>
      <c r="H113" s="126" t="n">
        <v>56</v>
      </c>
      <c r="I113" s="127" t="n">
        <v>37000</v>
      </c>
      <c r="J113" s="127" t="inlineStr">
        <is>
          <t>11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149</v>
      </c>
      <c r="U113" s="9" t="n"/>
    </row>
    <row r="114" ht="12" customFormat="1" customHeight="1" s="38">
      <c r="A114" s="114" t="inlineStr">
        <is>
          <t>백석동 백석리슈빌</t>
        </is>
      </c>
      <c r="B114" s="115" t="inlineStr">
        <is>
          <t>10.04.</t>
        </is>
      </c>
      <c r="C114" s="123" t="n">
        <v>901</v>
      </c>
      <c r="D114" s="124" t="n">
        <v>114.2</v>
      </c>
      <c r="E114" s="125" t="n">
        <v>35</v>
      </c>
      <c r="F114" s="124" t="n">
        <v>85</v>
      </c>
      <c r="G114" s="17" t="n">
        <v>26</v>
      </c>
      <c r="H114" s="126" t="n">
        <v>180</v>
      </c>
      <c r="I114" s="127" t="n">
        <v>37000</v>
      </c>
      <c r="J114" s="127" t="inlineStr">
        <is>
          <t>14</t>
        </is>
      </c>
      <c r="K114" s="127" t="n">
        <v>32000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114A</t>
        </is>
      </c>
      <c r="U114" s="9" t="n"/>
    </row>
    <row r="115" ht="12" customFormat="1" customHeight="1" s="38">
      <c r="A115" s="114" t="inlineStr">
        <is>
          <t>백석동 천안백석푸르지오</t>
        </is>
      </c>
      <c r="B115" s="115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10</t>
        </is>
      </c>
      <c r="K115" s="127" t="n">
        <v>33000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8">
      <c r="A116" s="114" t="inlineStr">
        <is>
          <t>불당동 동일하이빌</t>
        </is>
      </c>
      <c r="B116" s="115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37000</v>
      </c>
      <c r="J116" s="127" t="inlineStr">
        <is>
          <t>9</t>
        </is>
      </c>
      <c r="K116" s="127" t="n">
        <v>32000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96</v>
      </c>
      <c r="U116" s="9" t="n"/>
    </row>
    <row r="117" ht="12" customFormat="1" customHeight="1" s="38">
      <c r="A117" s="114" t="inlineStr">
        <is>
          <t>두정동 e편한세상두정3차</t>
        </is>
      </c>
      <c r="B117" s="115" t="inlineStr">
        <is>
          <t>17.03.</t>
        </is>
      </c>
      <c r="C117" s="123" t="n">
        <v>992</v>
      </c>
      <c r="D117" s="124" t="n">
        <v>85</v>
      </c>
      <c r="E117" s="125" t="n">
        <v>26</v>
      </c>
      <c r="F117" s="124" t="n">
        <v>60</v>
      </c>
      <c r="G117" s="17" t="n">
        <v>18</v>
      </c>
      <c r="H117" s="126" t="n">
        <v>154</v>
      </c>
      <c r="I117" s="127" t="n">
        <v>36500</v>
      </c>
      <c r="J117" s="127" t="inlineStr">
        <is>
          <t>12</t>
        </is>
      </c>
      <c r="K117" s="127" t="n">
        <v>25000</v>
      </c>
      <c r="L117" s="127" t="inlineStr">
        <is>
          <t>21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84</v>
      </c>
      <c r="U117" s="9" t="n"/>
    </row>
    <row r="118" ht="12" customFormat="1" customHeight="1" s="38">
      <c r="A118" s="114" t="inlineStr">
        <is>
          <t>두정동 두정e-편한세상</t>
        </is>
      </c>
      <c r="B118" s="115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123</v>
      </c>
      <c r="U118" s="9" t="n"/>
    </row>
    <row r="119" ht="12" customFormat="1" customHeight="1" s="38">
      <c r="A119" s="114" t="inlineStr">
        <is>
          <t>불당동 대동다숲</t>
        </is>
      </c>
      <c r="B119" s="115" t="inlineStr">
        <is>
          <t>04.10.</t>
        </is>
      </c>
      <c r="C119" s="123" t="n">
        <v>791</v>
      </c>
      <c r="D119" s="124" t="n">
        <v>94.09999999999999</v>
      </c>
      <c r="E119" s="125" t="n">
        <v>28</v>
      </c>
      <c r="F119" s="124" t="n">
        <v>74.8</v>
      </c>
      <c r="G119" s="17" t="n">
        <v>23</v>
      </c>
      <c r="H119" s="126" t="n">
        <v>232</v>
      </c>
      <c r="I119" s="127" t="n">
        <v>36000</v>
      </c>
      <c r="J119" s="127" t="inlineStr">
        <is>
          <t>5</t>
        </is>
      </c>
      <c r="K119" s="127" t="n">
        <v>28000</v>
      </c>
      <c r="L119" s="127" t="inlineStr">
        <is>
          <t>14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n">
        <v>94</v>
      </c>
      <c r="U119" s="9" t="n"/>
    </row>
    <row r="120" ht="12" customFormat="1" customHeight="1" s="38">
      <c r="A120" s="114" t="inlineStr">
        <is>
          <t>쌍용동 월봉일성5차</t>
        </is>
      </c>
      <c r="B120" s="115" t="inlineStr">
        <is>
          <t>99.05.</t>
        </is>
      </c>
      <c r="C120" s="123" t="n">
        <v>765</v>
      </c>
      <c r="D120" s="124" t="n">
        <v>137.1</v>
      </c>
      <c r="E120" s="125" t="n">
        <v>41</v>
      </c>
      <c r="F120" s="124" t="n">
        <v>114.7</v>
      </c>
      <c r="G120" s="17" t="n">
        <v>35</v>
      </c>
      <c r="H120" s="126" t="n">
        <v>89</v>
      </c>
      <c r="I120" s="127" t="n">
        <v>36000</v>
      </c>
      <c r="J120" s="127" t="inlineStr">
        <is>
          <t>11</t>
        </is>
      </c>
      <c r="K120" s="127" t="n">
        <v>28000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n">
        <v>137</v>
      </c>
      <c r="U120" s="9" t="n"/>
    </row>
    <row r="121" ht="12" customFormat="1" customHeight="1" s="38">
      <c r="A121" s="114" t="inlineStr">
        <is>
          <t>차암동 천안스마일시티효성해링턴플레이스</t>
        </is>
      </c>
      <c r="B121" s="115" t="inlineStr">
        <is>
          <t>16.01.</t>
        </is>
      </c>
      <c r="C121" s="123" t="n">
        <v>1318</v>
      </c>
      <c r="D121" s="124" t="n">
        <v>99.09999999999999</v>
      </c>
      <c r="E121" s="125" t="n">
        <v>30</v>
      </c>
      <c r="F121" s="124" t="n">
        <v>74.59999999999999</v>
      </c>
      <c r="G121" s="17" t="n">
        <v>23</v>
      </c>
      <c r="H121" s="126" t="n">
        <v>359</v>
      </c>
      <c r="I121" s="127" t="n">
        <v>36000</v>
      </c>
      <c r="J121" s="127" t="inlineStr">
        <is>
          <t>10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n">
        <v>99</v>
      </c>
      <c r="U121" s="9" t="n"/>
    </row>
    <row r="122" ht="12" customFormat="1" customHeight="1" s="38">
      <c r="A122" s="114" t="inlineStr">
        <is>
          <t>두정동 천안두정역푸르지오</t>
        </is>
      </c>
      <c r="B122" s="115" t="inlineStr">
        <is>
          <t>09.11.</t>
        </is>
      </c>
      <c r="C122" s="123" t="n">
        <v>937</v>
      </c>
      <c r="D122" s="124" t="n">
        <v>101.8</v>
      </c>
      <c r="E122" s="125" t="n">
        <v>31</v>
      </c>
      <c r="F122" s="124" t="n">
        <v>75.5</v>
      </c>
      <c r="G122" s="17" t="n">
        <v>23</v>
      </c>
      <c r="H122" s="126" t="n">
        <v>118</v>
      </c>
      <c r="I122" s="127" t="n">
        <v>35000</v>
      </c>
      <c r="J122" s="127" t="inlineStr">
        <is>
          <t>21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101A</t>
        </is>
      </c>
      <c r="U122" s="9" t="n"/>
    </row>
    <row r="123" ht="12" customFormat="1" customHeight="1" s="38">
      <c r="A123" s="114" t="inlineStr">
        <is>
          <t>두정동 두정역코아루스위트</t>
        </is>
      </c>
      <c r="B123" s="115" t="inlineStr">
        <is>
          <t>14.10.</t>
        </is>
      </c>
      <c r="C123" s="123" t="n">
        <v>481</v>
      </c>
      <c r="D123" s="124" t="n">
        <v>110.1</v>
      </c>
      <c r="E123" s="125" t="n">
        <v>33</v>
      </c>
      <c r="F123" s="124" t="n">
        <v>84.90000000000001</v>
      </c>
      <c r="G123" s="17" t="n">
        <v>26</v>
      </c>
      <c r="H123" s="126" t="n">
        <v>88</v>
      </c>
      <c r="I123" s="127" t="n">
        <v>35000</v>
      </c>
      <c r="J123" s="127" t="inlineStr">
        <is>
          <t>13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4" t="inlineStr">
        <is>
          <t>직산읍 한양수자인비다펠리즈</t>
        </is>
      </c>
      <c r="B124" s="115" t="inlineStr">
        <is>
          <t>19.05.</t>
        </is>
      </c>
      <c r="C124" s="123" t="n">
        <v>387</v>
      </c>
      <c r="D124" s="124" t="n">
        <v>97.09999999999999</v>
      </c>
      <c r="E124" s="125" t="n">
        <v>29</v>
      </c>
      <c r="F124" s="124" t="n">
        <v>70</v>
      </c>
      <c r="G124" s="17" t="n">
        <v>21</v>
      </c>
      <c r="H124" s="126" t="n">
        <v>97</v>
      </c>
      <c r="I124" s="127" t="n">
        <v>35000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97</v>
      </c>
      <c r="U124" s="9" t="n"/>
    </row>
    <row r="125" ht="12" customFormat="1" customHeight="1" s="38">
      <c r="A125" s="114" t="inlineStr">
        <is>
          <t>쌍용동 쌍용동일하이빌</t>
        </is>
      </c>
      <c r="B125" s="115" t="inlineStr">
        <is>
          <t>07.04.</t>
        </is>
      </c>
      <c r="C125" s="123" t="n">
        <v>523</v>
      </c>
      <c r="D125" s="124" t="n">
        <v>117.3</v>
      </c>
      <c r="E125" s="125" t="n">
        <v>35</v>
      </c>
      <c r="F125" s="124" t="n">
        <v>85</v>
      </c>
      <c r="G125" s="17" t="n">
        <v>26</v>
      </c>
      <c r="H125" s="126" t="n">
        <v>182</v>
      </c>
      <c r="I125" s="127" t="n">
        <v>34500</v>
      </c>
      <c r="J125" s="127" t="inlineStr">
        <is>
          <t>13</t>
        </is>
      </c>
      <c r="K125" s="127" t="n">
        <v>30000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117A</t>
        </is>
      </c>
      <c r="U125" s="9" t="n"/>
    </row>
    <row r="126" ht="12" customFormat="1" customHeight="1" s="38">
      <c r="A126" s="114" t="inlineStr">
        <is>
          <t>신당동 e편한세상천안부성</t>
        </is>
      </c>
      <c r="B126" s="115" t="inlineStr">
        <is>
          <t>18.02.</t>
        </is>
      </c>
      <c r="C126" s="123" t="n">
        <v>609</v>
      </c>
      <c r="D126" s="124" t="n">
        <v>95.8</v>
      </c>
      <c r="E126" s="125" t="n">
        <v>29</v>
      </c>
      <c r="F126" s="124" t="n">
        <v>72.90000000000001</v>
      </c>
      <c r="G126" s="17" t="n">
        <v>22</v>
      </c>
      <c r="H126" s="126" t="n">
        <v>158</v>
      </c>
      <c r="I126" s="127" t="n">
        <v>34000</v>
      </c>
      <c r="J126" s="127" t="inlineStr">
        <is>
          <t>11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95A</t>
        </is>
      </c>
      <c r="U126" s="9" t="n"/>
    </row>
    <row r="127" ht="12" customFormat="1" customHeight="1" s="38">
      <c r="A127" s="114" t="inlineStr">
        <is>
          <t>쌍용동 쌍용자이</t>
        </is>
      </c>
      <c r="B127" s="115" t="inlineStr">
        <is>
          <t>07.01.</t>
        </is>
      </c>
      <c r="C127" s="123" t="n">
        <v>564</v>
      </c>
      <c r="D127" s="124" t="n">
        <v>112.2</v>
      </c>
      <c r="E127" s="125" t="n">
        <v>34</v>
      </c>
      <c r="F127" s="124" t="n">
        <v>84.8</v>
      </c>
      <c r="G127" s="17" t="n">
        <v>26</v>
      </c>
      <c r="H127" s="126" t="n">
        <v>295</v>
      </c>
      <c r="I127" s="127" t="n">
        <v>34000</v>
      </c>
      <c r="J127" s="127" t="inlineStr">
        <is>
          <t>8</t>
        </is>
      </c>
      <c r="K127" s="127" t="n">
        <v>32000</v>
      </c>
      <c r="L127" s="127" t="inlineStr">
        <is>
          <t>10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n">
        <v>112</v>
      </c>
      <c r="U127" s="9" t="n"/>
    </row>
    <row r="128" ht="12" customFormat="1" customHeight="1" s="38">
      <c r="A128" s="114" t="inlineStr">
        <is>
          <t>차암동 e편한세상스마일시티2차</t>
        </is>
      </c>
      <c r="B128" s="115" t="inlineStr">
        <is>
          <t>16.08.</t>
        </is>
      </c>
      <c r="C128" s="123" t="n">
        <v>1269</v>
      </c>
      <c r="D128" s="124" t="n">
        <v>99.09999999999999</v>
      </c>
      <c r="E128" s="125" t="n">
        <v>30</v>
      </c>
      <c r="F128" s="124" t="n">
        <v>74.90000000000001</v>
      </c>
      <c r="G128" s="17" t="n">
        <v>23</v>
      </c>
      <c r="H128" s="126" t="n">
        <v>388</v>
      </c>
      <c r="I128" s="127" t="n">
        <v>34000</v>
      </c>
      <c r="J128" s="127" t="inlineStr">
        <is>
          <t>15</t>
        </is>
      </c>
      <c r="K128" s="127" t="n">
        <v>28500</v>
      </c>
      <c r="L128" s="127" t="inlineStr">
        <is>
          <t>17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n">
        <v>99</v>
      </c>
      <c r="U128" s="9" t="n"/>
    </row>
    <row r="129" ht="12" customFormat="1" customHeight="1" s="38">
      <c r="A129" s="114" t="inlineStr">
        <is>
          <t>두정동 두정푸르지오4차</t>
        </is>
      </c>
      <c r="B129" s="115" t="inlineStr">
        <is>
          <t>03.11.</t>
        </is>
      </c>
      <c r="C129" s="123" t="n">
        <v>384</v>
      </c>
      <c r="D129" s="124" t="n">
        <v>130.8</v>
      </c>
      <c r="E129" s="125" t="n">
        <v>40</v>
      </c>
      <c r="F129" s="124" t="n">
        <v>101.8</v>
      </c>
      <c r="G129" s="17" t="n">
        <v>31</v>
      </c>
      <c r="H129" s="126" t="n">
        <v>60</v>
      </c>
      <c r="I129" s="127" t="n">
        <v>33000</v>
      </c>
      <c r="J129" s="127" t="inlineStr">
        <is>
          <t>5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130</v>
      </c>
      <c r="U129" s="9" t="n"/>
    </row>
    <row r="130" ht="12" customFormat="1" customHeight="1" s="38">
      <c r="A130" s="114" t="inlineStr">
        <is>
          <t>쌍용동 현대아이파크홈타운6차1단지</t>
        </is>
      </c>
      <c r="B130" s="115" t="inlineStr">
        <is>
          <t>04.05.</t>
        </is>
      </c>
      <c r="C130" s="123" t="n">
        <v>1316</v>
      </c>
      <c r="D130" s="124" t="n">
        <v>112.7</v>
      </c>
      <c r="E130" s="125" t="n">
        <v>34</v>
      </c>
      <c r="F130" s="124" t="n">
        <v>84.7</v>
      </c>
      <c r="G130" s="17" t="n">
        <v>26</v>
      </c>
      <c r="H130" s="126" t="n">
        <v>716</v>
      </c>
      <c r="I130" s="127" t="n">
        <v>33000</v>
      </c>
      <c r="J130" s="127" t="inlineStr">
        <is>
          <t>11</t>
        </is>
      </c>
      <c r="K130" s="127" t="n">
        <v>29500</v>
      </c>
      <c r="L130" s="127" t="inlineStr">
        <is>
          <t>13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112</v>
      </c>
      <c r="U130" s="9" t="n"/>
    </row>
    <row r="131" ht="12" customFormat="1" customHeight="1" s="38">
      <c r="A131" s="114" t="inlineStr">
        <is>
          <t>쌍용동 천안쌍용역코오롱하늘채</t>
        </is>
      </c>
      <c r="B131" s="115" t="inlineStr">
        <is>
          <t>18.05.</t>
        </is>
      </c>
      <c r="C131" s="123" t="n">
        <v>454</v>
      </c>
      <c r="D131" s="124" t="n">
        <v>81.3</v>
      </c>
      <c r="E131" s="125" t="n">
        <v>25</v>
      </c>
      <c r="F131" s="124" t="n">
        <v>59.9</v>
      </c>
      <c r="G131" s="17" t="n">
        <v>18</v>
      </c>
      <c r="H131" s="126" t="n">
        <v>274</v>
      </c>
      <c r="I131" s="127" t="n">
        <v>33000</v>
      </c>
      <c r="J131" s="127" t="inlineStr">
        <is>
          <t>9</t>
        </is>
      </c>
      <c r="K131" s="127" t="n">
        <v>28000</v>
      </c>
      <c r="L131" s="127" t="inlineStr">
        <is>
          <t>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81</v>
      </c>
      <c r="U131" s="9" t="n"/>
    </row>
    <row r="132" ht="12" customFormat="1" customHeight="1" s="38">
      <c r="A132" s="114" t="inlineStr">
        <is>
          <t>차암동 e편한세상스마일시티</t>
        </is>
      </c>
      <c r="B132" s="115" t="inlineStr">
        <is>
          <t>15.03.</t>
        </is>
      </c>
      <c r="C132" s="123" t="n">
        <v>1024</v>
      </c>
      <c r="D132" s="124" t="n">
        <v>97.2</v>
      </c>
      <c r="E132" s="125" t="n">
        <v>29</v>
      </c>
      <c r="F132" s="124" t="n">
        <v>73</v>
      </c>
      <c r="G132" s="17" t="n">
        <v>22</v>
      </c>
      <c r="H132" s="126" t="n">
        <v>137</v>
      </c>
      <c r="I132" s="127" t="n">
        <v>33000</v>
      </c>
      <c r="J132" s="127" t="inlineStr">
        <is>
          <t>23</t>
        </is>
      </c>
      <c r="K132" s="127" t="n">
        <v>30000</v>
      </c>
      <c r="L132" s="127" t="inlineStr">
        <is>
          <t>24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97A</t>
        </is>
      </c>
      <c r="U132" s="9" t="n"/>
    </row>
    <row r="133" ht="12" customFormat="1" customHeight="1" s="38">
      <c r="A133" s="114" t="inlineStr">
        <is>
          <t>백석동 천안브라운스톤</t>
        </is>
      </c>
      <c r="B133" s="115" t="inlineStr">
        <is>
          <t>06.05.</t>
        </is>
      </c>
      <c r="C133" s="123" t="n">
        <v>901</v>
      </c>
      <c r="D133" s="124" t="n">
        <v>135.4</v>
      </c>
      <c r="E133" s="125" t="n">
        <v>41</v>
      </c>
      <c r="F133" s="124" t="n">
        <v>109</v>
      </c>
      <c r="G133" s="17" t="n">
        <v>33</v>
      </c>
      <c r="H133" s="126" t="n">
        <v>296</v>
      </c>
      <c r="I133" s="127" t="n">
        <v>32500</v>
      </c>
      <c r="J133" s="127" t="inlineStr">
        <is>
          <t>13</t>
        </is>
      </c>
      <c r="K133" s="127" t="n">
        <v>31000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n">
        <v>135</v>
      </c>
      <c r="U133" s="9" t="n"/>
    </row>
    <row r="134" ht="12" customFormat="1" customHeight="1" s="38">
      <c r="A134" s="114" t="inlineStr">
        <is>
          <t>두정동 e편한세상두정4차</t>
        </is>
      </c>
      <c r="B134" s="115" t="inlineStr">
        <is>
          <t>18.10.</t>
        </is>
      </c>
      <c r="C134" s="123" t="n">
        <v>456</v>
      </c>
      <c r="D134" s="124" t="n">
        <v>88.2</v>
      </c>
      <c r="E134" s="125" t="n">
        <v>27</v>
      </c>
      <c r="F134" s="124" t="n">
        <v>62.6</v>
      </c>
      <c r="G134" s="17" t="n">
        <v>19</v>
      </c>
      <c r="H134" s="126" t="n">
        <v>196</v>
      </c>
      <c r="I134" s="127" t="n">
        <v>32000</v>
      </c>
      <c r="J134" s="127" t="inlineStr">
        <is>
          <t>8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88B</t>
        </is>
      </c>
      <c r="U134" s="9" t="n"/>
    </row>
    <row r="135" ht="12" customFormat="1" customHeight="1" s="38">
      <c r="A135" s="114" t="inlineStr">
        <is>
          <t>백석동 호반리젠시빌1차</t>
        </is>
      </c>
      <c r="B135" s="115" t="inlineStr">
        <is>
          <t>03.12.</t>
        </is>
      </c>
      <c r="C135" s="123" t="n">
        <v>534</v>
      </c>
      <c r="D135" s="124" t="n">
        <v>122.8</v>
      </c>
      <c r="E135" s="125" t="n">
        <v>37</v>
      </c>
      <c r="F135" s="124" t="n">
        <v>85</v>
      </c>
      <c r="G135" s="17" t="n">
        <v>26</v>
      </c>
      <c r="H135" s="126" t="n">
        <v>504</v>
      </c>
      <c r="I135" s="127" t="n">
        <v>32000</v>
      </c>
      <c r="J135" s="127" t="inlineStr">
        <is>
          <t>중</t>
        </is>
      </c>
      <c r="K135" s="127" t="n">
        <v>26000</v>
      </c>
      <c r="L135" s="127" t="inlineStr">
        <is>
          <t>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122A</t>
        </is>
      </c>
      <c r="U135" s="9" t="n"/>
    </row>
    <row r="136" ht="12" customFormat="1" customHeight="1" s="38">
      <c r="A136" s="114" t="inlineStr">
        <is>
          <t>두정동 두정대우2차</t>
        </is>
      </c>
      <c r="B136" s="115" t="inlineStr">
        <is>
          <t>98.12.</t>
        </is>
      </c>
      <c r="C136" s="123" t="n">
        <v>323</v>
      </c>
      <c r="D136" s="124" t="n">
        <v>139.4</v>
      </c>
      <c r="E136" s="125" t="n">
        <v>42</v>
      </c>
      <c r="F136" s="124" t="n">
        <v>117</v>
      </c>
      <c r="G136" s="17" t="n">
        <v>35</v>
      </c>
      <c r="H136" s="126" t="n">
        <v>59</v>
      </c>
      <c r="I136" s="127" t="n">
        <v>31000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139</v>
      </c>
      <c r="U136" s="9" t="n"/>
    </row>
    <row r="137" ht="12" customFormat="1" customHeight="1" s="38">
      <c r="A137" s="114" t="inlineStr">
        <is>
          <t>두정동 한성필하우스3차</t>
        </is>
      </c>
      <c r="B137" s="115" t="inlineStr">
        <is>
          <t>04.10.</t>
        </is>
      </c>
      <c r="C137" s="123" t="n">
        <v>832</v>
      </c>
      <c r="D137" s="124" t="n">
        <v>95.90000000000001</v>
      </c>
      <c r="E137" s="125" t="n">
        <v>29</v>
      </c>
      <c r="F137" s="124" t="n">
        <v>74.8</v>
      </c>
      <c r="G137" s="17" t="n">
        <v>23</v>
      </c>
      <c r="H137" s="126" t="n">
        <v>30</v>
      </c>
      <c r="I137" s="127" t="n">
        <v>31000</v>
      </c>
      <c r="J137" s="127" t="inlineStr">
        <is>
          <t>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95</v>
      </c>
      <c r="U137" s="9" t="n"/>
    </row>
    <row r="138" ht="12" customFormat="1" customHeight="1" s="38">
      <c r="A138" s="114" t="inlineStr">
        <is>
          <t>두정동 한성필하우스3차</t>
        </is>
      </c>
      <c r="B138" s="115" t="inlineStr">
        <is>
          <t>04.10.</t>
        </is>
      </c>
      <c r="C138" s="123" t="n">
        <v>832</v>
      </c>
      <c r="D138" s="124" t="n">
        <v>108</v>
      </c>
      <c r="E138" s="125" t="n">
        <v>33</v>
      </c>
      <c r="F138" s="124" t="n">
        <v>84.90000000000001</v>
      </c>
      <c r="G138" s="17" t="n">
        <v>26</v>
      </c>
      <c r="H138" s="126" t="n">
        <v>442</v>
      </c>
      <c r="I138" s="127" t="n">
        <v>31000</v>
      </c>
      <c r="J138" s="127" t="inlineStr">
        <is>
          <t>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107</v>
      </c>
      <c r="U138" s="9" t="n"/>
    </row>
    <row r="139" ht="12" customFormat="1" customHeight="1" s="38">
      <c r="A139" s="114" t="inlineStr">
        <is>
          <t>두정동 두정역효성해링턴플레이스</t>
        </is>
      </c>
      <c r="B139" s="115" t="inlineStr">
        <is>
          <t>20.04.</t>
        </is>
      </c>
      <c r="C139" s="123" t="n">
        <v>2586</v>
      </c>
      <c r="D139" s="124" t="n">
        <v>74.5</v>
      </c>
      <c r="E139" s="125" t="n">
        <v>23</v>
      </c>
      <c r="F139" s="124" t="n">
        <v>51.9</v>
      </c>
      <c r="G139" s="17" t="n">
        <v>16</v>
      </c>
      <c r="H139" s="126" t="n">
        <v>240</v>
      </c>
      <c r="I139" s="127" t="n">
        <v>31000</v>
      </c>
      <c r="J139" s="127" t="inlineStr">
        <is>
          <t>고</t>
        </is>
      </c>
      <c r="K139" s="127" t="n">
        <v>25000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inlineStr">
        <is>
          <t>74A</t>
        </is>
      </c>
      <c r="U139" s="9" t="n"/>
    </row>
    <row r="140" ht="12" customFormat="1" customHeight="1" s="38">
      <c r="A140" s="114" t="inlineStr">
        <is>
          <t>두정동 서해그랑블</t>
        </is>
      </c>
      <c r="B140" s="115" t="inlineStr">
        <is>
          <t>04.04.</t>
        </is>
      </c>
      <c r="C140" s="123" t="n">
        <v>320</v>
      </c>
      <c r="D140" s="124" t="n">
        <v>128.2</v>
      </c>
      <c r="E140" s="125" t="n">
        <v>39</v>
      </c>
      <c r="F140" s="124" t="n">
        <v>106.1</v>
      </c>
      <c r="G140" s="17" t="n">
        <v>32</v>
      </c>
      <c r="H140" s="126" t="n">
        <v>100</v>
      </c>
      <c r="I140" s="127" t="n">
        <v>30000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2</v>
      </c>
      <c r="S140" s="111" t="inlineStr">
        <is>
          <t>계</t>
        </is>
      </c>
      <c r="T140" s="5" t="n">
        <v>128</v>
      </c>
      <c r="U140" s="9" t="n"/>
    </row>
    <row r="141" ht="12" customFormat="1" customHeight="1" s="38">
      <c r="A141" s="114" t="inlineStr">
        <is>
          <t>백석동 그린빌2차</t>
        </is>
      </c>
      <c r="B141" s="115" t="inlineStr">
        <is>
          <t>04.07.</t>
        </is>
      </c>
      <c r="C141" s="123" t="n">
        <v>750</v>
      </c>
      <c r="D141" s="124" t="n">
        <v>108</v>
      </c>
      <c r="E141" s="125" t="n">
        <v>33</v>
      </c>
      <c r="F141" s="124" t="n">
        <v>84.7</v>
      </c>
      <c r="G141" s="17" t="n">
        <v>26</v>
      </c>
      <c r="H141" s="126" t="n">
        <v>521</v>
      </c>
      <c r="I141" s="127" t="n">
        <v>30000</v>
      </c>
      <c r="J141" s="127" t="inlineStr">
        <is>
          <t>5</t>
        </is>
      </c>
      <c r="K141" s="127" t="n">
        <v>27000</v>
      </c>
      <c r="L141" s="127" t="inlineStr">
        <is>
          <t>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108</v>
      </c>
      <c r="U141" s="9" t="n"/>
    </row>
    <row r="142" ht="12" customFormat="1" customHeight="1" s="38">
      <c r="A142" s="114" t="inlineStr">
        <is>
          <t>백석동 호반리젠시빌2차</t>
        </is>
      </c>
      <c r="B142" s="115" t="inlineStr">
        <is>
          <t>03.12.</t>
        </is>
      </c>
      <c r="C142" s="123" t="n">
        <v>399</v>
      </c>
      <c r="D142" s="124" t="n">
        <v>123.3</v>
      </c>
      <c r="E142" s="125" t="n">
        <v>37</v>
      </c>
      <c r="F142" s="124" t="n">
        <v>85</v>
      </c>
      <c r="G142" s="17" t="n">
        <v>26</v>
      </c>
      <c r="H142" s="126" t="n">
        <v>299</v>
      </c>
      <c r="I142" s="127" t="n">
        <v>30000</v>
      </c>
      <c r="J142" s="127" t="inlineStr">
        <is>
          <t>5</t>
        </is>
      </c>
      <c r="K142" s="127" t="n">
        <v>30000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123</v>
      </c>
      <c r="U142" s="9" t="n"/>
    </row>
    <row r="143" ht="12" customFormat="1" customHeight="1" s="38">
      <c r="A143" s="114" t="inlineStr">
        <is>
          <t>성거읍 직산역꿈에그린</t>
        </is>
      </c>
      <c r="B143" s="115" t="inlineStr">
        <is>
          <t>19.01.</t>
        </is>
      </c>
      <c r="C143" s="123" t="n">
        <v>416</v>
      </c>
      <c r="D143" s="124" t="n">
        <v>93.90000000000001</v>
      </c>
      <c r="E143" s="125" t="n">
        <v>28</v>
      </c>
      <c r="F143" s="124" t="n">
        <v>72.5</v>
      </c>
      <c r="G143" s="17" t="n">
        <v>22</v>
      </c>
      <c r="H143" s="126" t="n">
        <v>192</v>
      </c>
      <c r="I143" s="127" t="n">
        <v>30000</v>
      </c>
      <c r="J143" s="127" t="inlineStr">
        <is>
          <t>5</t>
        </is>
      </c>
      <c r="K143" s="127" t="n">
        <v>28000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93</v>
      </c>
      <c r="U143" s="9" t="n"/>
    </row>
    <row r="144" ht="12" customFormat="1" customHeight="1" s="38">
      <c r="A144" s="114" t="inlineStr">
        <is>
          <t>쌍용동 현대3차</t>
        </is>
      </c>
      <c r="B144" s="115" t="inlineStr">
        <is>
          <t>94.12.</t>
        </is>
      </c>
      <c r="C144" s="123" t="n">
        <v>378</v>
      </c>
      <c r="D144" s="124" t="n">
        <v>150.3</v>
      </c>
      <c r="E144" s="125" t="n">
        <v>45</v>
      </c>
      <c r="F144" s="124" t="n">
        <v>117.7</v>
      </c>
      <c r="G144" s="17" t="n">
        <v>36</v>
      </c>
      <c r="H144" s="126" t="n">
        <v>36</v>
      </c>
      <c r="I144" s="127" t="n">
        <v>30000</v>
      </c>
      <c r="J144" s="127" t="inlineStr">
        <is>
          <t>12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복</t>
        </is>
      </c>
      <c r="T144" s="5" t="n">
        <v>150</v>
      </c>
      <c r="U144" s="9" t="n"/>
    </row>
    <row r="145" ht="12" customFormat="1" customHeight="1" s="38">
      <c r="A145" s="114" t="inlineStr">
        <is>
          <t>와촌동 신동아파밀리에</t>
        </is>
      </c>
      <c r="B145" s="115" t="inlineStr">
        <is>
          <t>05.03.</t>
        </is>
      </c>
      <c r="C145" s="123" t="n">
        <v>621</v>
      </c>
      <c r="D145" s="124" t="n">
        <v>108.6</v>
      </c>
      <c r="E145" s="125" t="n">
        <v>33</v>
      </c>
      <c r="F145" s="124" t="n">
        <v>85</v>
      </c>
      <c r="G145" s="17" t="n">
        <v>26</v>
      </c>
      <c r="H145" s="126" t="n">
        <v>441</v>
      </c>
      <c r="I145" s="127" t="n">
        <v>30000</v>
      </c>
      <c r="J145" s="127" t="inlineStr">
        <is>
          <t>6</t>
        </is>
      </c>
      <c r="K145" s="127" t="n">
        <v>19000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108</v>
      </c>
      <c r="U145" s="9" t="n"/>
    </row>
    <row r="146" ht="12" customFormat="1" customHeight="1" s="38">
      <c r="A146" s="114" t="inlineStr">
        <is>
          <t>차암동 천안한화꿈에그린스마일시티</t>
        </is>
      </c>
      <c r="B146" s="115" t="inlineStr">
        <is>
          <t>14.10.</t>
        </is>
      </c>
      <c r="C146" s="123" t="n">
        <v>1052</v>
      </c>
      <c r="D146" s="124" t="n">
        <v>110.9</v>
      </c>
      <c r="E146" s="125" t="n">
        <v>34</v>
      </c>
      <c r="F146" s="124" t="n">
        <v>85</v>
      </c>
      <c r="G146" s="17" t="n">
        <v>26</v>
      </c>
      <c r="H146" s="126" t="n">
        <v>620</v>
      </c>
      <c r="I146" s="127" t="n">
        <v>30000</v>
      </c>
      <c r="J146" s="127" t="inlineStr">
        <is>
          <t>10</t>
        </is>
      </c>
      <c r="K146" s="127" t="n">
        <v>29000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110</v>
      </c>
      <c r="U146" s="9" t="n"/>
    </row>
    <row r="147" ht="12" customFormat="1" customHeight="1" s="38">
      <c r="A147" s="114" t="inlineStr">
        <is>
          <t>차암동 e편한세상스마일시티2차</t>
        </is>
      </c>
      <c r="B147" s="115" t="inlineStr">
        <is>
          <t>16.08.</t>
        </is>
      </c>
      <c r="C147" s="123" t="n">
        <v>1269</v>
      </c>
      <c r="D147" s="124" t="n">
        <v>83.5</v>
      </c>
      <c r="E147" s="125" t="n">
        <v>25</v>
      </c>
      <c r="F147" s="124" t="n">
        <v>60</v>
      </c>
      <c r="G147" s="17" t="n">
        <v>18</v>
      </c>
      <c r="H147" s="126" t="n">
        <v>613</v>
      </c>
      <c r="I147" s="127" t="n">
        <v>30000</v>
      </c>
      <c r="J147" s="127" t="inlineStr">
        <is>
          <t>22</t>
        </is>
      </c>
      <c r="K147" s="127" t="n">
        <v>26500</v>
      </c>
      <c r="L147" s="127" t="inlineStr">
        <is>
          <t>19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n">
        <v>83</v>
      </c>
      <c r="U147" s="9" t="n"/>
    </row>
    <row r="148" ht="12" customFormat="1" customHeight="1" s="38">
      <c r="A148" s="114" t="inlineStr">
        <is>
          <t>차암동 천안한화꿈에그린스마일시티</t>
        </is>
      </c>
      <c r="B148" s="115" t="inlineStr">
        <is>
          <t>14.10.</t>
        </is>
      </c>
      <c r="C148" s="123" t="n">
        <v>1052</v>
      </c>
      <c r="D148" s="124" t="n">
        <v>98.2</v>
      </c>
      <c r="E148" s="125" t="n">
        <v>30</v>
      </c>
      <c r="F148" s="124" t="n">
        <v>74.59999999999999</v>
      </c>
      <c r="G148" s="17" t="n">
        <v>23</v>
      </c>
      <c r="H148" s="126" t="n">
        <v>264</v>
      </c>
      <c r="I148" s="127" t="n">
        <v>29900</v>
      </c>
      <c r="J148" s="127" t="inlineStr">
        <is>
          <t>9</t>
        </is>
      </c>
      <c r="K148" s="127" t="n">
        <v>33000</v>
      </c>
      <c r="L148" s="127" t="inlineStr">
        <is>
          <t>20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98</v>
      </c>
      <c r="U148" s="9" t="n"/>
    </row>
    <row r="149" ht="12" customFormat="1" customHeight="1" s="38">
      <c r="A149" s="114" t="inlineStr">
        <is>
          <t>쌍용동 대우타워</t>
        </is>
      </c>
      <c r="B149" s="115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4</v>
      </c>
      <c r="R149" s="111" t="n">
        <v>2</v>
      </c>
      <c r="S149" s="111" t="inlineStr">
        <is>
          <t>계</t>
        </is>
      </c>
      <c r="T149" s="5" t="n">
        <v>158</v>
      </c>
      <c r="U149" s="9" t="n"/>
    </row>
    <row r="150" ht="12" customFormat="1" customHeight="1" s="38">
      <c r="A150" s="114" t="inlineStr">
        <is>
          <t>두정동 계룡리슈빌</t>
        </is>
      </c>
      <c r="B150" s="115" t="inlineStr">
        <is>
          <t>04.03.</t>
        </is>
      </c>
      <c r="C150" s="123" t="n">
        <v>386</v>
      </c>
      <c r="D150" s="124" t="n">
        <v>113</v>
      </c>
      <c r="E150" s="125" t="n">
        <v>34</v>
      </c>
      <c r="F150" s="124" t="n">
        <v>84.90000000000001</v>
      </c>
      <c r="G150" s="17" t="n">
        <v>26</v>
      </c>
      <c r="H150" s="126" t="n">
        <v>268</v>
      </c>
      <c r="I150" s="127" t="n">
        <v>29000</v>
      </c>
      <c r="J150" s="127" t="inlineStr">
        <is>
          <t>중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112</v>
      </c>
      <c r="U150" s="9" t="n"/>
    </row>
    <row r="151" ht="12" customFormat="1" customHeight="1" s="38">
      <c r="A151" s="114" t="inlineStr">
        <is>
          <t>두정동 천안두정푸르지오5차</t>
        </is>
      </c>
      <c r="B151" s="115" t="inlineStr">
        <is>
          <t>04.04.</t>
        </is>
      </c>
      <c r="C151" s="123" t="n">
        <v>392</v>
      </c>
      <c r="D151" s="124" t="n">
        <v>112.6</v>
      </c>
      <c r="E151" s="125" t="n">
        <v>34</v>
      </c>
      <c r="F151" s="124" t="n">
        <v>84.7</v>
      </c>
      <c r="G151" s="17" t="n">
        <v>26</v>
      </c>
      <c r="H151" s="126" t="n">
        <v>252</v>
      </c>
      <c r="I151" s="127" t="n">
        <v>29000</v>
      </c>
      <c r="J151" s="127" t="inlineStr">
        <is>
          <t>중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112</v>
      </c>
      <c r="U151" s="9" t="n"/>
    </row>
    <row r="152" ht="12" customFormat="1" customHeight="1" s="38">
      <c r="A152" s="114" t="inlineStr">
        <is>
          <t>백석동 천안브라운스톤</t>
        </is>
      </c>
      <c r="B152" s="115" t="inlineStr">
        <is>
          <t>06.05.</t>
        </is>
      </c>
      <c r="C152" s="123" t="n">
        <v>901</v>
      </c>
      <c r="D152" s="124" t="n">
        <v>110.6</v>
      </c>
      <c r="E152" s="125" t="n">
        <v>33</v>
      </c>
      <c r="F152" s="124" t="n">
        <v>85</v>
      </c>
      <c r="G152" s="17" t="n">
        <v>26</v>
      </c>
      <c r="H152" s="126" t="n">
        <v>463</v>
      </c>
      <c r="I152" s="127" t="n">
        <v>29000</v>
      </c>
      <c r="J152" s="127" t="inlineStr">
        <is>
          <t>8</t>
        </is>
      </c>
      <c r="K152" s="127" t="n">
        <v>27500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n">
        <v>110</v>
      </c>
      <c r="U152" s="9" t="n"/>
    </row>
    <row r="153" ht="12" customFormat="1" customHeight="1" s="38">
      <c r="A153" s="114" t="inlineStr">
        <is>
          <t>백석동 주공그린빌</t>
        </is>
      </c>
      <c r="B153" s="115" t="inlineStr">
        <is>
          <t>02.12.</t>
        </is>
      </c>
      <c r="C153" s="123" t="n">
        <v>510</v>
      </c>
      <c r="D153" s="124" t="n">
        <v>106.7</v>
      </c>
      <c r="E153" s="125" t="n">
        <v>32</v>
      </c>
      <c r="F153" s="124" t="n">
        <v>85</v>
      </c>
      <c r="G153" s="17" t="n">
        <v>26</v>
      </c>
      <c r="H153" s="126" t="n">
        <v>211</v>
      </c>
      <c r="I153" s="127" t="n">
        <v>29000</v>
      </c>
      <c r="J153" s="127" t="inlineStr">
        <is>
          <t>8</t>
        </is>
      </c>
      <c r="K153" s="127" t="n">
        <v>25000</v>
      </c>
      <c r="L153" s="127" t="inlineStr">
        <is>
          <t>12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106B</t>
        </is>
      </c>
      <c r="U153" s="9" t="n"/>
    </row>
    <row r="154" ht="12" customFormat="1" customHeight="1" s="38">
      <c r="A154" s="114" t="inlineStr">
        <is>
          <t>직산읍 한양수자인비다펠리즈</t>
        </is>
      </c>
      <c r="B154" s="115" t="inlineStr">
        <is>
          <t>19.05.</t>
        </is>
      </c>
      <c r="C154" s="123" t="n">
        <v>387</v>
      </c>
      <c r="D154" s="124" t="n">
        <v>90.7</v>
      </c>
      <c r="E154" s="125" t="n">
        <v>27</v>
      </c>
      <c r="F154" s="124" t="n">
        <v>64.5</v>
      </c>
      <c r="G154" s="17" t="n">
        <v>19</v>
      </c>
      <c r="H154" s="126" t="n">
        <v>142</v>
      </c>
      <c r="I154" s="127" t="n">
        <v>29000</v>
      </c>
      <c r="J154" s="127" t="inlineStr">
        <is>
          <t>고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90</v>
      </c>
      <c r="U154" s="9" t="n"/>
    </row>
    <row r="155" ht="12" customFormat="1" customHeight="1" s="38">
      <c r="A155" s="114" t="inlineStr">
        <is>
          <t>직산읍 직산한양수자인아이림</t>
        </is>
      </c>
      <c r="B155" s="115" t="inlineStr">
        <is>
          <t>19.07.</t>
        </is>
      </c>
      <c r="C155" s="123" t="n">
        <v>333</v>
      </c>
      <c r="D155" s="124" t="n">
        <v>91</v>
      </c>
      <c r="E155" s="125" t="n">
        <v>28</v>
      </c>
      <c r="F155" s="124" t="n">
        <v>63.8</v>
      </c>
      <c r="G155" s="17" t="n">
        <v>19</v>
      </c>
      <c r="H155" s="126" t="n">
        <v>130</v>
      </c>
      <c r="I155" s="127" t="n">
        <v>29000</v>
      </c>
      <c r="J155" s="127" t="inlineStr">
        <is>
          <t>5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91</v>
      </c>
      <c r="U155" s="9" t="n"/>
    </row>
    <row r="156" ht="12" customFormat="1" customHeight="1" s="38">
      <c r="A156" s="114" t="inlineStr">
        <is>
          <t>두정동 두정푸르지오4차</t>
        </is>
      </c>
      <c r="B156" s="115" t="inlineStr">
        <is>
          <t>03.11.</t>
        </is>
      </c>
      <c r="C156" s="123" t="n">
        <v>384</v>
      </c>
      <c r="D156" s="124" t="n">
        <v>107</v>
      </c>
      <c r="E156" s="125" t="n">
        <v>32</v>
      </c>
      <c r="F156" s="124" t="n">
        <v>84.90000000000001</v>
      </c>
      <c r="G156" s="17" t="n">
        <v>26</v>
      </c>
      <c r="H156" s="126" t="n">
        <v>179</v>
      </c>
      <c r="I156" s="127" t="n">
        <v>28500</v>
      </c>
      <c r="J156" s="127" t="inlineStr">
        <is>
          <t>14</t>
        </is>
      </c>
      <c r="K156" s="127" t="n">
        <v>25000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106</v>
      </c>
      <c r="U156" s="9" t="n"/>
    </row>
    <row r="157" ht="12" customFormat="1" customHeight="1" s="38">
      <c r="A157" s="114" t="inlineStr">
        <is>
          <t>성환읍 천안성환e-편한세상</t>
        </is>
      </c>
      <c r="B157" s="115" t="inlineStr">
        <is>
          <t>09.09.</t>
        </is>
      </c>
      <c r="C157" s="123" t="n">
        <v>571</v>
      </c>
      <c r="D157" s="124" t="n">
        <v>111.9</v>
      </c>
      <c r="E157" s="125" t="n">
        <v>34</v>
      </c>
      <c r="F157" s="124" t="n">
        <v>84.90000000000001</v>
      </c>
      <c r="G157" s="17" t="n">
        <v>26</v>
      </c>
      <c r="H157" s="126" t="n">
        <v>198</v>
      </c>
      <c r="I157" s="127" t="n">
        <v>28500</v>
      </c>
      <c r="J157" s="127" t="inlineStr">
        <is>
          <t>12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111B</t>
        </is>
      </c>
      <c r="U157" s="9" t="n"/>
    </row>
    <row r="158" ht="12" customFormat="1" customHeight="1" s="38">
      <c r="A158" s="114" t="inlineStr">
        <is>
          <t>두정동 두정e-편한세상</t>
        </is>
      </c>
      <c r="B158" s="115" t="inlineStr">
        <is>
          <t>04.06.</t>
        </is>
      </c>
      <c r="C158" s="123" t="n">
        <v>466</v>
      </c>
      <c r="D158" s="124" t="n">
        <v>107.1</v>
      </c>
      <c r="E158" s="125" t="n">
        <v>32</v>
      </c>
      <c r="F158" s="124" t="n">
        <v>85</v>
      </c>
      <c r="G158" s="17" t="n">
        <v>26</v>
      </c>
      <c r="H158" s="126" t="n">
        <v>407</v>
      </c>
      <c r="I158" s="127" t="n">
        <v>28000</v>
      </c>
      <c r="J158" s="127" t="inlineStr">
        <is>
          <t>15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n">
        <v>107</v>
      </c>
      <c r="U158" s="9" t="n"/>
    </row>
    <row r="159" ht="12" customFormat="1" customHeight="1" s="38">
      <c r="A159" s="114" t="inlineStr">
        <is>
          <t>불당동 대원칸타빌</t>
        </is>
      </c>
      <c r="B159" s="115" t="inlineStr">
        <is>
          <t>04.09.</t>
        </is>
      </c>
      <c r="C159" s="123" t="n">
        <v>1011</v>
      </c>
      <c r="D159" s="124" t="n">
        <v>81</v>
      </c>
      <c r="E159" s="125" t="n">
        <v>25</v>
      </c>
      <c r="F159" s="124" t="n">
        <v>60</v>
      </c>
      <c r="G159" s="17" t="n">
        <v>18</v>
      </c>
      <c r="H159" s="126" t="n">
        <v>150</v>
      </c>
      <c r="I159" s="127" t="n">
        <v>28000</v>
      </c>
      <c r="J159" s="127" t="inlineStr">
        <is>
          <t>5</t>
        </is>
      </c>
      <c r="K159" s="127" t="n">
        <v>27000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n">
        <v>81</v>
      </c>
      <c r="U159" s="9" t="n"/>
    </row>
    <row r="160" ht="12" customFormat="1" customHeight="1" s="38">
      <c r="A160" s="114" t="inlineStr">
        <is>
          <t>차암동 천안스마일시티효성해링턴플레이스</t>
        </is>
      </c>
      <c r="B160" s="115" t="inlineStr">
        <is>
          <t>16.01.</t>
        </is>
      </c>
      <c r="C160" s="123" t="n">
        <v>1318</v>
      </c>
      <c r="D160" s="124" t="n">
        <v>82.2</v>
      </c>
      <c r="E160" s="125" t="n">
        <v>25</v>
      </c>
      <c r="F160" s="124" t="n">
        <v>59.9</v>
      </c>
      <c r="G160" s="17" t="n">
        <v>18</v>
      </c>
      <c r="H160" s="126" t="n">
        <v>359</v>
      </c>
      <c r="I160" s="127" t="n">
        <v>28000</v>
      </c>
      <c r="J160" s="127" t="inlineStr">
        <is>
          <t>고</t>
        </is>
      </c>
      <c r="K160" s="127" t="n">
        <v>26000</v>
      </c>
      <c r="L160" s="127" t="inlineStr">
        <is>
          <t>7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n">
        <v>82</v>
      </c>
      <c r="U160" s="9" t="n"/>
    </row>
    <row r="161" ht="12" customFormat="1" customHeight="1" s="38">
      <c r="A161" s="114" t="inlineStr">
        <is>
          <t>차암동 e편한세상스마일시티</t>
        </is>
      </c>
      <c r="B161" s="115" t="inlineStr">
        <is>
          <t>15.03.</t>
        </is>
      </c>
      <c r="C161" s="123" t="n">
        <v>1024</v>
      </c>
      <c r="D161" s="124" t="n">
        <v>82.5</v>
      </c>
      <c r="E161" s="125" t="n">
        <v>25</v>
      </c>
      <c r="F161" s="124" t="n">
        <v>59.9</v>
      </c>
      <c r="G161" s="17" t="n">
        <v>18</v>
      </c>
      <c r="H161" s="126" t="n">
        <v>298</v>
      </c>
      <c r="I161" s="127" t="n">
        <v>28000</v>
      </c>
      <c r="J161" s="127" t="inlineStr">
        <is>
          <t>10</t>
        </is>
      </c>
      <c r="K161" s="127" t="n">
        <v>24000</v>
      </c>
      <c r="L161" s="127" t="inlineStr">
        <is>
          <t>22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n">
        <v>82</v>
      </c>
      <c r="U161" s="9" t="n"/>
    </row>
    <row r="162" ht="12" customFormat="1" customHeight="1" s="38">
      <c r="A162" s="114" t="inlineStr">
        <is>
          <t>백석동 현대</t>
        </is>
      </c>
      <c r="B162" s="115" t="inlineStr">
        <is>
          <t>92.12.</t>
        </is>
      </c>
      <c r="C162" s="123" t="n">
        <v>976</v>
      </c>
      <c r="D162" s="124" t="n">
        <v>181.2</v>
      </c>
      <c r="E162" s="125" t="n">
        <v>55</v>
      </c>
      <c r="F162" s="124" t="n">
        <v>150.4</v>
      </c>
      <c r="G162" s="17" t="n">
        <v>45</v>
      </c>
      <c r="H162" s="126" t="n">
        <v>76</v>
      </c>
      <c r="I162" s="127" t="n">
        <v>27500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5</v>
      </c>
      <c r="R162" s="111" t="n">
        <v>2</v>
      </c>
      <c r="S162" s="111" t="inlineStr">
        <is>
          <t>계</t>
        </is>
      </c>
      <c r="T162" s="5" t="n">
        <v>181</v>
      </c>
      <c r="U162" s="9" t="n"/>
    </row>
    <row r="163" ht="12" customFormat="1" customHeight="1" s="38">
      <c r="A163" s="114" t="inlineStr">
        <is>
          <t>백석동 그린빌2차</t>
        </is>
      </c>
      <c r="B163" s="115" t="inlineStr">
        <is>
          <t>04.07.</t>
        </is>
      </c>
      <c r="C163" s="123" t="n">
        <v>750</v>
      </c>
      <c r="D163" s="124" t="n">
        <v>96.40000000000001</v>
      </c>
      <c r="E163" s="125" t="n">
        <v>29</v>
      </c>
      <c r="F163" s="124" t="n">
        <v>74.40000000000001</v>
      </c>
      <c r="G163" s="17" t="n">
        <v>22</v>
      </c>
      <c r="H163" s="126" t="n">
        <v>172</v>
      </c>
      <c r="I163" s="127" t="n">
        <v>27500</v>
      </c>
      <c r="J163" s="127" t="inlineStr">
        <is>
          <t>7</t>
        </is>
      </c>
      <c r="K163" s="127" t="n">
        <v>25000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n">
        <v>96</v>
      </c>
      <c r="U163" s="9" t="n"/>
    </row>
    <row r="164" ht="12" customFormat="1" customHeight="1" s="38">
      <c r="A164" s="114" t="inlineStr">
        <is>
          <t>차암동 천안한화꿈에그린스마일시티</t>
        </is>
      </c>
      <c r="B164" s="115" t="inlineStr">
        <is>
          <t>14.10.</t>
        </is>
      </c>
      <c r="C164" s="123" t="n">
        <v>1052</v>
      </c>
      <c r="D164" s="124" t="n">
        <v>82.59999999999999</v>
      </c>
      <c r="E164" s="125" t="n">
        <v>25</v>
      </c>
      <c r="F164" s="124" t="n">
        <v>60</v>
      </c>
      <c r="G164" s="17" t="n">
        <v>18</v>
      </c>
      <c r="H164" s="126" t="n">
        <v>168</v>
      </c>
      <c r="I164" s="127" t="n">
        <v>27500</v>
      </c>
      <c r="J164" s="127" t="inlineStr">
        <is>
          <t>6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n">
        <v>82</v>
      </c>
      <c r="U164" s="9" t="n"/>
    </row>
    <row r="165" ht="12" customFormat="1" customHeight="1" s="38">
      <c r="A165" s="114" t="inlineStr">
        <is>
          <t>두정동 서해그랑블</t>
        </is>
      </c>
      <c r="B165" s="115" t="inlineStr">
        <is>
          <t>04.04.</t>
        </is>
      </c>
      <c r="C165" s="123" t="n">
        <v>320</v>
      </c>
      <c r="D165" s="124" t="n">
        <v>107.3</v>
      </c>
      <c r="E165" s="125" t="n">
        <v>32</v>
      </c>
      <c r="F165" s="124" t="n">
        <v>84.90000000000001</v>
      </c>
      <c r="G165" s="17" t="n">
        <v>26</v>
      </c>
      <c r="H165" s="126" t="n">
        <v>220</v>
      </c>
      <c r="I165" s="127" t="n">
        <v>27000</v>
      </c>
      <c r="J165" s="127" t="inlineStr">
        <is>
          <t>13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n">
        <v>107</v>
      </c>
      <c r="U165" s="9" t="n"/>
    </row>
    <row r="166" ht="12" customFormat="1" customHeight="1" s="38">
      <c r="A166" s="114" t="inlineStr">
        <is>
          <t>백석동 주공그린빌</t>
        </is>
      </c>
      <c r="B166" s="115" t="inlineStr">
        <is>
          <t>02.12.</t>
        </is>
      </c>
      <c r="C166" s="123" t="n">
        <v>510</v>
      </c>
      <c r="D166" s="124" t="n">
        <v>95.40000000000001</v>
      </c>
      <c r="E166" s="125" t="n">
        <v>29</v>
      </c>
      <c r="F166" s="124" t="n">
        <v>76</v>
      </c>
      <c r="G166" s="17" t="n">
        <v>23</v>
      </c>
      <c r="H166" s="126" t="n">
        <v>144</v>
      </c>
      <c r="I166" s="127" t="n">
        <v>27000</v>
      </c>
      <c r="J166" s="127" t="inlineStr">
        <is>
          <t>12</t>
        </is>
      </c>
      <c r="K166" s="127" t="n">
        <v>25000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n">
        <v>95</v>
      </c>
      <c r="U166" s="9" t="n"/>
    </row>
    <row r="167" ht="12" customFormat="1" customHeight="1" s="38">
      <c r="A167" s="114" t="inlineStr">
        <is>
          <t>쌍용동 광명</t>
        </is>
      </c>
      <c r="B167" s="115" t="inlineStr">
        <is>
          <t>93.11.</t>
        </is>
      </c>
      <c r="C167" s="123" t="n">
        <v>990</v>
      </c>
      <c r="D167" s="124" t="n">
        <v>163.7</v>
      </c>
      <c r="E167" s="125" t="n">
        <v>50</v>
      </c>
      <c r="F167" s="124" t="n">
        <v>125.6</v>
      </c>
      <c r="G167" s="17" t="n">
        <v>38</v>
      </c>
      <c r="H167" s="126" t="n">
        <v>76</v>
      </c>
      <c r="I167" s="127" t="n">
        <v>27000</v>
      </c>
      <c r="J167" s="127" t="inlineStr">
        <is>
          <t>7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2</v>
      </c>
      <c r="S167" s="111" t="inlineStr">
        <is>
          <t>계</t>
        </is>
      </c>
      <c r="T167" s="5" t="n">
        <v>163</v>
      </c>
      <c r="U167" s="9" t="n"/>
    </row>
    <row r="168" ht="12" customFormat="1" customHeight="1" s="38">
      <c r="A168" s="114" t="inlineStr">
        <is>
          <t>쌍용동 쌍용모란</t>
        </is>
      </c>
      <c r="B168" s="115" t="inlineStr">
        <is>
          <t>94.11.</t>
        </is>
      </c>
      <c r="C168" s="123" t="n">
        <v>386</v>
      </c>
      <c r="D168" s="124" t="n">
        <v>118.5</v>
      </c>
      <c r="E168" s="125" t="n">
        <v>36</v>
      </c>
      <c r="F168" s="124" t="n">
        <v>96.90000000000001</v>
      </c>
      <c r="G168" s="17" t="n">
        <v>29</v>
      </c>
      <c r="H168" s="126" t="n">
        <v>234</v>
      </c>
      <c r="I168" s="127" t="n">
        <v>27000</v>
      </c>
      <c r="J168" s="127" t="inlineStr">
        <is>
          <t>16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n">
        <v>118</v>
      </c>
      <c r="U168" s="9" t="n"/>
    </row>
    <row r="169" ht="12" customFormat="1" customHeight="1" s="38">
      <c r="A169" s="114" t="inlineStr">
        <is>
          <t>쌍용동 쌍용모란</t>
        </is>
      </c>
      <c r="B169" s="115" t="inlineStr">
        <is>
          <t>94.11.</t>
        </is>
      </c>
      <c r="C169" s="123" t="n">
        <v>386</v>
      </c>
      <c r="D169" s="124" t="n">
        <v>142</v>
      </c>
      <c r="E169" s="125" t="n">
        <v>43</v>
      </c>
      <c r="F169" s="124" t="n">
        <v>116.1</v>
      </c>
      <c r="G169" s="17" t="n">
        <v>35</v>
      </c>
      <c r="H169" s="126" t="n">
        <v>152</v>
      </c>
      <c r="I169" s="127" t="n">
        <v>27000</v>
      </c>
      <c r="J169" s="127" t="inlineStr">
        <is>
          <t>중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142</v>
      </c>
      <c r="U169" s="9" t="n"/>
    </row>
    <row r="170" ht="12" customFormat="1" customHeight="1" s="38">
      <c r="A170" s="114" t="inlineStr">
        <is>
          <t>쌍용동 일성1차</t>
        </is>
      </c>
      <c r="B170" s="115" t="inlineStr">
        <is>
          <t>92.11.</t>
        </is>
      </c>
      <c r="C170" s="123" t="n">
        <v>570</v>
      </c>
      <c r="D170" s="124" t="n">
        <v>147.6</v>
      </c>
      <c r="E170" s="125" t="n">
        <v>45</v>
      </c>
      <c r="F170" s="124" t="n">
        <v>127.4</v>
      </c>
      <c r="G170" s="17" t="n">
        <v>39</v>
      </c>
      <c r="H170" s="126" t="n">
        <v>72</v>
      </c>
      <c r="I170" s="127" t="n">
        <v>27000</v>
      </c>
      <c r="J170" s="127" t="inlineStr">
        <is>
          <t>중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4</v>
      </c>
      <c r="R170" s="111" t="n">
        <v>2</v>
      </c>
      <c r="S170" s="111" t="inlineStr">
        <is>
          <t>계</t>
        </is>
      </c>
      <c r="T170" s="5" t="n">
        <v>147</v>
      </c>
      <c r="U170" s="9" t="n"/>
    </row>
    <row r="171" ht="12" customFormat="1" customHeight="1" s="38">
      <c r="A171" s="114" t="inlineStr">
        <is>
          <t>쌍용동 대우타워</t>
        </is>
      </c>
      <c r="B171" s="115" t="inlineStr">
        <is>
          <t>94.09.</t>
        </is>
      </c>
      <c r="C171" s="123" t="n">
        <v>659</v>
      </c>
      <c r="D171" s="124" t="n">
        <v>123.6</v>
      </c>
      <c r="E171" s="125" t="n">
        <v>37</v>
      </c>
      <c r="F171" s="124" t="n">
        <v>101.7</v>
      </c>
      <c r="G171" s="17" t="n">
        <v>31</v>
      </c>
      <c r="H171" s="126" t="n">
        <v>128</v>
      </c>
      <c r="I171" s="127" t="n">
        <v>27000</v>
      </c>
      <c r="J171" s="127" t="inlineStr">
        <is>
          <t>12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4</v>
      </c>
      <c r="R171" s="111" t="n">
        <v>2</v>
      </c>
      <c r="S171" s="111" t="inlineStr">
        <is>
          <t>계</t>
        </is>
      </c>
      <c r="T171" s="5" t="n">
        <v>123</v>
      </c>
      <c r="U171" s="9" t="n"/>
    </row>
    <row r="172" ht="12" customFormat="1" customHeight="1" s="38">
      <c r="A172" s="114" t="inlineStr">
        <is>
          <t>두정동 세광엔리치빌3차</t>
        </is>
      </c>
      <c r="B172" s="115" t="inlineStr">
        <is>
          <t>03.09.</t>
        </is>
      </c>
      <c r="C172" s="123" t="n">
        <v>476</v>
      </c>
      <c r="D172" s="124" t="n">
        <v>103.8</v>
      </c>
      <c r="E172" s="125" t="n">
        <v>31</v>
      </c>
      <c r="F172" s="124" t="n">
        <v>85</v>
      </c>
      <c r="G172" s="17" t="n">
        <v>26</v>
      </c>
      <c r="H172" s="126" t="n">
        <v>336</v>
      </c>
      <c r="I172" s="127" t="n">
        <v>26000</v>
      </c>
      <c r="J172" s="127" t="inlineStr">
        <is>
          <t>11</t>
        </is>
      </c>
      <c r="K172" s="127" t="n">
        <v>24000</v>
      </c>
      <c r="L172" s="127" t="inlineStr">
        <is>
          <t>13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n">
        <v>103</v>
      </c>
      <c r="U172" s="9" t="n"/>
    </row>
    <row r="173" ht="12" customFormat="1" customHeight="1" s="38">
      <c r="A173" s="114" t="inlineStr">
        <is>
          <t>직산읍 한양수자인비다펠리즈</t>
        </is>
      </c>
      <c r="B173" s="115" t="inlineStr">
        <is>
          <t>19.05.</t>
        </is>
      </c>
      <c r="C173" s="123" t="n">
        <v>387</v>
      </c>
      <c r="D173" s="124" t="n">
        <v>82.09999999999999</v>
      </c>
      <c r="E173" s="125" t="n">
        <v>25</v>
      </c>
      <c r="F173" s="124" t="n">
        <v>59.2</v>
      </c>
      <c r="G173" s="17" t="n">
        <v>18</v>
      </c>
      <c r="H173" s="126" t="n">
        <v>148</v>
      </c>
      <c r="I173" s="127" t="n">
        <v>26000</v>
      </c>
      <c r="J173" s="127" t="inlineStr">
        <is>
          <t>중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n">
        <v>82</v>
      </c>
      <c r="U173" s="9" t="n"/>
    </row>
    <row r="174" ht="12" customFormat="1" customHeight="1" s="38">
      <c r="A174" s="114" t="inlineStr">
        <is>
          <t>두정동 천안두정푸르지오3차</t>
        </is>
      </c>
      <c r="B174" s="115" t="inlineStr">
        <is>
          <t>03.09.</t>
        </is>
      </c>
      <c r="C174" s="123" t="n">
        <v>326</v>
      </c>
      <c r="D174" s="124" t="n">
        <v>103</v>
      </c>
      <c r="E174" s="125" t="n">
        <v>31</v>
      </c>
      <c r="F174" s="124" t="n">
        <v>84.90000000000001</v>
      </c>
      <c r="G174" s="17" t="n">
        <v>26</v>
      </c>
      <c r="H174" s="126" t="n">
        <v>196</v>
      </c>
      <c r="I174" s="127" t="n">
        <v>25500</v>
      </c>
      <c r="J174" s="127" t="inlineStr">
        <is>
          <t>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103A</t>
        </is>
      </c>
      <c r="U174" s="9" t="n"/>
    </row>
    <row r="175" ht="12" customFormat="1" customHeight="1" s="38">
      <c r="A175" s="114" t="inlineStr">
        <is>
          <t>쌍용동 쌍용마을뜨란채</t>
        </is>
      </c>
      <c r="B175" s="115" t="inlineStr">
        <is>
          <t>99.06.</t>
        </is>
      </c>
      <c r="C175" s="123" t="n">
        <v>1431</v>
      </c>
      <c r="D175" s="124" t="n">
        <v>108</v>
      </c>
      <c r="E175" s="125" t="n">
        <v>33</v>
      </c>
      <c r="F175" s="124" t="n">
        <v>84.59999999999999</v>
      </c>
      <c r="G175" s="17" t="n">
        <v>26</v>
      </c>
      <c r="H175" s="126" t="n">
        <v>222</v>
      </c>
      <c r="I175" s="127" t="n">
        <v>25500</v>
      </c>
      <c r="J175" s="127" t="inlineStr">
        <is>
          <t>5</t>
        </is>
      </c>
      <c r="K175" s="127" t="n">
        <v>25000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107A</t>
        </is>
      </c>
      <c r="U175" s="9" t="n"/>
    </row>
    <row r="176" ht="12" customFormat="1" customHeight="1" s="38">
      <c r="A176" s="114" t="inlineStr">
        <is>
          <t>차암동 e편한세상스마일시티2차</t>
        </is>
      </c>
      <c r="B176" s="115" t="inlineStr">
        <is>
          <t>16.08.</t>
        </is>
      </c>
      <c r="C176" s="123" t="n">
        <v>1269</v>
      </c>
      <c r="D176" s="124" t="n">
        <v>74</v>
      </c>
      <c r="E176" s="125" t="n">
        <v>22</v>
      </c>
      <c r="F176" s="124" t="n">
        <v>52</v>
      </c>
      <c r="G176" s="17" t="n">
        <v>16</v>
      </c>
      <c r="H176" s="126" t="n">
        <v>136</v>
      </c>
      <c r="I176" s="127" t="n">
        <v>25500</v>
      </c>
      <c r="J176" s="127" t="inlineStr">
        <is>
          <t>13</t>
        </is>
      </c>
      <c r="K176" s="127" t="n">
        <v>22000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n">
        <v>74</v>
      </c>
      <c r="U176" s="9" t="n"/>
    </row>
    <row r="177" ht="12" customFormat="1" customHeight="1" s="38">
      <c r="A177" s="114" t="inlineStr">
        <is>
          <t>두정동 한성필하우스3차</t>
        </is>
      </c>
      <c r="B177" s="115" t="inlineStr">
        <is>
          <t>04.10.</t>
        </is>
      </c>
      <c r="C177" s="123" t="n">
        <v>832</v>
      </c>
      <c r="D177" s="124" t="n">
        <v>80.90000000000001</v>
      </c>
      <c r="E177" s="125" t="n">
        <v>24</v>
      </c>
      <c r="F177" s="124" t="n">
        <v>59.9</v>
      </c>
      <c r="G177" s="17" t="n">
        <v>18</v>
      </c>
      <c r="H177" s="126" t="n">
        <v>240</v>
      </c>
      <c r="I177" s="127" t="n">
        <v>25000</v>
      </c>
      <c r="J177" s="127" t="inlineStr">
        <is>
          <t>10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n">
        <v>80</v>
      </c>
      <c r="U177" s="9" t="n"/>
    </row>
    <row r="178" ht="12" customFormat="1" customHeight="1" s="38">
      <c r="A178" s="114" t="inlineStr">
        <is>
          <t>성거읍 직산역꿈에그린</t>
        </is>
      </c>
      <c r="B178" s="115" t="inlineStr">
        <is>
          <t>19.01.</t>
        </is>
      </c>
      <c r="C178" s="123" t="n">
        <v>416</v>
      </c>
      <c r="D178" s="124" t="n">
        <v>80.8</v>
      </c>
      <c r="E178" s="125" t="n">
        <v>24</v>
      </c>
      <c r="F178" s="124" t="n">
        <v>60</v>
      </c>
      <c r="G178" s="17" t="n">
        <v>18</v>
      </c>
      <c r="H178" s="126" t="n">
        <v>224</v>
      </c>
      <c r="I178" s="127" t="n">
        <v>25000</v>
      </c>
      <c r="J178" s="127" t="inlineStr">
        <is>
          <t>고</t>
        </is>
      </c>
      <c r="K178" s="127" t="n">
        <v>25000</v>
      </c>
      <c r="L178" s="127" t="inlineStr">
        <is>
          <t>고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n">
        <v>80</v>
      </c>
      <c r="U178" s="9" t="n"/>
    </row>
    <row r="179" ht="12" customFormat="1" customHeight="1" s="38">
      <c r="A179" s="114" t="inlineStr">
        <is>
          <t>성정동 대우목화</t>
        </is>
      </c>
      <c r="B179" s="115" t="inlineStr">
        <is>
          <t>86.10.</t>
        </is>
      </c>
      <c r="C179" s="123" t="n">
        <v>590</v>
      </c>
      <c r="D179" s="124" t="n">
        <v>93.5</v>
      </c>
      <c r="E179" s="125" t="n">
        <v>28</v>
      </c>
      <c r="F179" s="124" t="n">
        <v>79.59999999999999</v>
      </c>
      <c r="G179" s="17" t="n">
        <v>24</v>
      </c>
      <c r="H179" s="126" t="n">
        <v>120</v>
      </c>
      <c r="I179" s="127" t="n">
        <v>25000</v>
      </c>
      <c r="J179" s="127" t="inlineStr">
        <is>
          <t>5</t>
        </is>
      </c>
      <c r="K179" s="127" t="n">
        <v>12000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1</v>
      </c>
      <c r="S179" s="111" t="inlineStr">
        <is>
          <t>계</t>
        </is>
      </c>
      <c r="T179" s="5" t="inlineStr">
        <is>
          <t>93A</t>
        </is>
      </c>
      <c r="U179" s="9" t="n"/>
    </row>
    <row r="180" ht="12" customFormat="1" customHeight="1" s="38">
      <c r="A180" s="114" t="inlineStr">
        <is>
          <t>성정동 주공5단지</t>
        </is>
      </c>
      <c r="B180" s="115" t="inlineStr">
        <is>
          <t>88.10.</t>
        </is>
      </c>
      <c r="C180" s="123" t="n">
        <v>920</v>
      </c>
      <c r="D180" s="124" t="n">
        <v>72.5</v>
      </c>
      <c r="E180" s="125" t="n">
        <v>22</v>
      </c>
      <c r="F180" s="124" t="n">
        <v>59.1</v>
      </c>
      <c r="G180" s="17" t="n">
        <v>18</v>
      </c>
      <c r="H180" s="126" t="n">
        <v>182</v>
      </c>
      <c r="I180" s="127" t="n">
        <v>25000</v>
      </c>
      <c r="J180" s="127" t="inlineStr">
        <is>
          <t>중</t>
        </is>
      </c>
      <c r="K180" s="127" t="n">
        <v>12000</v>
      </c>
      <c r="L180" s="127" t="inlineStr">
        <is>
          <t>고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1</v>
      </c>
      <c r="S180" s="111" t="inlineStr">
        <is>
          <t>계</t>
        </is>
      </c>
      <c r="T180" s="5" t="n">
        <v>72</v>
      </c>
      <c r="U180" s="9" t="n"/>
    </row>
    <row r="181" ht="12" customFormat="1" customHeight="1" s="38">
      <c r="A181" s="114" t="inlineStr">
        <is>
          <t>쌍용동 현대아이파크홈타운6차1단지</t>
        </is>
      </c>
      <c r="B181" s="115" t="inlineStr">
        <is>
          <t>04.05.</t>
        </is>
      </c>
      <c r="C181" s="123" t="n">
        <v>1316</v>
      </c>
      <c r="D181" s="124" t="n">
        <v>79.8</v>
      </c>
      <c r="E181" s="125" t="n">
        <v>24</v>
      </c>
      <c r="F181" s="124" t="n">
        <v>59.4</v>
      </c>
      <c r="G181" s="17" t="n">
        <v>18</v>
      </c>
      <c r="H181" s="126" t="n">
        <v>180</v>
      </c>
      <c r="I181" s="127" t="n">
        <v>25000</v>
      </c>
      <c r="J181" s="127" t="inlineStr">
        <is>
          <t>15</t>
        </is>
      </c>
      <c r="K181" s="127" t="n">
        <v>21000</v>
      </c>
      <c r="L181" s="127" t="inlineStr">
        <is>
          <t>15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n">
        <v>79</v>
      </c>
      <c r="U181" s="9" t="n"/>
    </row>
    <row r="182" ht="12" customFormat="1" customHeight="1" s="38">
      <c r="A182" s="114" t="inlineStr">
        <is>
          <t>두정동 두정푸르지오4차</t>
        </is>
      </c>
      <c r="B182" s="115" t="inlineStr">
        <is>
          <t>03.11.</t>
        </is>
      </c>
      <c r="C182" s="123" t="n">
        <v>384</v>
      </c>
      <c r="D182" s="124" t="n">
        <v>96.90000000000001</v>
      </c>
      <c r="E182" s="125" t="n">
        <v>29</v>
      </c>
      <c r="F182" s="124" t="n">
        <v>75.2</v>
      </c>
      <c r="G182" s="17" t="n">
        <v>23</v>
      </c>
      <c r="H182" s="126" t="n">
        <v>145</v>
      </c>
      <c r="I182" s="127" t="n">
        <v>24800</v>
      </c>
      <c r="J182" s="127" t="inlineStr">
        <is>
          <t>11</t>
        </is>
      </c>
      <c r="K182" s="127" t="n">
        <v>22000</v>
      </c>
      <c r="L182" s="127" t="inlineStr">
        <is>
          <t>8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n">
        <v>96</v>
      </c>
      <c r="U182" s="9" t="n"/>
    </row>
    <row r="183" ht="12" customFormat="1" customHeight="1" s="38">
      <c r="A183" s="114" t="inlineStr">
        <is>
          <t>두정동 계룡리슈빌</t>
        </is>
      </c>
      <c r="B183" s="115" t="inlineStr">
        <is>
          <t>04.03.</t>
        </is>
      </c>
      <c r="C183" s="123" t="n">
        <v>386</v>
      </c>
      <c r="D183" s="124" t="n">
        <v>100.1</v>
      </c>
      <c r="E183" s="125" t="n">
        <v>30</v>
      </c>
      <c r="F183" s="124" t="n">
        <v>73.90000000000001</v>
      </c>
      <c r="G183" s="17" t="n">
        <v>22</v>
      </c>
      <c r="H183" s="126" t="n">
        <v>118</v>
      </c>
      <c r="I183" s="127" t="n">
        <v>24700</v>
      </c>
      <c r="J183" s="127" t="inlineStr">
        <is>
          <t>11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n">
        <v>100</v>
      </c>
      <c r="U183" s="9" t="n"/>
    </row>
    <row r="184" ht="12" customFormat="1" customHeight="1" s="38">
      <c r="A184" s="114" t="inlineStr">
        <is>
          <t>두정동 세광엔리치빌2차</t>
        </is>
      </c>
      <c r="B184" s="115" t="inlineStr">
        <is>
          <t>03.09.</t>
        </is>
      </c>
      <c r="C184" s="123" t="n">
        <v>360</v>
      </c>
      <c r="D184" s="124" t="n">
        <v>103.7</v>
      </c>
      <c r="E184" s="125" t="n">
        <v>31</v>
      </c>
      <c r="F184" s="124" t="n">
        <v>85</v>
      </c>
      <c r="G184" s="17" t="n">
        <v>26</v>
      </c>
      <c r="H184" s="126" t="n">
        <v>180</v>
      </c>
      <c r="I184" s="127" t="n">
        <v>24500</v>
      </c>
      <c r="J184" s="127" t="inlineStr">
        <is>
          <t>11</t>
        </is>
      </c>
      <c r="K184" s="127" t="n">
        <v>23500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103B</t>
        </is>
      </c>
      <c r="U184" s="9" t="n"/>
    </row>
    <row r="185" ht="12" customFormat="1" customHeight="1" s="38">
      <c r="A185" s="114" t="inlineStr">
        <is>
          <t>두정동 두정마을우남1단지</t>
        </is>
      </c>
      <c r="B185" s="115" t="inlineStr">
        <is>
          <t>03.08.</t>
        </is>
      </c>
      <c r="C185" s="123" t="n">
        <v>325</v>
      </c>
      <c r="D185" s="124" t="n">
        <v>107.9</v>
      </c>
      <c r="E185" s="125" t="n">
        <v>33</v>
      </c>
      <c r="F185" s="124" t="n">
        <v>84.90000000000001</v>
      </c>
      <c r="G185" s="17" t="n">
        <v>26</v>
      </c>
      <c r="H185" s="126" t="n">
        <v>325</v>
      </c>
      <c r="I185" s="127" t="n">
        <v>24500</v>
      </c>
      <c r="J185" s="127" t="inlineStr">
        <is>
          <t>12</t>
        </is>
      </c>
      <c r="K185" s="127" t="n">
        <v>21000</v>
      </c>
      <c r="L185" s="127" t="inlineStr">
        <is>
          <t>고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n">
        <v>107</v>
      </c>
      <c r="U185" s="9" t="n"/>
    </row>
    <row r="186" ht="12" customFormat="1" customHeight="1" s="38">
      <c r="A186" s="114" t="inlineStr">
        <is>
          <t>백석동 현대</t>
        </is>
      </c>
      <c r="B186" s="115" t="inlineStr">
        <is>
          <t>92.12.</t>
        </is>
      </c>
      <c r="C186" s="123" t="n">
        <v>976</v>
      </c>
      <c r="D186" s="124" t="n">
        <v>159.7</v>
      </c>
      <c r="E186" s="125" t="n">
        <v>48</v>
      </c>
      <c r="F186" s="124" t="n">
        <v>132.6</v>
      </c>
      <c r="G186" s="17" t="n">
        <v>40</v>
      </c>
      <c r="H186" s="126" t="n">
        <v>150</v>
      </c>
      <c r="I186" s="127" t="n">
        <v>24500</v>
      </c>
      <c r="J186" s="127" t="inlineStr">
        <is>
          <t>13</t>
        </is>
      </c>
      <c r="K186" s="127" t="n">
        <v>22000</v>
      </c>
      <c r="L186" s="127" t="inlineStr">
        <is>
          <t>15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5</v>
      </c>
      <c r="R186" s="111" t="n">
        <v>2</v>
      </c>
      <c r="S186" s="111" t="inlineStr">
        <is>
          <t>계</t>
        </is>
      </c>
      <c r="T186" s="5" t="n">
        <v>159</v>
      </c>
      <c r="U186" s="9" t="n"/>
    </row>
    <row r="187" ht="12" customFormat="1" customHeight="1" s="38">
      <c r="A187" s="114" t="inlineStr">
        <is>
          <t>쌍용동 월봉일성5차</t>
        </is>
      </c>
      <c r="B187" s="115" t="inlineStr">
        <is>
          <t>99.05.</t>
        </is>
      </c>
      <c r="C187" s="123" t="n">
        <v>765</v>
      </c>
      <c r="D187" s="124" t="n">
        <v>106.7</v>
      </c>
      <c r="E187" s="125" t="n">
        <v>32</v>
      </c>
      <c r="F187" s="124" t="n">
        <v>84.90000000000001</v>
      </c>
      <c r="G187" s="17" t="n">
        <v>26</v>
      </c>
      <c r="H187" s="126" t="n">
        <v>380</v>
      </c>
      <c r="I187" s="127" t="n">
        <v>24500</v>
      </c>
      <c r="J187" s="127" t="inlineStr">
        <is>
          <t>5</t>
        </is>
      </c>
      <c r="K187" s="127" t="n">
        <v>23000</v>
      </c>
      <c r="L187" s="127" t="inlineStr">
        <is>
          <t>5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106</v>
      </c>
      <c r="U187" s="9" t="n"/>
    </row>
    <row r="188" ht="12" customFormat="1" customHeight="1" s="38">
      <c r="A188" s="114" t="inlineStr">
        <is>
          <t>두정동 한성스위트빌</t>
        </is>
      </c>
      <c r="B188" s="115" t="inlineStr">
        <is>
          <t>02.08.</t>
        </is>
      </c>
      <c r="C188" s="123" t="n">
        <v>600</v>
      </c>
      <c r="D188" s="124" t="n">
        <v>107.4</v>
      </c>
      <c r="E188" s="125" t="n">
        <v>32</v>
      </c>
      <c r="F188" s="124" t="n">
        <v>84.90000000000001</v>
      </c>
      <c r="G188" s="17" t="n">
        <v>26</v>
      </c>
      <c r="H188" s="126" t="n">
        <v>300</v>
      </c>
      <c r="I188" s="127" t="n">
        <v>24000</v>
      </c>
      <c r="J188" s="127" t="inlineStr">
        <is>
          <t>9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inlineStr">
        <is>
          <t>107B</t>
        </is>
      </c>
      <c r="U188" s="9" t="n"/>
    </row>
    <row r="189" ht="12" customFormat="1" customHeight="1" s="38">
      <c r="A189" s="114" t="inlineStr">
        <is>
          <t>두정동 대우</t>
        </is>
      </c>
      <c r="B189" s="115" t="inlineStr">
        <is>
          <t>96.12.</t>
        </is>
      </c>
      <c r="C189" s="123" t="n">
        <v>1038</v>
      </c>
      <c r="D189" s="124" t="n">
        <v>105.5</v>
      </c>
      <c r="E189" s="125" t="n">
        <v>32</v>
      </c>
      <c r="F189" s="124" t="n">
        <v>85</v>
      </c>
      <c r="G189" s="17" t="n">
        <v>26</v>
      </c>
      <c r="H189" s="126" t="n">
        <v>379</v>
      </c>
      <c r="I189" s="127" t="n">
        <v>24000</v>
      </c>
      <c r="J189" s="127" t="inlineStr">
        <is>
          <t>13</t>
        </is>
      </c>
      <c r="K189" s="127" t="n">
        <v>23000</v>
      </c>
      <c r="L189" s="127" t="inlineStr">
        <is>
          <t>23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3</v>
      </c>
      <c r="R189" s="111" t="n">
        <v>2</v>
      </c>
      <c r="S189" s="111" t="inlineStr">
        <is>
          <t>계</t>
        </is>
      </c>
      <c r="T189" s="5" t="n">
        <v>105</v>
      </c>
      <c r="U189" s="9" t="n"/>
    </row>
    <row r="190" ht="12" customFormat="1" customHeight="1" s="38">
      <c r="A190" s="114" t="inlineStr">
        <is>
          <t>차암동 천안스마일시티효성해링턴플레이스</t>
        </is>
      </c>
      <c r="B190" s="115" t="inlineStr">
        <is>
          <t>16.01.</t>
        </is>
      </c>
      <c r="C190" s="123" t="n">
        <v>1318</v>
      </c>
      <c r="D190" s="124" t="n">
        <v>74.59999999999999</v>
      </c>
      <c r="E190" s="125" t="n">
        <v>23</v>
      </c>
      <c r="F190" s="124" t="n">
        <v>52</v>
      </c>
      <c r="G190" s="17" t="n">
        <v>16</v>
      </c>
      <c r="H190" s="126" t="n">
        <v>362</v>
      </c>
      <c r="I190" s="127" t="n">
        <v>24000</v>
      </c>
      <c r="J190" s="127" t="inlineStr">
        <is>
          <t>10</t>
        </is>
      </c>
      <c r="K190" s="127" t="n">
        <v>23000</v>
      </c>
      <c r="L190" s="127" t="inlineStr">
        <is>
          <t>20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2</v>
      </c>
      <c r="S190" s="111" t="inlineStr">
        <is>
          <t>계</t>
        </is>
      </c>
      <c r="T190" s="5" t="n">
        <v>74</v>
      </c>
      <c r="U190" s="9" t="n"/>
    </row>
    <row r="191" ht="12" customFormat="1" customHeight="1" s="38">
      <c r="A191" s="114" t="inlineStr">
        <is>
          <t>차암동 e편한세상스마일시티</t>
        </is>
      </c>
      <c r="B191" s="115" t="inlineStr">
        <is>
          <t>15.03.</t>
        </is>
      </c>
      <c r="C191" s="123" t="n">
        <v>1024</v>
      </c>
      <c r="D191" s="124" t="n">
        <v>73.3</v>
      </c>
      <c r="E191" s="125" t="n">
        <v>22</v>
      </c>
      <c r="F191" s="124" t="n">
        <v>52</v>
      </c>
      <c r="G191" s="17" t="n">
        <v>16</v>
      </c>
      <c r="H191" s="126" t="n">
        <v>217</v>
      </c>
      <c r="I191" s="127" t="n">
        <v>24000</v>
      </c>
      <c r="J191" s="127" t="inlineStr">
        <is>
          <t>19</t>
        </is>
      </c>
      <c r="K191" s="127" t="n">
        <v>23000</v>
      </c>
      <c r="L191" s="127" t="inlineStr">
        <is>
          <t>20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2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두정동 경남아너스빌</t>
        </is>
      </c>
      <c r="B192" s="115" t="inlineStr">
        <is>
          <t>04.06.</t>
        </is>
      </c>
      <c r="C192" s="123" t="n">
        <v>458</v>
      </c>
      <c r="D192" s="124" t="n">
        <v>108.2</v>
      </c>
      <c r="E192" s="125" t="n">
        <v>33</v>
      </c>
      <c r="F192" s="124" t="n">
        <v>84.8</v>
      </c>
      <c r="G192" s="17" t="n">
        <v>26</v>
      </c>
      <c r="H192" s="126" t="n">
        <v>285</v>
      </c>
      <c r="I192" s="127" t="n">
        <v>23500</v>
      </c>
      <c r="J192" s="127" t="inlineStr">
        <is>
          <t>10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108</v>
      </c>
      <c r="U192" s="9" t="n"/>
    </row>
    <row r="193" ht="12" customFormat="1" customHeight="1" s="38">
      <c r="A193" s="114" t="inlineStr">
        <is>
          <t>두정동 두정대우2차</t>
        </is>
      </c>
      <c r="B193" s="115" t="inlineStr">
        <is>
          <t>98.12.</t>
        </is>
      </c>
      <c r="C193" s="123" t="n">
        <v>323</v>
      </c>
      <c r="D193" s="124" t="n">
        <v>104.1</v>
      </c>
      <c r="E193" s="125" t="n">
        <v>32</v>
      </c>
      <c r="F193" s="124" t="n">
        <v>84.5</v>
      </c>
      <c r="G193" s="17" t="n">
        <v>26</v>
      </c>
      <c r="H193" s="126" t="n">
        <v>264</v>
      </c>
      <c r="I193" s="127" t="n">
        <v>23500</v>
      </c>
      <c r="J193" s="127" t="inlineStr">
        <is>
          <t>11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2</v>
      </c>
      <c r="S193" s="111" t="inlineStr">
        <is>
          <t>계</t>
        </is>
      </c>
      <c r="T193" s="5" t="n">
        <v>104</v>
      </c>
      <c r="U193" s="9" t="n"/>
    </row>
    <row r="194" ht="12" customFormat="1" customHeight="1" s="38">
      <c r="A194" s="114" t="inlineStr">
        <is>
          <t>쌍용동 라이프타운</t>
        </is>
      </c>
      <c r="B194" s="115" t="inlineStr">
        <is>
          <t>94.11.</t>
        </is>
      </c>
      <c r="C194" s="123" t="n">
        <v>540</v>
      </c>
      <c r="D194" s="124" t="n">
        <v>115.9</v>
      </c>
      <c r="E194" s="125" t="n">
        <v>35</v>
      </c>
      <c r="F194" s="124" t="n">
        <v>96</v>
      </c>
      <c r="G194" s="17" t="n">
        <v>29</v>
      </c>
      <c r="H194" s="126" t="n">
        <v>300</v>
      </c>
      <c r="I194" s="127" t="n">
        <v>23500</v>
      </c>
      <c r="J194" s="127" t="inlineStr">
        <is>
          <t>13</t>
        </is>
      </c>
      <c r="K194" s="127" t="n">
        <v>23000</v>
      </c>
      <c r="L194" s="127" t="inlineStr">
        <is>
          <t>고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n">
        <v>115</v>
      </c>
      <c r="U194" s="9" t="n"/>
    </row>
    <row r="195" ht="12" customFormat="1" customHeight="1" s="38">
      <c r="A195" s="114" t="inlineStr">
        <is>
          <t>성정동 주공5단지</t>
        </is>
      </c>
      <c r="B195" s="115" t="inlineStr">
        <is>
          <t>88.10.</t>
        </is>
      </c>
      <c r="C195" s="123" t="n">
        <v>920</v>
      </c>
      <c r="D195" s="124" t="n">
        <v>62.6</v>
      </c>
      <c r="E195" s="125" t="n">
        <v>19</v>
      </c>
      <c r="F195" s="124" t="n">
        <v>51</v>
      </c>
      <c r="G195" s="17" t="n">
        <v>15</v>
      </c>
      <c r="H195" s="126" t="n">
        <v>228</v>
      </c>
      <c r="I195" s="127" t="n">
        <v>23000</v>
      </c>
      <c r="J195" s="127" t="inlineStr">
        <is>
          <t>중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계</t>
        </is>
      </c>
      <c r="T195" s="5" t="n">
        <v>62</v>
      </c>
      <c r="U195" s="9" t="n"/>
    </row>
    <row r="196" ht="12" customFormat="1" customHeight="1" s="38">
      <c r="A196" s="114" t="inlineStr">
        <is>
          <t>쌍용동 월봉벽산,태영</t>
        </is>
      </c>
      <c r="B196" s="115" t="inlineStr">
        <is>
          <t>98.11.</t>
        </is>
      </c>
      <c r="C196" s="123" t="n">
        <v>810</v>
      </c>
      <c r="D196" s="124" t="n">
        <v>96.40000000000001</v>
      </c>
      <c r="E196" s="125" t="n">
        <v>29</v>
      </c>
      <c r="F196" s="124" t="n">
        <v>76</v>
      </c>
      <c r="G196" s="17" t="n">
        <v>23</v>
      </c>
      <c r="H196" s="126" t="n">
        <v>116</v>
      </c>
      <c r="I196" s="127" t="n">
        <v>23000</v>
      </c>
      <c r="J196" s="127" t="inlineStr">
        <is>
          <t>14</t>
        </is>
      </c>
      <c r="K196" s="127" t="n">
        <v>25000</v>
      </c>
      <c r="L196" s="127" t="inlineStr">
        <is>
          <t>9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96(태영)</t>
        </is>
      </c>
      <c r="U196" s="9" t="n"/>
    </row>
    <row r="197" ht="12" customFormat="1" customHeight="1" s="38">
      <c r="A197" s="114" t="inlineStr">
        <is>
          <t>두정동 극동늘푸른</t>
        </is>
      </c>
      <c r="B197" s="115" t="inlineStr">
        <is>
          <t>96.12.</t>
        </is>
      </c>
      <c r="C197" s="123" t="n">
        <v>1452</v>
      </c>
      <c r="D197" s="124" t="n">
        <v>107</v>
      </c>
      <c r="E197" s="125" t="n">
        <v>32</v>
      </c>
      <c r="F197" s="124" t="n">
        <v>84.90000000000001</v>
      </c>
      <c r="G197" s="17" t="n">
        <v>26</v>
      </c>
      <c r="H197" s="126" t="n">
        <v>676</v>
      </c>
      <c r="I197" s="127" t="n">
        <v>22300</v>
      </c>
      <c r="J197" s="127" t="inlineStr">
        <is>
          <t>17</t>
        </is>
      </c>
      <c r="K197" s="127" t="n">
        <v>21500</v>
      </c>
      <c r="L197" s="127" t="inlineStr">
        <is>
          <t>18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106</v>
      </c>
      <c r="U197" s="9" t="n"/>
    </row>
    <row r="198" ht="12" customFormat="1" customHeight="1" s="38">
      <c r="A198" s="114" t="inlineStr">
        <is>
          <t>백석동 현대</t>
        </is>
      </c>
      <c r="B198" s="115" t="inlineStr">
        <is>
          <t>92.12.</t>
        </is>
      </c>
      <c r="C198" s="123" t="n">
        <v>976</v>
      </c>
      <c r="D198" s="124" t="n">
        <v>139.1</v>
      </c>
      <c r="E198" s="125" t="n">
        <v>42</v>
      </c>
      <c r="F198" s="124" t="n">
        <v>115.5</v>
      </c>
      <c r="G198" s="17" t="n">
        <v>35</v>
      </c>
      <c r="H198" s="126" t="n">
        <v>150</v>
      </c>
      <c r="I198" s="127" t="n">
        <v>22000</v>
      </c>
      <c r="J198" s="127" t="inlineStr">
        <is>
          <t>6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4</v>
      </c>
      <c r="R198" s="111" t="n">
        <v>2</v>
      </c>
      <c r="S198" s="111" t="inlineStr">
        <is>
          <t>계</t>
        </is>
      </c>
      <c r="T198" s="5" t="n">
        <v>139</v>
      </c>
      <c r="U198" s="9" t="n"/>
    </row>
    <row r="199" ht="12" customFormat="1" customHeight="1" s="38">
      <c r="A199" s="114" t="inlineStr">
        <is>
          <t>성거읍 천안삼환나우빌</t>
        </is>
      </c>
      <c r="B199" s="115" t="inlineStr">
        <is>
          <t>05.11.</t>
        </is>
      </c>
      <c r="C199" s="123" t="n">
        <v>910</v>
      </c>
      <c r="D199" s="124" t="n">
        <v>104.1</v>
      </c>
      <c r="E199" s="125" t="n">
        <v>31</v>
      </c>
      <c r="F199" s="124" t="n">
        <v>84.90000000000001</v>
      </c>
      <c r="G199" s="17" t="n">
        <v>26</v>
      </c>
      <c r="H199" s="126" t="n">
        <v>768</v>
      </c>
      <c r="I199" s="127" t="n">
        <v>22000</v>
      </c>
      <c r="J199" s="127" t="inlineStr">
        <is>
          <t>11</t>
        </is>
      </c>
      <c r="K199" s="127" t="n">
        <v>18000</v>
      </c>
      <c r="L199" s="127" t="inlineStr">
        <is>
          <t>중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inlineStr">
        <is>
          <t>104B</t>
        </is>
      </c>
      <c r="U199" s="9" t="n"/>
    </row>
    <row r="200" ht="12" customFormat="1" customHeight="1" s="38">
      <c r="A200" s="114" t="inlineStr">
        <is>
          <t>쌍용동 해누리선경</t>
        </is>
      </c>
      <c r="B200" s="115" t="inlineStr">
        <is>
          <t>96.12.</t>
        </is>
      </c>
      <c r="C200" s="123" t="n">
        <v>938</v>
      </c>
      <c r="D200" s="124" t="n">
        <v>106.3</v>
      </c>
      <c r="E200" s="125" t="n">
        <v>32</v>
      </c>
      <c r="F200" s="124" t="n">
        <v>85</v>
      </c>
      <c r="G200" s="17" t="n">
        <v>26</v>
      </c>
      <c r="H200" s="126" t="n">
        <v>438</v>
      </c>
      <c r="I200" s="127" t="n">
        <v>22000</v>
      </c>
      <c r="J200" s="127" t="inlineStr">
        <is>
          <t>11</t>
        </is>
      </c>
      <c r="K200" s="127" t="n">
        <v>21000</v>
      </c>
      <c r="L200" s="127" t="inlineStr">
        <is>
          <t>19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2</v>
      </c>
      <c r="S200" s="111" t="inlineStr">
        <is>
          <t>계</t>
        </is>
      </c>
      <c r="T200" s="5" t="n">
        <v>106</v>
      </c>
      <c r="U200" s="9" t="n"/>
    </row>
    <row r="201" ht="12" customFormat="1" customHeight="1" s="38">
      <c r="A201" s="114" t="inlineStr">
        <is>
          <t>쌍용동 계룡푸른마을</t>
        </is>
      </c>
      <c r="B201" s="115" t="inlineStr">
        <is>
          <t>96.08.</t>
        </is>
      </c>
      <c r="C201" s="123" t="n">
        <v>416</v>
      </c>
      <c r="D201" s="124" t="n">
        <v>105.8</v>
      </c>
      <c r="E201" s="125" t="n">
        <v>32</v>
      </c>
      <c r="F201" s="124" t="n">
        <v>85</v>
      </c>
      <c r="G201" s="17" t="n">
        <v>26</v>
      </c>
      <c r="H201" s="126" t="n">
        <v>148</v>
      </c>
      <c r="I201" s="127" t="n">
        <v>22000</v>
      </c>
      <c r="J201" s="127" t="inlineStr">
        <is>
          <t>18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105</v>
      </c>
      <c r="U201" s="9" t="n"/>
    </row>
    <row r="202" ht="12" customFormat="1" customHeight="1" s="38">
      <c r="A202" s="114" t="inlineStr">
        <is>
          <t>두정동 대우</t>
        </is>
      </c>
      <c r="B202" s="115" t="inlineStr">
        <is>
          <t>96.12.</t>
        </is>
      </c>
      <c r="C202" s="123" t="n">
        <v>1038</v>
      </c>
      <c r="D202" s="124" t="n">
        <v>88.7</v>
      </c>
      <c r="E202" s="125" t="n">
        <v>27</v>
      </c>
      <c r="F202" s="124" t="n">
        <v>70</v>
      </c>
      <c r="G202" s="17" t="n">
        <v>21</v>
      </c>
      <c r="H202" s="126" t="n">
        <v>200</v>
      </c>
      <c r="I202" s="127" t="n">
        <v>21000</v>
      </c>
      <c r="J202" s="127" t="inlineStr">
        <is>
          <t>20</t>
        </is>
      </c>
      <c r="K202" s="127" t="n">
        <v>19500</v>
      </c>
      <c r="L202" s="127" t="inlineStr">
        <is>
          <t>6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계</t>
        </is>
      </c>
      <c r="T202" s="5" t="n">
        <v>88</v>
      </c>
      <c r="U202" s="9" t="n"/>
    </row>
    <row r="203" ht="12" customFormat="1" customHeight="1" s="38">
      <c r="A203" s="114" t="inlineStr">
        <is>
          <t>쌍용동 상록수현대</t>
        </is>
      </c>
      <c r="B203" s="115" t="inlineStr">
        <is>
          <t>95.11.</t>
        </is>
      </c>
      <c r="C203" s="123" t="n">
        <v>464</v>
      </c>
      <c r="D203" s="124" t="n">
        <v>109.4</v>
      </c>
      <c r="E203" s="125" t="n">
        <v>33</v>
      </c>
      <c r="F203" s="124" t="n">
        <v>84.40000000000001</v>
      </c>
      <c r="G203" s="17" t="n">
        <v>26</v>
      </c>
      <c r="H203" s="126" t="n">
        <v>256</v>
      </c>
      <c r="I203" s="127" t="n">
        <v>21000</v>
      </c>
      <c r="J203" s="127" t="inlineStr">
        <is>
          <t>17</t>
        </is>
      </c>
      <c r="K203" s="127" t="n">
        <v>20000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3</v>
      </c>
      <c r="R203" s="111" t="n">
        <v>2</v>
      </c>
      <c r="S203" s="111" t="inlineStr">
        <is>
          <t>계</t>
        </is>
      </c>
      <c r="T203" s="5" t="n">
        <v>109</v>
      </c>
      <c r="U203" s="9" t="n"/>
    </row>
    <row r="204" ht="12" customFormat="1" customHeight="1" s="38">
      <c r="A204" s="114" t="inlineStr">
        <is>
          <t>두정동 경남아너스빌</t>
        </is>
      </c>
      <c r="B204" s="115" t="inlineStr">
        <is>
          <t>04.06.</t>
        </is>
      </c>
      <c r="C204" s="123" t="n">
        <v>458</v>
      </c>
      <c r="D204" s="124" t="n">
        <v>81.3</v>
      </c>
      <c r="E204" s="125" t="n">
        <v>25</v>
      </c>
      <c r="F204" s="124" t="n">
        <v>59.6</v>
      </c>
      <c r="G204" s="17" t="n">
        <v>18</v>
      </c>
      <c r="H204" s="126" t="n">
        <v>173</v>
      </c>
      <c r="I204" s="127" t="n">
        <v>20000</v>
      </c>
      <c r="J204" s="127" t="inlineStr">
        <is>
          <t>5</t>
        </is>
      </c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81</v>
      </c>
      <c r="U204" s="9" t="n"/>
    </row>
    <row r="205" ht="12" customFormat="1" customHeight="1" s="38">
      <c r="A205" s="114" t="inlineStr">
        <is>
          <t>성정동 선경</t>
        </is>
      </c>
      <c r="B205" s="115" t="inlineStr">
        <is>
          <t>94.06.</t>
        </is>
      </c>
      <c r="C205" s="123" t="n">
        <v>378</v>
      </c>
      <c r="D205" s="124" t="n">
        <v>154.8</v>
      </c>
      <c r="E205" s="125" t="n">
        <v>47</v>
      </c>
      <c r="F205" s="124" t="n">
        <v>128.9</v>
      </c>
      <c r="G205" s="17" t="n">
        <v>39</v>
      </c>
      <c r="H205" s="126" t="n">
        <v>84</v>
      </c>
      <c r="I205" s="127" t="n">
        <v>20000</v>
      </c>
      <c r="J205" s="127" t="inlineStr">
        <is>
          <t>13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4</v>
      </c>
      <c r="R205" s="111" t="n">
        <v>2</v>
      </c>
      <c r="S205" s="111" t="inlineStr">
        <is>
          <t>계</t>
        </is>
      </c>
      <c r="T205" s="5" t="n">
        <v>154</v>
      </c>
      <c r="U205" s="9" t="n"/>
    </row>
    <row r="206" ht="12" customFormat="1" customHeight="1" s="38">
      <c r="A206" s="114" t="inlineStr">
        <is>
          <t>쌍용동 일성3차(능수)</t>
        </is>
      </c>
      <c r="B206" s="115" t="inlineStr">
        <is>
          <t>94.12.</t>
        </is>
      </c>
      <c r="C206" s="123" t="n">
        <v>768</v>
      </c>
      <c r="D206" s="124" t="n">
        <v>105.7</v>
      </c>
      <c r="E206" s="125" t="n">
        <v>32</v>
      </c>
      <c r="F206" s="124" t="n">
        <v>84.90000000000001</v>
      </c>
      <c r="G206" s="17" t="n">
        <v>26</v>
      </c>
      <c r="H206" s="126" t="n">
        <v>211</v>
      </c>
      <c r="I206" s="127" t="n">
        <v>20000</v>
      </c>
      <c r="J206" s="127" t="inlineStr">
        <is>
          <t>고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105N</t>
        </is>
      </c>
      <c r="U206" s="9" t="n"/>
    </row>
    <row r="207" ht="12" customFormat="1" customHeight="1" s="38">
      <c r="A207" s="114" t="inlineStr">
        <is>
          <t>두정동 한성스위트빌</t>
        </is>
      </c>
      <c r="B207" s="115" t="inlineStr">
        <is>
          <t>02.08.</t>
        </is>
      </c>
      <c r="C207" s="123" t="n">
        <v>600</v>
      </c>
      <c r="D207" s="124" t="n">
        <v>90</v>
      </c>
      <c r="E207" s="125" t="n">
        <v>27</v>
      </c>
      <c r="F207" s="124" t="n">
        <v>71</v>
      </c>
      <c r="G207" s="17" t="n">
        <v>21</v>
      </c>
      <c r="H207" s="126" t="n">
        <v>285</v>
      </c>
      <c r="I207" s="127" t="n">
        <v>19500</v>
      </c>
      <c r="J207" s="127" t="inlineStr">
        <is>
          <t>15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89</v>
      </c>
      <c r="U207" s="9" t="n"/>
    </row>
    <row r="208" ht="12" customFormat="1" customHeight="1" s="38">
      <c r="A208" s="114" t="inlineStr">
        <is>
          <t>쌍용동 광명</t>
        </is>
      </c>
      <c r="B208" s="115" t="inlineStr">
        <is>
          <t>93.11.</t>
        </is>
      </c>
      <c r="C208" s="123" t="n">
        <v>990</v>
      </c>
      <c r="D208" s="124" t="n">
        <v>114</v>
      </c>
      <c r="E208" s="125" t="n">
        <v>34</v>
      </c>
      <c r="F208" s="124" t="n">
        <v>84.59999999999999</v>
      </c>
      <c r="G208" s="17" t="n">
        <v>26</v>
      </c>
      <c r="H208" s="126" t="n">
        <v>554</v>
      </c>
      <c r="I208" s="127" t="n">
        <v>19500</v>
      </c>
      <c r="J208" s="127" t="inlineStr">
        <is>
          <t>13</t>
        </is>
      </c>
      <c r="K208" s="127" t="n">
        <v>22000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n">
        <v>114</v>
      </c>
      <c r="U208" s="9" t="n"/>
    </row>
    <row r="209" ht="12" customFormat="1" customHeight="1" s="38">
      <c r="A209" s="114" t="inlineStr">
        <is>
          <t>성환읍 부영2차</t>
        </is>
      </c>
      <c r="B209" s="115" t="inlineStr">
        <is>
          <t>05.05.</t>
        </is>
      </c>
      <c r="C209" s="123" t="n">
        <v>414</v>
      </c>
      <c r="D209" s="124" t="n">
        <v>105.9</v>
      </c>
      <c r="E209" s="125" t="n">
        <v>32</v>
      </c>
      <c r="F209" s="124" t="n">
        <v>85</v>
      </c>
      <c r="G209" s="17" t="n">
        <v>26</v>
      </c>
      <c r="H209" s="126" t="n">
        <v>354</v>
      </c>
      <c r="I209" s="127" t="n">
        <v>19000</v>
      </c>
      <c r="J209" s="127" t="inlineStr">
        <is>
          <t>14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n">
        <v>105</v>
      </c>
      <c r="U209" s="9" t="n"/>
    </row>
    <row r="210" ht="12" customFormat="1" customHeight="1" s="38">
      <c r="A210" s="114" t="inlineStr">
        <is>
          <t>쌍용동 쌍용마을뜨란채</t>
        </is>
      </c>
      <c r="B210" s="115" t="inlineStr">
        <is>
          <t>99.06.</t>
        </is>
      </c>
      <c r="C210" s="123" t="n">
        <v>1431</v>
      </c>
      <c r="D210" s="124" t="n">
        <v>76.5</v>
      </c>
      <c r="E210" s="125" t="n">
        <v>23</v>
      </c>
      <c r="F210" s="124" t="n">
        <v>60</v>
      </c>
      <c r="G210" s="17" t="n">
        <v>18</v>
      </c>
      <c r="H210" s="126" t="n">
        <v>732</v>
      </c>
      <c r="I210" s="127" t="n">
        <v>19000</v>
      </c>
      <c r="J210" s="127" t="inlineStr">
        <is>
          <t>12</t>
        </is>
      </c>
      <c r="K210" s="127" t="n">
        <v>17000</v>
      </c>
      <c r="L210" s="127" t="inlineStr">
        <is>
          <t>8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76A</t>
        </is>
      </c>
      <c r="U210" s="9" t="n"/>
    </row>
    <row r="211" ht="12" customFormat="1" customHeight="1" s="38">
      <c r="A211" s="114" t="inlineStr">
        <is>
          <t>쌍용동 일성1차</t>
        </is>
      </c>
      <c r="B211" s="115" t="inlineStr">
        <is>
          <t>92.11.</t>
        </is>
      </c>
      <c r="C211" s="123" t="n">
        <v>570</v>
      </c>
      <c r="D211" s="124" t="n">
        <v>102.4</v>
      </c>
      <c r="E211" s="125" t="n">
        <v>31</v>
      </c>
      <c r="F211" s="124" t="n">
        <v>84.7</v>
      </c>
      <c r="G211" s="17" t="n">
        <v>26</v>
      </c>
      <c r="H211" s="126" t="n">
        <v>369</v>
      </c>
      <c r="I211" s="127" t="n">
        <v>19000</v>
      </c>
      <c r="J211" s="127" t="inlineStr">
        <is>
          <t>13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n">
        <v>102</v>
      </c>
      <c r="U211" s="9" t="n"/>
    </row>
    <row r="212" ht="12" customFormat="1" customHeight="1" s="38">
      <c r="A212" s="114" t="inlineStr">
        <is>
          <t>백석동 현대</t>
        </is>
      </c>
      <c r="B212" s="115" t="inlineStr">
        <is>
          <t>92.12.</t>
        </is>
      </c>
      <c r="C212" s="123" t="n">
        <v>976</v>
      </c>
      <c r="D212" s="124" t="n">
        <v>89</v>
      </c>
      <c r="E212" s="125" t="n">
        <v>27</v>
      </c>
      <c r="F212" s="124" t="n">
        <v>73.90000000000001</v>
      </c>
      <c r="G212" s="17" t="n">
        <v>22</v>
      </c>
      <c r="H212" s="126" t="n">
        <v>120</v>
      </c>
      <c r="I212" s="127" t="n">
        <v>18700</v>
      </c>
      <c r="J212" s="127" t="inlineStr">
        <is>
          <t>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89</v>
      </c>
      <c r="U212" s="9" t="n"/>
    </row>
    <row r="213" ht="12" customFormat="1" customHeight="1" s="38">
      <c r="A213" s="114" t="inlineStr">
        <is>
          <t>쌍용동 계룡푸른마을</t>
        </is>
      </c>
      <c r="B213" s="115" t="inlineStr">
        <is>
          <t>96.08.</t>
        </is>
      </c>
      <c r="C213" s="123" t="n">
        <v>416</v>
      </c>
      <c r="D213" s="124" t="n">
        <v>78.2</v>
      </c>
      <c r="E213" s="125" t="n">
        <v>24</v>
      </c>
      <c r="F213" s="124" t="n">
        <v>59.8</v>
      </c>
      <c r="G213" s="17" t="n">
        <v>18</v>
      </c>
      <c r="H213" s="126" t="n">
        <v>251</v>
      </c>
      <c r="I213" s="127" t="n">
        <v>18700</v>
      </c>
      <c r="J213" s="127" t="inlineStr">
        <is>
          <t>13</t>
        </is>
      </c>
      <c r="K213" s="127" t="n">
        <v>17200</v>
      </c>
      <c r="L213" s="127" t="inlineStr">
        <is>
          <t>11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1</v>
      </c>
      <c r="S213" s="111" t="inlineStr">
        <is>
          <t>계</t>
        </is>
      </c>
      <c r="T213" s="5" t="inlineStr">
        <is>
          <t>78A</t>
        </is>
      </c>
      <c r="U213" s="9" t="n"/>
    </row>
    <row r="214" ht="12" customFormat="1" customHeight="1" s="38">
      <c r="A214" s="114" t="inlineStr">
        <is>
          <t>백석동 현대</t>
        </is>
      </c>
      <c r="B214" s="115" t="inlineStr">
        <is>
          <t>92.12.</t>
        </is>
      </c>
      <c r="C214" s="123" t="n">
        <v>976</v>
      </c>
      <c r="D214" s="124" t="n">
        <v>102</v>
      </c>
      <c r="E214" s="125" t="n">
        <v>31</v>
      </c>
      <c r="F214" s="124" t="n">
        <v>84.7</v>
      </c>
      <c r="G214" s="17" t="n">
        <v>26</v>
      </c>
      <c r="H214" s="126" t="n">
        <v>469</v>
      </c>
      <c r="I214" s="127" t="n">
        <v>18500</v>
      </c>
      <c r="J214" s="127" t="inlineStr">
        <is>
          <t>10</t>
        </is>
      </c>
      <c r="K214" s="127" t="n">
        <v>17000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n">
        <v>102</v>
      </c>
      <c r="U214" s="9" t="n"/>
    </row>
    <row r="215" ht="12" customFormat="1" customHeight="1" s="38">
      <c r="A215" s="114" t="inlineStr">
        <is>
          <t>성정동 주공5단지</t>
        </is>
      </c>
      <c r="B215" s="115" t="inlineStr">
        <is>
          <t>88.10.</t>
        </is>
      </c>
      <c r="C215" s="123" t="n">
        <v>920</v>
      </c>
      <c r="D215" s="124" t="n">
        <v>49.9</v>
      </c>
      <c r="E215" s="125" t="n">
        <v>15</v>
      </c>
      <c r="F215" s="124" t="n">
        <v>39.7</v>
      </c>
      <c r="G215" s="17" t="n">
        <v>12</v>
      </c>
      <c r="H215" s="126" t="n">
        <v>250</v>
      </c>
      <c r="I215" s="127" t="n">
        <v>18500</v>
      </c>
      <c r="J215" s="127" t="inlineStr">
        <is>
          <t>중</t>
        </is>
      </c>
      <c r="K215" s="127" t="n">
        <v>9000</v>
      </c>
      <c r="L215" s="127" t="inlineStr">
        <is>
          <t>고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2</v>
      </c>
      <c r="R215" s="111" t="n">
        <v>1</v>
      </c>
      <c r="S215" s="111" t="inlineStr">
        <is>
          <t>계</t>
        </is>
      </c>
      <c r="T215" s="5" t="inlineStr">
        <is>
          <t>49B</t>
        </is>
      </c>
      <c r="U215" s="9" t="n"/>
    </row>
    <row r="216" ht="12" customFormat="1" customHeight="1" s="38">
      <c r="A216" s="114" t="inlineStr">
        <is>
          <t>쌍용동 해누리선경</t>
        </is>
      </c>
      <c r="B216" s="115" t="inlineStr">
        <is>
          <t>96.12.</t>
        </is>
      </c>
      <c r="C216" s="123" t="n">
        <v>938</v>
      </c>
      <c r="D216" s="124" t="n">
        <v>79.2</v>
      </c>
      <c r="E216" s="125" t="n">
        <v>24</v>
      </c>
      <c r="F216" s="124" t="n">
        <v>59.8</v>
      </c>
      <c r="G216" s="17" t="n">
        <v>18</v>
      </c>
      <c r="H216" s="126" t="n">
        <v>500</v>
      </c>
      <c r="I216" s="127" t="n">
        <v>18500</v>
      </c>
      <c r="J216" s="127" t="inlineStr">
        <is>
          <t>6</t>
        </is>
      </c>
      <c r="K216" s="127" t="n">
        <v>16500</v>
      </c>
      <c r="L216" s="127" t="inlineStr">
        <is>
          <t>5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1</v>
      </c>
      <c r="S216" s="111" t="inlineStr">
        <is>
          <t>계</t>
        </is>
      </c>
      <c r="T216" s="5" t="n">
        <v>79</v>
      </c>
      <c r="U216" s="9" t="n"/>
    </row>
    <row r="217" ht="12" customFormat="1" customHeight="1" s="38">
      <c r="A217" s="114" t="inlineStr">
        <is>
          <t>두정동 대우</t>
        </is>
      </c>
      <c r="B217" s="115" t="inlineStr">
        <is>
          <t>96.12.</t>
        </is>
      </c>
      <c r="C217" s="123" t="n">
        <v>1038</v>
      </c>
      <c r="D217" s="124" t="n">
        <v>78.2</v>
      </c>
      <c r="E217" s="125" t="n">
        <v>24</v>
      </c>
      <c r="F217" s="124" t="n">
        <v>59.9</v>
      </c>
      <c r="G217" s="17" t="n">
        <v>18</v>
      </c>
      <c r="H217" s="126" t="n">
        <v>240</v>
      </c>
      <c r="I217" s="127" t="n">
        <v>18000</v>
      </c>
      <c r="J217" s="127" t="inlineStr">
        <is>
          <t>20</t>
        </is>
      </c>
      <c r="K217" s="127" t="n">
        <v>18000</v>
      </c>
      <c r="L217" s="127" t="inlineStr">
        <is>
          <t>14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3</v>
      </c>
      <c r="R217" s="111" t="n">
        <v>1</v>
      </c>
      <c r="S217" s="111" t="inlineStr">
        <is>
          <t>계</t>
        </is>
      </c>
      <c r="T217" s="5" t="inlineStr">
        <is>
          <t>78A</t>
        </is>
      </c>
      <c r="U217" s="9" t="n"/>
    </row>
    <row r="218" ht="12" customFormat="1" customHeight="1" s="38">
      <c r="A218" s="114" t="inlineStr">
        <is>
          <t>성정동 현대</t>
        </is>
      </c>
      <c r="B218" s="115" t="inlineStr">
        <is>
          <t>90.04.</t>
        </is>
      </c>
      <c r="C218" s="123" t="n">
        <v>520</v>
      </c>
      <c r="D218" s="124" t="n">
        <v>103.6</v>
      </c>
      <c r="E218" s="125" t="n">
        <v>31</v>
      </c>
      <c r="F218" s="124" t="n">
        <v>84.90000000000001</v>
      </c>
      <c r="G218" s="17" t="n">
        <v>26</v>
      </c>
      <c r="H218" s="126" t="n">
        <v>364</v>
      </c>
      <c r="I218" s="127" t="n">
        <v>18000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1</v>
      </c>
      <c r="S218" s="111" t="inlineStr">
        <is>
          <t>계</t>
        </is>
      </c>
      <c r="T218" s="5" t="n">
        <v>103</v>
      </c>
      <c r="U218" s="9" t="n"/>
    </row>
    <row r="219" ht="12" customFormat="1" customHeight="1" s="38">
      <c r="A219" s="114" t="inlineStr">
        <is>
          <t>쌍용동 주공9단지</t>
        </is>
      </c>
      <c r="B219" s="115" t="inlineStr">
        <is>
          <t>98.04.</t>
        </is>
      </c>
      <c r="C219" s="123" t="n">
        <v>1650</v>
      </c>
      <c r="D219" s="124" t="n">
        <v>76.8</v>
      </c>
      <c r="E219" s="125" t="n">
        <v>23</v>
      </c>
      <c r="F219" s="124" t="n">
        <v>59.7</v>
      </c>
      <c r="G219" s="17" t="n">
        <v>18</v>
      </c>
      <c r="H219" s="126" t="n">
        <v>270</v>
      </c>
      <c r="I219" s="127" t="n">
        <v>18000</v>
      </c>
      <c r="J219" s="127" t="inlineStr">
        <is>
          <t>고</t>
        </is>
      </c>
      <c r="K219" s="127" t="n">
        <v>16000</v>
      </c>
      <c r="L219" s="127" t="inlineStr">
        <is>
          <t>14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1</v>
      </c>
      <c r="S219" s="111" t="inlineStr">
        <is>
          <t>복</t>
        </is>
      </c>
      <c r="T219" s="5" t="n">
        <v>76</v>
      </c>
      <c r="U219" s="9" t="n"/>
    </row>
    <row r="220" ht="12" customFormat="1" customHeight="1" s="38">
      <c r="A220" s="114" t="inlineStr">
        <is>
          <t>쌍용동 상록수현대</t>
        </is>
      </c>
      <c r="B220" s="115" t="inlineStr">
        <is>
          <t>95.11.</t>
        </is>
      </c>
      <c r="C220" s="123" t="n">
        <v>464</v>
      </c>
      <c r="D220" s="124" t="n">
        <v>77</v>
      </c>
      <c r="E220" s="125" t="n">
        <v>23</v>
      </c>
      <c r="F220" s="124" t="n">
        <v>59.4</v>
      </c>
      <c r="G220" s="17" t="n">
        <v>18</v>
      </c>
      <c r="H220" s="126" t="n">
        <v>208</v>
      </c>
      <c r="I220" s="127" t="n">
        <v>18000</v>
      </c>
      <c r="J220" s="127" t="inlineStr">
        <is>
          <t>10</t>
        </is>
      </c>
      <c r="K220" s="127" t="n">
        <v>12000</v>
      </c>
      <c r="L220" s="127" t="inlineStr">
        <is>
          <t>19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77</v>
      </c>
      <c r="U220" s="9" t="n"/>
    </row>
    <row r="221" ht="12" customFormat="1" customHeight="1" s="38">
      <c r="A221" s="114" t="inlineStr">
        <is>
          <t>쌍용동 현대3차</t>
        </is>
      </c>
      <c r="B221" s="115" t="inlineStr">
        <is>
          <t>94.12.</t>
        </is>
      </c>
      <c r="C221" s="123" t="n">
        <v>378</v>
      </c>
      <c r="D221" s="124" t="n">
        <v>75.90000000000001</v>
      </c>
      <c r="E221" s="125" t="n">
        <v>23</v>
      </c>
      <c r="F221" s="124" t="n">
        <v>59.4</v>
      </c>
      <c r="G221" s="17" t="n">
        <v>18</v>
      </c>
      <c r="H221" s="126" t="n">
        <v>160</v>
      </c>
      <c r="I221" s="127" t="n">
        <v>18000</v>
      </c>
      <c r="J221" s="127" t="inlineStr">
        <is>
          <t>17</t>
        </is>
      </c>
      <c r="K221" s="127" t="n">
        <v>14000</v>
      </c>
      <c r="L221" s="127" t="inlineStr">
        <is>
          <t>고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1</v>
      </c>
      <c r="S221" s="111" t="inlineStr">
        <is>
          <t>복</t>
        </is>
      </c>
      <c r="T221" s="5" t="inlineStr">
        <is>
          <t>75A</t>
        </is>
      </c>
      <c r="U221" s="9" t="n"/>
    </row>
    <row r="222" ht="12" customFormat="1" customHeight="1" s="38">
      <c r="A222" s="114" t="inlineStr">
        <is>
          <t>쌍용동 월봉일성5차</t>
        </is>
      </c>
      <c r="B222" s="115" t="inlineStr">
        <is>
          <t>99.05.</t>
        </is>
      </c>
      <c r="C222" s="123" t="n">
        <v>765</v>
      </c>
      <c r="D222" s="124" t="n">
        <v>80</v>
      </c>
      <c r="E222" s="125" t="n">
        <v>24</v>
      </c>
      <c r="F222" s="124" t="n">
        <v>60</v>
      </c>
      <c r="G222" s="17" t="n">
        <v>18</v>
      </c>
      <c r="H222" s="126" t="n">
        <v>237</v>
      </c>
      <c r="I222" s="127" t="n">
        <v>18000</v>
      </c>
      <c r="J222" s="127" t="inlineStr">
        <is>
          <t>15</t>
        </is>
      </c>
      <c r="K222" s="127" t="n">
        <v>17500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80</v>
      </c>
      <c r="U222" s="9" t="n"/>
    </row>
    <row r="223" ht="12" customFormat="1" customHeight="1" s="38">
      <c r="A223" s="114" t="inlineStr">
        <is>
          <t>두정동 우성</t>
        </is>
      </c>
      <c r="B223" s="115" t="inlineStr">
        <is>
          <t>96.09.</t>
        </is>
      </c>
      <c r="C223" s="123" t="n">
        <v>736</v>
      </c>
      <c r="D223" s="124" t="n">
        <v>75.40000000000001</v>
      </c>
      <c r="E223" s="125" t="n">
        <v>23</v>
      </c>
      <c r="F223" s="124" t="n">
        <v>59.7</v>
      </c>
      <c r="G223" s="17" t="n">
        <v>18</v>
      </c>
      <c r="H223" s="126" t="n">
        <v>480</v>
      </c>
      <c r="I223" s="127" t="n">
        <v>17500</v>
      </c>
      <c r="J223" s="127" t="inlineStr">
        <is>
          <t>중</t>
        </is>
      </c>
      <c r="K223" s="127" t="n">
        <v>16000</v>
      </c>
      <c r="L223" s="127" t="inlineStr">
        <is>
          <t>14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1</v>
      </c>
      <c r="S223" s="111" t="inlineStr">
        <is>
          <t>계</t>
        </is>
      </c>
      <c r="T223" s="5" t="n">
        <v>75</v>
      </c>
      <c r="U223" s="9" t="n"/>
    </row>
    <row r="224" ht="12" customFormat="1" customHeight="1" s="38">
      <c r="A224" s="114" t="inlineStr">
        <is>
          <t>성정동 주공6단지1차</t>
        </is>
      </c>
      <c r="B224" s="115" t="inlineStr">
        <is>
          <t>89.11.</t>
        </is>
      </c>
      <c r="C224" s="123" t="n">
        <v>580</v>
      </c>
      <c r="D224" s="124" t="n">
        <v>57.9</v>
      </c>
      <c r="E224" s="125" t="n">
        <v>18</v>
      </c>
      <c r="F224" s="124" t="n">
        <v>47</v>
      </c>
      <c r="G224" s="17" t="n">
        <v>14</v>
      </c>
      <c r="H224" s="126" t="n">
        <v>210</v>
      </c>
      <c r="I224" s="127" t="n">
        <v>17500</v>
      </c>
      <c r="J224" s="127" t="inlineStr">
        <is>
          <t>5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57B</t>
        </is>
      </c>
      <c r="U224" s="9" t="n"/>
    </row>
    <row r="225" ht="12" customFormat="1" customHeight="1" s="38">
      <c r="A225" s="114" t="inlineStr">
        <is>
          <t>쌍용동 일성1차</t>
        </is>
      </c>
      <c r="B225" s="115" t="inlineStr">
        <is>
          <t>92.11.</t>
        </is>
      </c>
      <c r="C225" s="123" t="n">
        <v>570</v>
      </c>
      <c r="D225" s="124" t="n">
        <v>90.3</v>
      </c>
      <c r="E225" s="125" t="n">
        <v>27</v>
      </c>
      <c r="F225" s="124" t="n">
        <v>74.7</v>
      </c>
      <c r="G225" s="17" t="n">
        <v>23</v>
      </c>
      <c r="H225" s="126" t="n">
        <v>96</v>
      </c>
      <c r="I225" s="127" t="n">
        <v>17500</v>
      </c>
      <c r="J225" s="127" t="inlineStr">
        <is>
          <t>15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n">
        <v>90</v>
      </c>
      <c r="U225" s="9" t="n"/>
    </row>
    <row r="226" ht="12" customFormat="1" customHeight="1" s="38">
      <c r="A226" s="114" t="inlineStr">
        <is>
          <t>두정동 주공8단지</t>
        </is>
      </c>
      <c r="B226" s="115" t="inlineStr">
        <is>
          <t>96.11.</t>
        </is>
      </c>
      <c r="C226" s="123" t="n">
        <v>947</v>
      </c>
      <c r="D226" s="124" t="n">
        <v>84.2</v>
      </c>
      <c r="E226" s="125" t="n">
        <v>25</v>
      </c>
      <c r="F226" s="124" t="n">
        <v>60</v>
      </c>
      <c r="G226" s="17" t="n">
        <v>18</v>
      </c>
      <c r="H226" s="126" t="n">
        <v>595</v>
      </c>
      <c r="I226" s="127" t="n">
        <v>17000</v>
      </c>
      <c r="J226" s="127" t="inlineStr">
        <is>
          <t>6</t>
        </is>
      </c>
      <c r="K226" s="127" t="n">
        <v>17000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3</v>
      </c>
      <c r="R226" s="111" t="n">
        <v>1</v>
      </c>
      <c r="S226" s="111" t="inlineStr">
        <is>
          <t>복</t>
        </is>
      </c>
      <c r="T226" s="5" t="n">
        <v>84</v>
      </c>
      <c r="U226" s="9" t="n"/>
    </row>
    <row r="227" ht="12" customFormat="1" customHeight="1" s="38">
      <c r="A227" s="114" t="inlineStr">
        <is>
          <t>두정동 극동늘푸른</t>
        </is>
      </c>
      <c r="B227" s="115" t="inlineStr">
        <is>
          <t>96.12.</t>
        </is>
      </c>
      <c r="C227" s="123" t="n">
        <v>1452</v>
      </c>
      <c r="D227" s="124" t="n">
        <v>80.3</v>
      </c>
      <c r="E227" s="125" t="n">
        <v>24</v>
      </c>
      <c r="F227" s="124" t="n">
        <v>59.9</v>
      </c>
      <c r="G227" s="17" t="n">
        <v>18</v>
      </c>
      <c r="H227" s="126" t="n">
        <v>776</v>
      </c>
      <c r="I227" s="127" t="n">
        <v>17000</v>
      </c>
      <c r="J227" s="127" t="inlineStr">
        <is>
          <t>9</t>
        </is>
      </c>
      <c r="K227" s="127" t="n">
        <v>18000</v>
      </c>
      <c r="L227" s="127" t="inlineStr">
        <is>
          <t>11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80</v>
      </c>
      <c r="U227" s="9" t="n"/>
    </row>
    <row r="228" ht="12" customFormat="1" customHeight="1" s="38">
      <c r="A228" s="114" t="inlineStr">
        <is>
          <t>성정동 대우목화</t>
        </is>
      </c>
      <c r="B228" s="115" t="inlineStr">
        <is>
          <t>86.10.</t>
        </is>
      </c>
      <c r="C228" s="123" t="n">
        <v>590</v>
      </c>
      <c r="D228" s="124" t="n">
        <v>59.5</v>
      </c>
      <c r="E228" s="125" t="n">
        <v>18</v>
      </c>
      <c r="F228" s="124" t="n">
        <v>53.1</v>
      </c>
      <c r="G228" s="17" t="n">
        <v>16</v>
      </c>
      <c r="H228" s="126" t="n">
        <v>50</v>
      </c>
      <c r="I228" s="127" t="n">
        <v>17000</v>
      </c>
      <c r="J228" s="127" t="inlineStr">
        <is>
          <t>5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2</v>
      </c>
      <c r="R228" s="111" t="n">
        <v>1</v>
      </c>
      <c r="S228" s="111" t="inlineStr">
        <is>
          <t>계</t>
        </is>
      </c>
      <c r="T228" s="5" t="n">
        <v>59</v>
      </c>
      <c r="U228" s="9" t="n"/>
    </row>
    <row r="229" ht="12" customFormat="1" customHeight="1" s="38">
      <c r="A229" s="114" t="inlineStr">
        <is>
          <t>쌍용동 한라동백</t>
        </is>
      </c>
      <c r="B229" s="115" t="inlineStr">
        <is>
          <t>95.05.</t>
        </is>
      </c>
      <c r="C229" s="123" t="n">
        <v>476</v>
      </c>
      <c r="D229" s="124" t="n">
        <v>77.5</v>
      </c>
      <c r="E229" s="125" t="n">
        <v>23</v>
      </c>
      <c r="F229" s="124" t="n">
        <v>59.8</v>
      </c>
      <c r="G229" s="17" t="n">
        <v>18</v>
      </c>
      <c r="H229" s="126" t="n">
        <v>476</v>
      </c>
      <c r="I229" s="127" t="n">
        <v>17000</v>
      </c>
      <c r="J229" s="127" t="inlineStr">
        <is>
          <t>10</t>
        </is>
      </c>
      <c r="K229" s="127" t="n">
        <v>15000</v>
      </c>
      <c r="L229" s="127" t="inlineStr">
        <is>
          <t>14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77</v>
      </c>
      <c r="U229" s="9" t="n"/>
    </row>
    <row r="230" ht="12" customFormat="1" customHeight="1" s="38">
      <c r="A230" s="114" t="inlineStr">
        <is>
          <t>쌍용동 월봉대우</t>
        </is>
      </c>
      <c r="B230" s="115" t="inlineStr">
        <is>
          <t>98.11.</t>
        </is>
      </c>
      <c r="C230" s="123" t="n">
        <v>390</v>
      </c>
      <c r="D230" s="124" t="n">
        <v>77.7</v>
      </c>
      <c r="E230" s="125" t="n">
        <v>24</v>
      </c>
      <c r="F230" s="124" t="n">
        <v>59.9</v>
      </c>
      <c r="G230" s="17" t="n">
        <v>18</v>
      </c>
      <c r="H230" s="126" t="n">
        <v>390</v>
      </c>
      <c r="I230" s="127" t="n">
        <v>17000</v>
      </c>
      <c r="J230" s="127" t="inlineStr">
        <is>
          <t>9</t>
        </is>
      </c>
      <c r="K230" s="127" t="n">
        <v>18000</v>
      </c>
      <c r="L230" s="127" t="inlineStr">
        <is>
          <t>11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77</v>
      </c>
      <c r="U230" s="9" t="n"/>
    </row>
    <row r="231" ht="12" customFormat="1" customHeight="1" s="38">
      <c r="A231" s="114" t="inlineStr">
        <is>
          <t>쌍용동 일성3차(능수)</t>
        </is>
      </c>
      <c r="B231" s="115" t="inlineStr">
        <is>
          <t>94.12.</t>
        </is>
      </c>
      <c r="C231" s="123" t="n">
        <v>768</v>
      </c>
      <c r="D231" s="124" t="n">
        <v>80.3</v>
      </c>
      <c r="E231" s="125" t="n">
        <v>24</v>
      </c>
      <c r="F231" s="124" t="n">
        <v>59.7</v>
      </c>
      <c r="G231" s="17" t="n">
        <v>18</v>
      </c>
      <c r="H231" s="126" t="n">
        <v>317</v>
      </c>
      <c r="I231" s="127" t="n">
        <v>16500</v>
      </c>
      <c r="J231" s="127" t="inlineStr">
        <is>
          <t>14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80</v>
      </c>
      <c r="U231" s="9" t="n"/>
    </row>
    <row r="232" ht="12" customFormat="1" customHeight="1" s="38">
      <c r="A232" s="114" t="inlineStr">
        <is>
          <t>두정동 주공8단지</t>
        </is>
      </c>
      <c r="B232" s="115" t="inlineStr">
        <is>
          <t>96.11.</t>
        </is>
      </c>
      <c r="C232" s="123" t="n">
        <v>947</v>
      </c>
      <c r="D232" s="124" t="n">
        <v>71</v>
      </c>
      <c r="E232" s="125" t="n">
        <v>21</v>
      </c>
      <c r="F232" s="124" t="n">
        <v>50</v>
      </c>
      <c r="G232" s="17" t="n">
        <v>15</v>
      </c>
      <c r="H232" s="126" t="n">
        <v>119</v>
      </c>
      <c r="I232" s="127" t="n">
        <v>16300</v>
      </c>
      <c r="J232" s="127" t="inlineStr">
        <is>
          <t>17</t>
        </is>
      </c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2</v>
      </c>
      <c r="R232" s="111" t="n">
        <v>1</v>
      </c>
      <c r="S232" s="111" t="inlineStr">
        <is>
          <t>복</t>
        </is>
      </c>
      <c r="T232" s="5" t="n">
        <v>70</v>
      </c>
      <c r="U232" s="9" t="n"/>
    </row>
    <row r="233" ht="12" customFormat="1" customHeight="1" s="38">
      <c r="A233" s="114" t="inlineStr">
        <is>
          <t>성정동 주공6단지3차</t>
        </is>
      </c>
      <c r="B233" s="115" t="inlineStr">
        <is>
          <t>91.06.</t>
        </is>
      </c>
      <c r="C233" s="123" t="n">
        <v>588</v>
      </c>
      <c r="D233" s="124" t="n">
        <v>57.2</v>
      </c>
      <c r="E233" s="125" t="n">
        <v>17</v>
      </c>
      <c r="F233" s="124" t="n">
        <v>47</v>
      </c>
      <c r="G233" s="17" t="n">
        <v>14</v>
      </c>
      <c r="H233" s="126" t="n">
        <v>396</v>
      </c>
      <c r="I233" s="127" t="n">
        <v>16000</v>
      </c>
      <c r="J233" s="127" t="inlineStr">
        <is>
          <t>5</t>
        </is>
      </c>
      <c r="K233" s="127" t="n">
        <v>9000</v>
      </c>
      <c r="L233" s="127" t="inlineStr">
        <is>
          <t>6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inlineStr">
        <is>
          <t>57A</t>
        </is>
      </c>
      <c r="U233" s="9" t="n"/>
    </row>
    <row r="234" ht="12" customFormat="1" customHeight="1" s="38">
      <c r="A234" s="114" t="inlineStr">
        <is>
          <t>쌍용동 대우타워</t>
        </is>
      </c>
      <c r="B234" s="115" t="inlineStr">
        <is>
          <t>94.09.</t>
        </is>
      </c>
      <c r="C234" s="123" t="n">
        <v>659</v>
      </c>
      <c r="D234" s="124" t="n">
        <v>79.8</v>
      </c>
      <c r="E234" s="125" t="n">
        <v>24</v>
      </c>
      <c r="F234" s="124" t="n">
        <v>59.8</v>
      </c>
      <c r="G234" s="17" t="n">
        <v>18</v>
      </c>
      <c r="H234" s="126" t="n">
        <v>233</v>
      </c>
      <c r="I234" s="127" t="n">
        <v>16000</v>
      </c>
      <c r="J234" s="127" t="inlineStr">
        <is>
          <t>13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2</v>
      </c>
      <c r="R234" s="111" t="n">
        <v>1</v>
      </c>
      <c r="S234" s="111" t="inlineStr">
        <is>
          <t>복</t>
        </is>
      </c>
      <c r="T234" s="5" t="n">
        <v>79</v>
      </c>
      <c r="U234" s="9" t="n"/>
    </row>
    <row r="235" ht="12" customFormat="1" customHeight="1" s="38">
      <c r="A235" s="114" t="inlineStr">
        <is>
          <t>성거읍 벽산</t>
        </is>
      </c>
      <c r="B235" s="115" t="inlineStr">
        <is>
          <t>98.12.</t>
        </is>
      </c>
      <c r="C235" s="123" t="n">
        <v>692</v>
      </c>
      <c r="D235" s="124" t="n">
        <v>93</v>
      </c>
      <c r="E235" s="125" t="n">
        <v>28</v>
      </c>
      <c r="F235" s="124" t="n">
        <v>71.8</v>
      </c>
      <c r="G235" s="17" t="n">
        <v>22</v>
      </c>
      <c r="H235" s="126" t="n">
        <v>220</v>
      </c>
      <c r="I235" s="127" t="n">
        <v>15500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n">
        <v>93</v>
      </c>
      <c r="U235" s="9" t="n"/>
    </row>
    <row r="236" ht="12" customFormat="1" customHeight="1" s="38">
      <c r="A236" s="114" t="inlineStr">
        <is>
          <t>쌍용동 광명</t>
        </is>
      </c>
      <c r="B236" s="115" t="inlineStr">
        <is>
          <t>93.11.</t>
        </is>
      </c>
      <c r="C236" s="123" t="n">
        <v>990</v>
      </c>
      <c r="D236" s="124" t="n">
        <v>84.59999999999999</v>
      </c>
      <c r="E236" s="125" t="n">
        <v>26</v>
      </c>
      <c r="F236" s="124" t="n">
        <v>59.9</v>
      </c>
      <c r="G236" s="17" t="n">
        <v>18</v>
      </c>
      <c r="H236" s="126" t="n">
        <v>360</v>
      </c>
      <c r="I236" s="127" t="n">
        <v>15500</v>
      </c>
      <c r="J236" s="127" t="inlineStr">
        <is>
          <t>6</t>
        </is>
      </c>
      <c r="K236" s="127" t="n">
        <v>16000</v>
      </c>
      <c r="L236" s="127" t="inlineStr">
        <is>
          <t>11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n">
        <v>84</v>
      </c>
      <c r="U236" s="9" t="n"/>
    </row>
    <row r="237" ht="12" customFormat="1" customHeight="1" s="38">
      <c r="A237" s="114" t="inlineStr">
        <is>
          <t>성정동 주공6단지1차</t>
        </is>
      </c>
      <c r="B237" s="115" t="inlineStr">
        <is>
          <t>89.11.</t>
        </is>
      </c>
      <c r="C237" s="123" t="n">
        <v>580</v>
      </c>
      <c r="D237" s="124" t="n">
        <v>49.9</v>
      </c>
      <c r="E237" s="125" t="n">
        <v>15</v>
      </c>
      <c r="F237" s="124" t="n">
        <v>39.7</v>
      </c>
      <c r="G237" s="17" t="n">
        <v>12</v>
      </c>
      <c r="H237" s="126" t="n">
        <v>100</v>
      </c>
      <c r="I237" s="127" t="n">
        <v>15000</v>
      </c>
      <c r="J237" s="127" t="inlineStr">
        <is>
          <t>5</t>
        </is>
      </c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쌍용동 주공7단지3차</t>
        </is>
      </c>
      <c r="B238" s="115" t="inlineStr">
        <is>
          <t>95.06.</t>
        </is>
      </c>
      <c r="C238" s="123" t="n">
        <v>930</v>
      </c>
      <c r="D238" s="124" t="n">
        <v>83</v>
      </c>
      <c r="E238" s="125" t="n">
        <v>25</v>
      </c>
      <c r="F238" s="124" t="n">
        <v>59.9</v>
      </c>
      <c r="G238" s="17" t="n">
        <v>18</v>
      </c>
      <c r="H238" s="126" t="n">
        <v>480</v>
      </c>
      <c r="I238" s="127" t="n">
        <v>15000</v>
      </c>
      <c r="J238" s="127" t="inlineStr">
        <is>
          <t>15</t>
        </is>
      </c>
      <c r="K238" s="127" t="n">
        <v>14000</v>
      </c>
      <c r="L238" s="127" t="inlineStr">
        <is>
          <t>12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1</v>
      </c>
      <c r="S238" s="111" t="inlineStr">
        <is>
          <t>복</t>
        </is>
      </c>
      <c r="T238" s="5" t="n">
        <v>83</v>
      </c>
      <c r="U238" s="9" t="n"/>
    </row>
    <row r="239" ht="12" customFormat="1" customHeight="1" s="38">
      <c r="A239" s="114" t="inlineStr">
        <is>
          <t>쌍용동 주공9단지</t>
        </is>
      </c>
      <c r="B239" s="115" t="inlineStr">
        <is>
          <t>98.04.</t>
        </is>
      </c>
      <c r="C239" s="123" t="n">
        <v>1650</v>
      </c>
      <c r="D239" s="124" t="n">
        <v>69.90000000000001</v>
      </c>
      <c r="E239" s="125" t="n">
        <v>21</v>
      </c>
      <c r="F239" s="124" t="n">
        <v>49.8</v>
      </c>
      <c r="G239" s="17" t="n">
        <v>15</v>
      </c>
      <c r="H239" s="126" t="n">
        <v>810</v>
      </c>
      <c r="I239" s="127" t="n">
        <v>14800</v>
      </c>
      <c r="J239" s="127" t="inlineStr">
        <is>
          <t>10</t>
        </is>
      </c>
      <c r="K239" s="127" t="n">
        <v>12500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2</v>
      </c>
      <c r="R239" s="111" t="n">
        <v>1</v>
      </c>
      <c r="S239" s="111" t="inlineStr">
        <is>
          <t>복</t>
        </is>
      </c>
      <c r="T239" s="5" t="n">
        <v>69</v>
      </c>
      <c r="U239" s="9" t="n"/>
    </row>
    <row r="240" ht="12" customFormat="1" customHeight="1" s="38">
      <c r="A240" s="114" t="inlineStr">
        <is>
          <t>쌍용동 월봉청솔1단지</t>
        </is>
      </c>
      <c r="B240" s="115" t="inlineStr">
        <is>
          <t>00.09.</t>
        </is>
      </c>
      <c r="C240" s="123" t="n">
        <v>1423</v>
      </c>
      <c r="D240" s="124" t="n">
        <v>67.8</v>
      </c>
      <c r="E240" s="125" t="n">
        <v>21</v>
      </c>
      <c r="F240" s="124" t="n">
        <v>50.2</v>
      </c>
      <c r="G240" s="17" t="n">
        <v>15</v>
      </c>
      <c r="H240" s="126" t="n">
        <v>1423</v>
      </c>
      <c r="I240" s="127" t="n">
        <v>14700</v>
      </c>
      <c r="J240" s="127" t="inlineStr">
        <is>
          <t>15</t>
        </is>
      </c>
      <c r="K240" s="127" t="n">
        <v>12500</v>
      </c>
      <c r="L240" s="127" t="inlineStr">
        <is>
          <t>고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복</t>
        </is>
      </c>
      <c r="T240" s="5" t="n">
        <v>67</v>
      </c>
      <c r="U240" s="9" t="n"/>
    </row>
    <row r="241" ht="12" customFormat="1" customHeight="1" s="38">
      <c r="A241" s="114" t="inlineStr">
        <is>
          <t>성거읍 벽산</t>
        </is>
      </c>
      <c r="B241" s="115" t="inlineStr">
        <is>
          <t>98.12.</t>
        </is>
      </c>
      <c r="C241" s="123" t="n">
        <v>692</v>
      </c>
      <c r="D241" s="124" t="n">
        <v>80.09999999999999</v>
      </c>
      <c r="E241" s="125" t="n">
        <v>24</v>
      </c>
      <c r="F241" s="124" t="n">
        <v>60</v>
      </c>
      <c r="G241" s="17" t="n">
        <v>18</v>
      </c>
      <c r="H241" s="126" t="n">
        <v>216</v>
      </c>
      <c r="I241" s="127" t="n">
        <v>14000</v>
      </c>
      <c r="J241" s="127" t="inlineStr">
        <is>
          <t>5</t>
        </is>
      </c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1</v>
      </c>
      <c r="S241" s="111" t="inlineStr">
        <is>
          <t>계</t>
        </is>
      </c>
      <c r="T241" s="5" t="n">
        <v>80</v>
      </c>
      <c r="U241" s="9" t="n"/>
    </row>
    <row r="242" ht="12" customFormat="1" customHeight="1" s="38">
      <c r="A242" s="114" t="inlineStr">
        <is>
          <t>성환읍 부영2차</t>
        </is>
      </c>
      <c r="B242" s="115" t="inlineStr">
        <is>
          <t>05.05.</t>
        </is>
      </c>
      <c r="C242" s="123" t="n">
        <v>414</v>
      </c>
      <c r="D242" s="124" t="n">
        <v>77.2</v>
      </c>
      <c r="E242" s="125" t="n">
        <v>23</v>
      </c>
      <c r="F242" s="124" t="n">
        <v>60</v>
      </c>
      <c r="G242" s="17" t="n">
        <v>18</v>
      </c>
      <c r="H242" s="126" t="n">
        <v>60</v>
      </c>
      <c r="I242" s="127" t="n">
        <v>14000</v>
      </c>
      <c r="J242" s="127" t="inlineStr">
        <is>
          <t>5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n">
        <v>77</v>
      </c>
      <c r="U242" s="9" t="n"/>
    </row>
    <row r="243" ht="12" customFormat="1" customHeight="1" s="38">
      <c r="A243" s="114" t="inlineStr">
        <is>
          <t>쌍용동 청솔2단지</t>
        </is>
      </c>
      <c r="B243" s="115" t="inlineStr">
        <is>
          <t>00.01.</t>
        </is>
      </c>
      <c r="C243" s="123" t="n">
        <v>1335</v>
      </c>
      <c r="D243" s="124" t="n">
        <v>68.7</v>
      </c>
      <c r="E243" s="125" t="n">
        <v>21</v>
      </c>
      <c r="F243" s="124" t="n">
        <v>48.5</v>
      </c>
      <c r="G243" s="17" t="n">
        <v>15</v>
      </c>
      <c r="H243" s="126" t="n">
        <v>1335</v>
      </c>
      <c r="I243" s="127" t="n">
        <v>14000</v>
      </c>
      <c r="J243" s="127" t="inlineStr">
        <is>
          <t>10</t>
        </is>
      </c>
      <c r="K243" s="127" t="n">
        <v>12000</v>
      </c>
      <c r="L243" s="127" t="inlineStr">
        <is>
          <t>11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2</v>
      </c>
      <c r="R243" s="111" t="n">
        <v>1</v>
      </c>
      <c r="S243" s="111" t="inlineStr">
        <is>
          <t>복</t>
        </is>
      </c>
      <c r="T243" s="5" t="n">
        <v>68</v>
      </c>
      <c r="U243" s="9" t="n"/>
    </row>
    <row r="244" ht="12" customFormat="1" customHeight="1" s="38">
      <c r="A244" s="114" t="inlineStr">
        <is>
          <t>두정동 대우</t>
        </is>
      </c>
      <c r="B244" s="115" t="inlineStr">
        <is>
          <t>96.12.</t>
        </is>
      </c>
      <c r="C244" s="123" t="n">
        <v>1038</v>
      </c>
      <c r="D244" s="124" t="n">
        <v>48.9</v>
      </c>
      <c r="E244" s="125" t="n">
        <v>15</v>
      </c>
      <c r="F244" s="124" t="n">
        <v>33.6</v>
      </c>
      <c r="G244" s="17" t="n">
        <v>10</v>
      </c>
      <c r="H244" s="126" t="n">
        <v>120</v>
      </c>
      <c r="I244" s="127" t="n">
        <v>13500</v>
      </c>
      <c r="J244" s="127" t="inlineStr">
        <is>
          <t>20</t>
        </is>
      </c>
      <c r="K244" s="127" t="n">
        <v>12000</v>
      </c>
      <c r="L244" s="127" t="inlineStr">
        <is>
          <t>9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2</v>
      </c>
      <c r="R244" s="111" t="n">
        <v>1</v>
      </c>
      <c r="S244" s="111" t="inlineStr">
        <is>
          <t>복</t>
        </is>
      </c>
      <c r="T244" s="5" t="n">
        <v>48</v>
      </c>
      <c r="U244" s="9" t="n"/>
    </row>
    <row r="245" ht="12" customFormat="1" customHeight="1" s="38">
      <c r="A245" s="114" t="inlineStr">
        <is>
          <t>성정동 선경</t>
        </is>
      </c>
      <c r="B245" s="115" t="inlineStr">
        <is>
          <t>94.06.</t>
        </is>
      </c>
      <c r="C245" s="123" t="n">
        <v>378</v>
      </c>
      <c r="D245" s="124" t="n">
        <v>80</v>
      </c>
      <c r="E245" s="125" t="n">
        <v>24</v>
      </c>
      <c r="F245" s="124" t="n">
        <v>59.9</v>
      </c>
      <c r="G245" s="17" t="n">
        <v>18</v>
      </c>
      <c r="H245" s="126" t="n">
        <v>150</v>
      </c>
      <c r="I245" s="127" t="n">
        <v>13000</v>
      </c>
      <c r="J245" s="127" t="inlineStr">
        <is>
          <t>16</t>
        </is>
      </c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2</v>
      </c>
      <c r="R245" s="111" t="n">
        <v>1</v>
      </c>
      <c r="S245" s="111" t="inlineStr">
        <is>
          <t>계</t>
        </is>
      </c>
      <c r="T245" s="5" t="n">
        <v>79</v>
      </c>
      <c r="U245" s="9" t="n"/>
    </row>
    <row r="246" ht="12" customFormat="1" customHeight="1" s="38">
      <c r="A246" s="114" t="inlineStr">
        <is>
          <t>쌍용동 주공7단지2차</t>
        </is>
      </c>
      <c r="B246" s="115" t="inlineStr">
        <is>
          <t>95.03.</t>
        </is>
      </c>
      <c r="C246" s="123" t="n">
        <v>593</v>
      </c>
      <c r="D246" s="124" t="n">
        <v>67.8</v>
      </c>
      <c r="E246" s="125" t="n">
        <v>21</v>
      </c>
      <c r="F246" s="124" t="n">
        <v>49.8</v>
      </c>
      <c r="G246" s="17" t="n">
        <v>15</v>
      </c>
      <c r="H246" s="126" t="n">
        <v>180</v>
      </c>
      <c r="I246" s="127" t="n">
        <v>12500</v>
      </c>
      <c r="J246" s="127" t="inlineStr">
        <is>
          <t>13</t>
        </is>
      </c>
      <c r="K246" s="127" t="n">
        <v>12000</v>
      </c>
      <c r="L246" s="127" t="inlineStr">
        <is>
          <t>고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2</v>
      </c>
      <c r="R246" s="111" t="n">
        <v>1</v>
      </c>
      <c r="S246" s="111" t="inlineStr">
        <is>
          <t>복</t>
        </is>
      </c>
      <c r="T246" s="5" t="n">
        <v>67</v>
      </c>
      <c r="U246" s="9" t="n"/>
    </row>
    <row r="247" ht="12" customFormat="1" customHeight="1" s="38">
      <c r="A247" s="114" t="inlineStr">
        <is>
          <t>두정동 주공8단지</t>
        </is>
      </c>
      <c r="B247" s="115" t="inlineStr">
        <is>
          <t>96.11.</t>
        </is>
      </c>
      <c r="C247" s="123" t="n">
        <v>947</v>
      </c>
      <c r="D247" s="124" t="n">
        <v>55.1</v>
      </c>
      <c r="E247" s="125" t="n">
        <v>17</v>
      </c>
      <c r="F247" s="124" t="n">
        <v>40</v>
      </c>
      <c r="G247" s="17" t="n">
        <v>12</v>
      </c>
      <c r="H247" s="126" t="n">
        <v>134</v>
      </c>
      <c r="I247" s="127" t="n">
        <v>12300</v>
      </c>
      <c r="J247" s="127" t="inlineStr">
        <is>
          <t>5</t>
        </is>
      </c>
      <c r="K247" s="127" t="n">
        <v>8500</v>
      </c>
      <c r="L247" s="127" t="inlineStr">
        <is>
          <t>중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2</v>
      </c>
      <c r="R247" s="111" t="n">
        <v>1</v>
      </c>
      <c r="S247" s="111" t="inlineStr">
        <is>
          <t>복</t>
        </is>
      </c>
      <c r="T247" s="5" t="n">
        <v>55</v>
      </c>
      <c r="U247" s="9" t="n"/>
    </row>
    <row r="248" ht="12" customFormat="1" customHeight="1" s="38">
      <c r="A248" s="114" t="inlineStr">
        <is>
          <t>쌍용동 시영2차</t>
        </is>
      </c>
      <c r="B248" s="115" t="inlineStr">
        <is>
          <t>94.11.</t>
        </is>
      </c>
      <c r="C248" s="123" t="n">
        <v>352</v>
      </c>
      <c r="D248" s="124" t="n">
        <v>66</v>
      </c>
      <c r="E248" s="125" t="n">
        <v>20</v>
      </c>
      <c r="F248" s="124" t="n">
        <v>49.7</v>
      </c>
      <c r="G248" s="17" t="n">
        <v>15</v>
      </c>
      <c r="H248" s="126" t="n">
        <v>240</v>
      </c>
      <c r="I248" s="127" t="n">
        <v>12000</v>
      </c>
      <c r="J248" s="127" t="inlineStr">
        <is>
          <t>9</t>
        </is>
      </c>
      <c r="K248" s="127" t="n">
        <v>11500</v>
      </c>
      <c r="L248" s="127" t="inlineStr">
        <is>
          <t>중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2</v>
      </c>
      <c r="R248" s="111" t="n">
        <v>1</v>
      </c>
      <c r="S248" s="111" t="inlineStr">
        <is>
          <t>복</t>
        </is>
      </c>
      <c r="T248" s="5" t="n">
        <v>66</v>
      </c>
      <c r="U248" s="9" t="n"/>
    </row>
    <row r="249" ht="12" customFormat="1" customHeight="1" s="38">
      <c r="A249" s="114" t="inlineStr">
        <is>
          <t>성환읍 부영</t>
        </is>
      </c>
      <c r="B249" s="115" t="inlineStr">
        <is>
          <t>98.06.</t>
        </is>
      </c>
      <c r="C249" s="123" t="n">
        <v>802</v>
      </c>
      <c r="D249" s="124" t="n">
        <v>81.7</v>
      </c>
      <c r="E249" s="125" t="n">
        <v>25</v>
      </c>
      <c r="F249" s="124" t="n">
        <v>59.8</v>
      </c>
      <c r="G249" s="17" t="n">
        <v>18</v>
      </c>
      <c r="H249" s="126" t="n">
        <v>144</v>
      </c>
      <c r="I249" s="127" t="n">
        <v>11000</v>
      </c>
      <c r="J249" s="127" t="inlineStr">
        <is>
          <t>6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81</v>
      </c>
      <c r="U249" s="9" t="n"/>
    </row>
    <row r="250" ht="12" customFormat="1" customHeight="1" s="38">
      <c r="A250" s="114" t="inlineStr">
        <is>
          <t>성환읍 현대한솔</t>
        </is>
      </c>
      <c r="B250" s="115" t="inlineStr">
        <is>
          <t>97.11.</t>
        </is>
      </c>
      <c r="C250" s="123" t="n">
        <v>353</v>
      </c>
      <c r="D250" s="124" t="n">
        <v>78.59999999999999</v>
      </c>
      <c r="E250" s="125" t="n">
        <v>24</v>
      </c>
      <c r="F250" s="124" t="n">
        <v>59.4</v>
      </c>
      <c r="G250" s="17" t="n">
        <v>18</v>
      </c>
      <c r="H250" s="126" t="n">
        <v>80</v>
      </c>
      <c r="I250" s="127" t="n">
        <v>11000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1</v>
      </c>
      <c r="S250" s="111" t="inlineStr">
        <is>
          <t>계</t>
        </is>
      </c>
      <c r="T250" s="5" t="inlineStr">
        <is>
          <t>78B</t>
        </is>
      </c>
      <c r="U250" s="9" t="n"/>
    </row>
    <row r="251" ht="12" customFormat="1" customHeight="1" s="38">
      <c r="A251" s="114" t="inlineStr">
        <is>
          <t>성거읍 청호8차</t>
        </is>
      </c>
      <c r="B251" s="115" t="inlineStr">
        <is>
          <t>97.10.</t>
        </is>
      </c>
      <c r="C251" s="123" t="n">
        <v>480</v>
      </c>
      <c r="D251" s="124" t="n">
        <v>79.2</v>
      </c>
      <c r="E251" s="125" t="n">
        <v>24</v>
      </c>
      <c r="F251" s="124" t="n">
        <v>59.6</v>
      </c>
      <c r="G251" s="17" t="n">
        <v>18</v>
      </c>
      <c r="H251" s="126" t="n">
        <v>336</v>
      </c>
      <c r="I251" s="127" t="n">
        <v>10500</v>
      </c>
      <c r="J251" s="127" t="inlineStr">
        <is>
          <t>고</t>
        </is>
      </c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79</v>
      </c>
      <c r="U251" s="9" t="n"/>
    </row>
    <row r="252" ht="12" customFormat="1" customHeight="1" s="38">
      <c r="A252" s="114" t="inlineStr">
        <is>
          <t>쌍용동 주공9단지</t>
        </is>
      </c>
      <c r="B252" s="115" t="inlineStr">
        <is>
          <t>98.04.</t>
        </is>
      </c>
      <c r="C252" s="123" t="n">
        <v>1650</v>
      </c>
      <c r="D252" s="124" t="n">
        <v>56.6</v>
      </c>
      <c r="E252" s="125" t="n">
        <v>17</v>
      </c>
      <c r="F252" s="124" t="n">
        <v>39.7</v>
      </c>
      <c r="G252" s="17" t="n">
        <v>12</v>
      </c>
      <c r="H252" s="126" t="n">
        <v>570</v>
      </c>
      <c r="I252" s="127" t="n">
        <v>10500</v>
      </c>
      <c r="J252" s="127" t="inlineStr">
        <is>
          <t>15</t>
        </is>
      </c>
      <c r="K252" s="127" t="n">
        <v>9500</v>
      </c>
      <c r="L252" s="127" t="inlineStr">
        <is>
          <t>고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2</v>
      </c>
      <c r="R252" s="111" t="n">
        <v>1</v>
      </c>
      <c r="S252" s="111" t="inlineStr">
        <is>
          <t>복</t>
        </is>
      </c>
      <c r="T252" s="5" t="n">
        <v>56</v>
      </c>
      <c r="U252" s="9" t="n"/>
    </row>
    <row r="253" ht="12" customFormat="1" customHeight="1" s="38">
      <c r="A253" s="114" t="inlineStr">
        <is>
          <t>쌍용동 주공7단지3차</t>
        </is>
      </c>
      <c r="B253" s="115" t="inlineStr">
        <is>
          <t>95.06.</t>
        </is>
      </c>
      <c r="C253" s="123" t="n">
        <v>930</v>
      </c>
      <c r="D253" s="124" t="n">
        <v>59.3</v>
      </c>
      <c r="E253" s="125" t="n">
        <v>18</v>
      </c>
      <c r="F253" s="124" t="n">
        <v>39.9</v>
      </c>
      <c r="G253" s="17" t="n">
        <v>12</v>
      </c>
      <c r="H253" s="126" t="n">
        <v>90</v>
      </c>
      <c r="I253" s="127" t="n">
        <v>10000</v>
      </c>
      <c r="J253" s="127" t="inlineStr">
        <is>
          <t>11</t>
        </is>
      </c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2</v>
      </c>
      <c r="R253" s="111" t="n">
        <v>1</v>
      </c>
      <c r="S253" s="111" t="inlineStr">
        <is>
          <t>복</t>
        </is>
      </c>
      <c r="T253" s="5" t="n">
        <v>59</v>
      </c>
      <c r="U253" s="9" t="n"/>
    </row>
    <row r="254" ht="12" customFormat="1" customHeight="1" s="38">
      <c r="A254" s="114" t="inlineStr">
        <is>
          <t>직산읍 부영</t>
        </is>
      </c>
      <c r="B254" s="115" t="inlineStr">
        <is>
          <t>98.04.</t>
        </is>
      </c>
      <c r="C254" s="123" t="n">
        <v>854</v>
      </c>
      <c r="D254" s="124" t="n">
        <v>84.40000000000001</v>
      </c>
      <c r="E254" s="125" t="n">
        <v>26</v>
      </c>
      <c r="F254" s="124" t="n">
        <v>59.8</v>
      </c>
      <c r="G254" s="17" t="n">
        <v>18</v>
      </c>
      <c r="H254" s="126" t="n">
        <v>336</v>
      </c>
      <c r="I254" s="127" t="n">
        <v>9700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1</v>
      </c>
      <c r="S254" s="111" t="inlineStr">
        <is>
          <t>계</t>
        </is>
      </c>
      <c r="T254" s="5" t="n">
        <v>84</v>
      </c>
      <c r="U254" s="9" t="n"/>
    </row>
    <row r="255" ht="12" customFormat="1" customHeight="1" s="38">
      <c r="A255" s="114" t="inlineStr">
        <is>
          <t>쌍용동 주공7단지2차</t>
        </is>
      </c>
      <c r="B255" s="115" t="inlineStr">
        <is>
          <t>95.03.</t>
        </is>
      </c>
      <c r="C255" s="123" t="n">
        <v>593</v>
      </c>
      <c r="D255" s="124" t="n">
        <v>57</v>
      </c>
      <c r="E255" s="125" t="n">
        <v>17</v>
      </c>
      <c r="F255" s="124" t="n">
        <v>41.9</v>
      </c>
      <c r="G255" s="17" t="n">
        <v>13</v>
      </c>
      <c r="H255" s="126" t="n">
        <v>354</v>
      </c>
      <c r="I255" s="127" t="n">
        <v>9000</v>
      </c>
      <c r="J255" s="127" t="inlineStr">
        <is>
          <t>15</t>
        </is>
      </c>
      <c r="K255" s="127" t="n">
        <v>10500</v>
      </c>
      <c r="L255" s="127" t="inlineStr">
        <is>
          <t>11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2</v>
      </c>
      <c r="R255" s="111" t="n">
        <v>1</v>
      </c>
      <c r="S255" s="111" t="inlineStr">
        <is>
          <t>복</t>
        </is>
      </c>
      <c r="T255" s="5" t="n">
        <v>57</v>
      </c>
      <c r="U255" s="9" t="n"/>
    </row>
    <row r="256" ht="12" customFormat="1" customHeight="1" s="38">
      <c r="A256" s="114" t="inlineStr">
        <is>
          <t>성환읍 두진그린힐</t>
        </is>
      </c>
      <c r="B256" s="115" t="inlineStr">
        <is>
          <t>01.08.</t>
        </is>
      </c>
      <c r="C256" s="123" t="n">
        <v>996</v>
      </c>
      <c r="D256" s="124" t="n">
        <v>83.40000000000001</v>
      </c>
      <c r="E256" s="125" t="n">
        <v>25</v>
      </c>
      <c r="F256" s="124" t="n">
        <v>59.7</v>
      </c>
      <c r="G256" s="17" t="n">
        <v>18</v>
      </c>
      <c r="H256" s="126" t="n">
        <v>360</v>
      </c>
      <c r="I256" s="127" t="n">
        <v>8500</v>
      </c>
      <c r="J256" s="127" t="inlineStr">
        <is>
          <t>10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2</v>
      </c>
      <c r="R256" s="111" t="n">
        <v>1</v>
      </c>
      <c r="S256" s="111" t="inlineStr">
        <is>
          <t>계</t>
        </is>
      </c>
      <c r="T256" s="5" t="inlineStr">
        <is>
          <t>83B</t>
        </is>
      </c>
      <c r="U256" s="9" t="n"/>
    </row>
    <row r="257" ht="12" customFormat="1" customHeight="1" s="38">
      <c r="A257" s="114" t="inlineStr">
        <is>
          <t>성환읍 부영</t>
        </is>
      </c>
      <c r="B257" s="115" t="inlineStr">
        <is>
          <t>98.06.</t>
        </is>
      </c>
      <c r="C257" s="123" t="n">
        <v>802</v>
      </c>
      <c r="D257" s="124" t="n">
        <v>68.2</v>
      </c>
      <c r="E257" s="125" t="n">
        <v>21</v>
      </c>
      <c r="F257" s="124" t="n">
        <v>49.9</v>
      </c>
      <c r="G257" s="17" t="n">
        <v>15</v>
      </c>
      <c r="H257" s="126" t="n">
        <v>658</v>
      </c>
      <c r="I257" s="127" t="n">
        <v>8300</v>
      </c>
      <c r="J257" s="127" t="inlineStr">
        <is>
          <t>12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계</t>
        </is>
      </c>
      <c r="T257" s="5" t="n">
        <v>68</v>
      </c>
      <c r="U257" s="9" t="n"/>
    </row>
    <row r="258" ht="12" customFormat="1" customHeight="1" s="38">
      <c r="A258" s="114" t="inlineStr">
        <is>
          <t>입장면 한성</t>
        </is>
      </c>
      <c r="B258" s="115" t="inlineStr">
        <is>
          <t>99.12.</t>
        </is>
      </c>
      <c r="C258" s="123" t="n">
        <v>770</v>
      </c>
      <c r="D258" s="124" t="n">
        <v>75.8</v>
      </c>
      <c r="E258" s="125" t="n">
        <v>23</v>
      </c>
      <c r="F258" s="124" t="n">
        <v>59.8</v>
      </c>
      <c r="G258" s="17" t="n">
        <v>18</v>
      </c>
      <c r="H258" s="126" t="n">
        <v>260</v>
      </c>
      <c r="I258" s="127" t="n">
        <v>8000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n">
        <v>75</v>
      </c>
      <c r="U258" s="9" t="n"/>
    </row>
    <row r="259" ht="12" customFormat="1" customHeight="1" s="38">
      <c r="A259" s="114" t="inlineStr">
        <is>
          <t>직산읍 부영</t>
        </is>
      </c>
      <c r="B259" s="115" t="inlineStr">
        <is>
          <t>98.04.</t>
        </is>
      </c>
      <c r="C259" s="123" t="n">
        <v>854</v>
      </c>
      <c r="D259" s="124" t="n">
        <v>70</v>
      </c>
      <c r="E259" s="125" t="n">
        <v>21</v>
      </c>
      <c r="F259" s="124" t="n">
        <v>49.7</v>
      </c>
      <c r="G259" s="17" t="n">
        <v>15</v>
      </c>
      <c r="H259" s="126" t="n">
        <v>518</v>
      </c>
      <c r="I259" s="127" t="n">
        <v>8000</v>
      </c>
      <c r="J259" s="127" t="inlineStr">
        <is>
          <t>10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2</v>
      </c>
      <c r="R259" s="111" t="n">
        <v>1</v>
      </c>
      <c r="S259" s="111" t="inlineStr">
        <is>
          <t>계</t>
        </is>
      </c>
      <c r="T259" s="5" t="n">
        <v>69</v>
      </c>
      <c r="U259" s="9" t="n"/>
    </row>
    <row r="260" ht="12" customFormat="1" customHeight="1" s="38">
      <c r="A260" s="114" t="inlineStr">
        <is>
          <t>성거읍 하늘빛</t>
        </is>
      </c>
      <c r="B260" s="115" t="inlineStr">
        <is>
          <t>03.12.</t>
        </is>
      </c>
      <c r="C260" s="123" t="n">
        <v>560</v>
      </c>
      <c r="D260" s="124" t="n">
        <v>81.40000000000001</v>
      </c>
      <c r="E260" s="125" t="n">
        <v>25</v>
      </c>
      <c r="F260" s="124" t="n">
        <v>59.4</v>
      </c>
      <c r="G260" s="17" t="n">
        <v>18</v>
      </c>
      <c r="H260" s="126" t="n">
        <v>440</v>
      </c>
      <c r="I260" s="127" t="n">
        <v>7500</v>
      </c>
      <c r="J260" s="127" t="inlineStr">
        <is>
          <t>5</t>
        </is>
      </c>
      <c r="K260" s="127" t="n">
        <v>6500</v>
      </c>
      <c r="L260" s="127" t="inlineStr">
        <is>
          <t>9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81</v>
      </c>
      <c r="U260" s="9" t="n"/>
    </row>
    <row r="261" ht="12" customFormat="1" customHeight="1" s="38">
      <c r="A261" s="114" t="inlineStr">
        <is>
          <t>성거읍 하늘빛</t>
        </is>
      </c>
      <c r="B261" s="115" t="inlineStr">
        <is>
          <t>03.12.</t>
        </is>
      </c>
      <c r="C261" s="123" t="n">
        <v>560</v>
      </c>
      <c r="D261" s="124" t="n">
        <v>72.40000000000001</v>
      </c>
      <c r="E261" s="125" t="n">
        <v>22</v>
      </c>
      <c r="F261" s="124" t="n">
        <v>51.9</v>
      </c>
      <c r="G261" s="17" t="n">
        <v>16</v>
      </c>
      <c r="H261" s="126" t="n">
        <v>60</v>
      </c>
      <c r="I261" s="127" t="n">
        <v>7000</v>
      </c>
      <c r="J261" s="127" t="inlineStr">
        <is>
          <t>8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2</v>
      </c>
      <c r="R261" s="111" t="n">
        <v>1</v>
      </c>
      <c r="S261" s="111" t="inlineStr">
        <is>
          <t>계</t>
        </is>
      </c>
      <c r="T261" s="5" t="n">
        <v>72</v>
      </c>
      <c r="U261" s="9" t="n"/>
    </row>
    <row r="262" ht="12" customFormat="1" customHeight="1" s="38">
      <c r="A262" s="114" t="inlineStr">
        <is>
          <t>성거읍 삼일</t>
        </is>
      </c>
      <c r="B262" s="115" t="inlineStr">
        <is>
          <t>98.05.</t>
        </is>
      </c>
      <c r="C262" s="123" t="n">
        <v>494</v>
      </c>
      <c r="D262" s="124" t="n">
        <v>49.5</v>
      </c>
      <c r="E262" s="125" t="n">
        <v>15</v>
      </c>
      <c r="F262" s="124" t="n">
        <v>37.9</v>
      </c>
      <c r="G262" s="17" t="n">
        <v>11</v>
      </c>
      <c r="H262" s="126" t="n">
        <v>190</v>
      </c>
      <c r="I262" s="127" t="n">
        <v>7000</v>
      </c>
      <c r="J262" s="127" t="inlineStr">
        <is>
          <t>6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2</v>
      </c>
      <c r="R262" s="111" t="n">
        <v>1</v>
      </c>
      <c r="S262" s="111" t="inlineStr">
        <is>
          <t>복</t>
        </is>
      </c>
      <c r="T262" s="5" t="n">
        <v>49</v>
      </c>
      <c r="U262" s="9" t="n"/>
    </row>
    <row r="263" ht="12" customFormat="1" customHeight="1" s="38">
      <c r="A263" s="114" t="inlineStr">
        <is>
          <t>성거읍 아느칸빌</t>
        </is>
      </c>
      <c r="B263" s="115" t="inlineStr">
        <is>
          <t>04.04.</t>
        </is>
      </c>
      <c r="C263" s="123" t="n">
        <v>404</v>
      </c>
      <c r="D263" s="124" t="n">
        <v>57</v>
      </c>
      <c r="E263" s="125" t="n">
        <v>17</v>
      </c>
      <c r="F263" s="124" t="n">
        <v>39.1</v>
      </c>
      <c r="G263" s="17" t="n">
        <v>12</v>
      </c>
      <c r="H263" s="126" t="n">
        <v>264</v>
      </c>
      <c r="I263" s="127" t="n">
        <v>6800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2</v>
      </c>
      <c r="R263" s="111" t="n">
        <v>1</v>
      </c>
      <c r="S263" s="111" t="inlineStr">
        <is>
          <t>계</t>
        </is>
      </c>
      <c r="T263" s="5" t="n">
        <v>57</v>
      </c>
      <c r="U263" s="9" t="n"/>
    </row>
    <row r="264" ht="12" customFormat="1" customHeight="1" s="38">
      <c r="A264" s="114" t="inlineStr">
        <is>
          <t>입장면 입장연합초원</t>
        </is>
      </c>
      <c r="B264" s="115" t="inlineStr">
        <is>
          <t>96.07.</t>
        </is>
      </c>
      <c r="C264" s="123" t="n">
        <v>332</v>
      </c>
      <c r="D264" s="124" t="n">
        <v>75.3</v>
      </c>
      <c r="E264" s="125" t="n">
        <v>23</v>
      </c>
      <c r="F264" s="124" t="n">
        <v>59.5</v>
      </c>
      <c r="G264" s="17" t="n">
        <v>18</v>
      </c>
      <c r="H264" s="126" t="n">
        <v>162</v>
      </c>
      <c r="I264" s="127" t="n">
        <v>6000</v>
      </c>
      <c r="J264" s="127" t="inlineStr">
        <is>
          <t>6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계</t>
        </is>
      </c>
      <c r="T264" s="5" t="n">
        <v>75</v>
      </c>
      <c r="U264" s="9" t="n"/>
    </row>
    <row r="265" ht="12" customFormat="1" customHeight="1" s="38">
      <c r="A265" s="114" t="inlineStr">
        <is>
          <t>성거읍 하늘빛</t>
        </is>
      </c>
      <c r="B265" s="115" t="inlineStr">
        <is>
          <t>03.12.</t>
        </is>
      </c>
      <c r="C265" s="123" t="n">
        <v>560</v>
      </c>
      <c r="D265" s="124" t="n">
        <v>54.3</v>
      </c>
      <c r="E265" s="125" t="n">
        <v>16</v>
      </c>
      <c r="F265" s="124" t="n">
        <v>39.9</v>
      </c>
      <c r="G265" s="17" t="n">
        <v>12</v>
      </c>
      <c r="H265" s="126" t="n">
        <v>60</v>
      </c>
      <c r="I265" s="127" t="n">
        <v>5500</v>
      </c>
      <c r="J265" s="127" t="inlineStr">
        <is>
          <t>6</t>
        </is>
      </c>
      <c r="K265" s="127" t="n">
        <v>5000</v>
      </c>
      <c r="L265" s="127" t="inlineStr">
        <is>
          <t>5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계</t>
        </is>
      </c>
      <c r="T265" s="5" t="n">
        <v>54</v>
      </c>
      <c r="U265" s="9" t="n"/>
    </row>
    <row r="266" ht="12" customFormat="1" customHeight="1" s="38">
      <c r="A266" s="114" t="inlineStr">
        <is>
          <t>입장면 한성</t>
        </is>
      </c>
      <c r="B266" s="115" t="inlineStr">
        <is>
          <t>99.12.</t>
        </is>
      </c>
      <c r="C266" s="123" t="n">
        <v>770</v>
      </c>
      <c r="D266" s="124" t="n">
        <v>50.9</v>
      </c>
      <c r="E266" s="125" t="n">
        <v>15</v>
      </c>
      <c r="F266" s="124" t="n">
        <v>39.5</v>
      </c>
      <c r="G266" s="17" t="n">
        <v>12</v>
      </c>
      <c r="H266" s="126" t="n">
        <v>410</v>
      </c>
      <c r="I266" s="127" t="n">
        <v>5500</v>
      </c>
      <c r="J266" s="127" t="inlineStr">
        <is>
          <t>중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2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직산읍 우성8차</t>
        </is>
      </c>
      <c r="B267" s="115" t="inlineStr">
        <is>
          <t>95.01.</t>
        </is>
      </c>
      <c r="C267" s="123" t="n">
        <v>946</v>
      </c>
      <c r="D267" s="124" t="n">
        <v>65.09999999999999</v>
      </c>
      <c r="E267" s="125" t="n">
        <v>20</v>
      </c>
      <c r="F267" s="124" t="n">
        <v>49.7</v>
      </c>
      <c r="G267" s="17" t="n">
        <v>15</v>
      </c>
      <c r="H267" s="126" t="n">
        <v>946</v>
      </c>
      <c r="I267" s="127" t="n">
        <v>5500</v>
      </c>
      <c r="J267" s="127" t="inlineStr">
        <is>
          <t>14</t>
        </is>
      </c>
      <c r="K267" s="127" t="n">
        <v>5000</v>
      </c>
      <c r="L267" s="127" t="inlineStr">
        <is>
          <t>고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2</v>
      </c>
      <c r="R267" s="111" t="n">
        <v>1</v>
      </c>
      <c r="S267" s="111" t="inlineStr">
        <is>
          <t>복</t>
        </is>
      </c>
      <c r="T267" s="5" t="n">
        <v>65</v>
      </c>
      <c r="U267" s="9" t="n"/>
    </row>
    <row r="268" ht="12" customFormat="1" customHeight="1" s="38">
      <c r="A268" s="114" t="inlineStr">
        <is>
          <t>직산읍 산호</t>
        </is>
      </c>
      <c r="B268" s="115" t="inlineStr">
        <is>
          <t>97.12.</t>
        </is>
      </c>
      <c r="C268" s="123" t="n">
        <v>494</v>
      </c>
      <c r="D268" s="124" t="n">
        <v>82.8</v>
      </c>
      <c r="E268" s="125" t="n">
        <v>25</v>
      </c>
      <c r="F268" s="124" t="n">
        <v>59.3</v>
      </c>
      <c r="G268" s="17" t="n">
        <v>18</v>
      </c>
      <c r="H268" s="126" t="n">
        <v>165</v>
      </c>
      <c r="I268" s="127" t="n">
        <v>5500</v>
      </c>
      <c r="J268" s="127" t="inlineStr">
        <is>
          <t>7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1</v>
      </c>
      <c r="S268" s="111" t="inlineStr">
        <is>
          <t>복</t>
        </is>
      </c>
      <c r="T268" s="5" t="n">
        <v>82</v>
      </c>
      <c r="U268" s="9" t="n"/>
    </row>
    <row r="269" ht="12" customFormat="1" customHeight="1" s="38">
      <c r="A269" s="114" t="inlineStr">
        <is>
          <t>성거읍 아느칸빌</t>
        </is>
      </c>
      <c r="B269" s="115" t="inlineStr">
        <is>
          <t>04.04.</t>
        </is>
      </c>
      <c r="C269" s="123" t="n">
        <v>404</v>
      </c>
      <c r="D269" s="124" t="n">
        <v>40.5</v>
      </c>
      <c r="E269" s="125" t="n">
        <v>12</v>
      </c>
      <c r="F269" s="124" t="n">
        <v>28.1</v>
      </c>
      <c r="G269" s="17" t="n">
        <v>9</v>
      </c>
      <c r="H269" s="126" t="n">
        <v>140</v>
      </c>
      <c r="I269" s="127" t="n">
        <v>4800</v>
      </c>
      <c r="J269" s="127" t="inlineStr">
        <is>
          <t>중</t>
        </is>
      </c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1</v>
      </c>
      <c r="R269" s="111" t="n">
        <v>1</v>
      </c>
      <c r="S269" s="111" t="inlineStr">
        <is>
          <t>계</t>
        </is>
      </c>
      <c r="T269" s="5" t="n">
        <v>40</v>
      </c>
      <c r="U269" s="9" t="n"/>
    </row>
    <row r="270" ht="12" customFormat="1" customHeight="1" s="38">
      <c r="A270" s="114" t="inlineStr">
        <is>
          <t>직산읍 대림</t>
        </is>
      </c>
      <c r="B270" s="115" t="inlineStr">
        <is>
          <t>98.07.</t>
        </is>
      </c>
      <c r="C270" s="123" t="n">
        <v>640</v>
      </c>
      <c r="D270" s="124" t="n">
        <v>56</v>
      </c>
      <c r="E270" s="125" t="n">
        <v>17</v>
      </c>
      <c r="F270" s="124" t="n">
        <v>40</v>
      </c>
      <c r="G270" s="17" t="n">
        <v>12</v>
      </c>
      <c r="H270" s="126" t="n">
        <v>640</v>
      </c>
      <c r="I270" s="127" t="n">
        <v>4800</v>
      </c>
      <c r="J270" s="127" t="inlineStr">
        <is>
          <t>6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2</v>
      </c>
      <c r="R270" s="111" t="n">
        <v>1</v>
      </c>
      <c r="S270" s="111" t="inlineStr">
        <is>
          <t>복</t>
        </is>
      </c>
      <c r="T270" s="5" t="n">
        <v>56</v>
      </c>
      <c r="U270" s="9" t="n"/>
    </row>
    <row r="271" ht="12" customFormat="1" customHeight="1" s="38">
      <c r="A271" s="114" t="inlineStr">
        <is>
          <t>성환읍 두진그린힐</t>
        </is>
      </c>
      <c r="B271" s="115" t="inlineStr">
        <is>
          <t>01.08.</t>
        </is>
      </c>
      <c r="C271" s="123" t="n">
        <v>996</v>
      </c>
      <c r="D271" s="124" t="n">
        <v>60.2</v>
      </c>
      <c r="E271" s="125" t="n">
        <v>18</v>
      </c>
      <c r="F271" s="124" t="n">
        <v>38.6</v>
      </c>
      <c r="G271" s="17" t="n">
        <v>12</v>
      </c>
      <c r="H271" s="126" t="n">
        <v>396</v>
      </c>
      <c r="I271" s="127" t="n">
        <v>4500</v>
      </c>
      <c r="J271" s="127" t="inlineStr">
        <is>
          <t>6</t>
        </is>
      </c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1</v>
      </c>
      <c r="R271" s="111" t="n">
        <v>1</v>
      </c>
      <c r="S271" s="111" t="inlineStr">
        <is>
          <t>계</t>
        </is>
      </c>
      <c r="T271" s="5" t="n">
        <v>60</v>
      </c>
      <c r="U271" s="9" t="n"/>
    </row>
    <row r="272" ht="12" customFormat="1" customHeight="1" s="38">
      <c r="A272" s="114" t="inlineStr">
        <is>
          <t>직산읍 청림</t>
        </is>
      </c>
      <c r="B272" s="115" t="inlineStr">
        <is>
          <t>93.01.</t>
        </is>
      </c>
      <c r="C272" s="123" t="n">
        <v>480</v>
      </c>
      <c r="D272" s="124" t="n">
        <v>49.6</v>
      </c>
      <c r="E272" s="125" t="n">
        <v>15</v>
      </c>
      <c r="F272" s="124" t="n">
        <v>33.8</v>
      </c>
      <c r="G272" s="17" t="n">
        <v>10</v>
      </c>
      <c r="H272" s="126" t="n">
        <v>390</v>
      </c>
      <c r="I272" s="127" t="n">
        <v>4500</v>
      </c>
      <c r="J272" s="127" t="inlineStr">
        <is>
          <t>고</t>
        </is>
      </c>
      <c r="K272" s="127" t="n">
        <v>1700</v>
      </c>
      <c r="L272" s="127" t="inlineStr">
        <is>
          <t>5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2</v>
      </c>
      <c r="R272" s="111" t="n">
        <v>1</v>
      </c>
      <c r="S272" s="111" t="inlineStr">
        <is>
          <t>계</t>
        </is>
      </c>
      <c r="T272" s="5" t="inlineStr">
        <is>
          <t>49B</t>
        </is>
      </c>
      <c r="U272" s="9" t="n"/>
    </row>
    <row r="273" ht="12" customFormat="1" customHeight="1" s="38">
      <c r="A273" s="114" t="inlineStr">
        <is>
          <t>직산읍 산호</t>
        </is>
      </c>
      <c r="B273" s="115" t="inlineStr">
        <is>
          <t>97.12.</t>
        </is>
      </c>
      <c r="C273" s="123" t="n">
        <v>494</v>
      </c>
      <c r="D273" s="124" t="n">
        <v>69.5</v>
      </c>
      <c r="E273" s="125" t="n">
        <v>21</v>
      </c>
      <c r="F273" s="124" t="n">
        <v>49.8</v>
      </c>
      <c r="G273" s="17" t="n">
        <v>15</v>
      </c>
      <c r="H273" s="126" t="n">
        <v>329</v>
      </c>
      <c r="I273" s="127" t="n">
        <v>4200</v>
      </c>
      <c r="J273" s="127" t="inlineStr">
        <is>
          <t>7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2</v>
      </c>
      <c r="R273" s="111" t="n">
        <v>1</v>
      </c>
      <c r="S273" s="111" t="inlineStr">
        <is>
          <t>복</t>
        </is>
      </c>
      <c r="T273" s="5" t="n">
        <v>69</v>
      </c>
      <c r="U273" s="9" t="n"/>
    </row>
    <row r="274" ht="12" customFormat="1" customHeight="1" s="38">
      <c r="A274" s="114" t="inlineStr">
        <is>
          <t>성거읍 육영</t>
        </is>
      </c>
      <c r="B274" s="115" t="inlineStr">
        <is>
          <t>96.12.</t>
        </is>
      </c>
      <c r="C274" s="123" t="n">
        <v>456</v>
      </c>
      <c r="D274" s="124" t="n">
        <v>43.3</v>
      </c>
      <c r="E274" s="125" t="n">
        <v>13</v>
      </c>
      <c r="F274" s="124" t="n">
        <v>27.6</v>
      </c>
      <c r="G274" s="17" t="n">
        <v>8</v>
      </c>
      <c r="H274" s="126" t="n">
        <v>456</v>
      </c>
      <c r="I274" s="127" t="n">
        <v>2800</v>
      </c>
      <c r="J274" s="127" t="inlineStr">
        <is>
          <t>5</t>
        </is>
      </c>
      <c r="K274" s="127" t="n">
        <v>2300</v>
      </c>
      <c r="L274" s="127" t="inlineStr">
        <is>
          <t>중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1</v>
      </c>
      <c r="R274" s="111" t="n">
        <v>1</v>
      </c>
      <c r="S274" s="111" t="inlineStr">
        <is>
          <t>계</t>
        </is>
      </c>
      <c r="T274" s="5" t="n">
        <v>43</v>
      </c>
      <c r="U274" s="9" t="n"/>
    </row>
    <row r="275" ht="12" customFormat="1" customHeight="1" s="38">
      <c r="A275" s="114" t="inlineStr">
        <is>
          <t>직산읍 동보</t>
        </is>
      </c>
      <c r="B275" s="115" t="inlineStr">
        <is>
          <t>97.04.</t>
        </is>
      </c>
      <c r="C275" s="123" t="n">
        <v>904</v>
      </c>
      <c r="D275" s="124" t="n">
        <v>36</v>
      </c>
      <c r="E275" s="125" t="n">
        <v>11</v>
      </c>
      <c r="F275" s="124" t="n">
        <v>25.7</v>
      </c>
      <c r="G275" s="17" t="n">
        <v>8</v>
      </c>
      <c r="H275" s="126" t="n">
        <v>347</v>
      </c>
      <c r="I275" s="127" t="n">
        <v>1750</v>
      </c>
      <c r="J275" s="127" t="inlineStr">
        <is>
          <t>12</t>
        </is>
      </c>
      <c r="K275" s="127" t="n">
        <v>1600</v>
      </c>
      <c r="L275" s="127" t="inlineStr">
        <is>
          <t>6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1</v>
      </c>
      <c r="R275" s="111" t="n">
        <v>1</v>
      </c>
      <c r="S275" s="111" t="inlineStr">
        <is>
          <t>계</t>
        </is>
      </c>
      <c r="T275" s="5" t="n">
        <v>35</v>
      </c>
      <c r="U275" s="9" t="n"/>
    </row>
    <row r="276" ht="12" customFormat="1" customHeight="1" s="38">
      <c r="A276" s="114" t="inlineStr">
        <is>
          <t>두정동 부경파크빌</t>
        </is>
      </c>
      <c r="B276" s="115" t="inlineStr">
        <is>
          <t>03.05.</t>
        </is>
      </c>
      <c r="C276" s="123" t="n">
        <v>475</v>
      </c>
      <c r="D276" s="124" t="n">
        <v>104.9</v>
      </c>
      <c r="E276" s="125" t="n">
        <v>32</v>
      </c>
      <c r="F276" s="124" t="n">
        <v>85</v>
      </c>
      <c r="G276" s="17" t="n">
        <v>26</v>
      </c>
      <c r="H276" s="126" t="n">
        <v>390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2</v>
      </c>
      <c r="S276" s="111" t="inlineStr">
        <is>
          <t>계</t>
        </is>
      </c>
      <c r="T276" s="5" t="inlineStr">
        <is>
          <t>104B</t>
        </is>
      </c>
      <c r="U276" s="9" t="n"/>
    </row>
    <row r="277" ht="12" customFormat="1" customHeight="1" s="38">
      <c r="A277" s="114" t="inlineStr">
        <is>
          <t>두정동 천안두정푸르지오3차</t>
        </is>
      </c>
      <c r="B277" s="115" t="inlineStr">
        <is>
          <t>03.09.</t>
        </is>
      </c>
      <c r="C277" s="123" t="n">
        <v>326</v>
      </c>
      <c r="D277" s="124" t="n">
        <v>90.09999999999999</v>
      </c>
      <c r="E277" s="125" t="n">
        <v>27</v>
      </c>
      <c r="F277" s="124" t="n">
        <v>73</v>
      </c>
      <c r="G277" s="17" t="n">
        <v>22</v>
      </c>
      <c r="H277" s="126" t="n">
        <v>112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2</v>
      </c>
      <c r="S277" s="111" t="inlineStr">
        <is>
          <t>계</t>
        </is>
      </c>
      <c r="T277" s="5" t="inlineStr">
        <is>
          <t>90A</t>
        </is>
      </c>
      <c r="U277" s="9" t="n"/>
    </row>
    <row r="278" ht="12" customFormat="1" customHeight="1" s="38">
      <c r="A278" s="114" t="inlineStr">
        <is>
          <t>두정동 우성</t>
        </is>
      </c>
      <c r="B278" s="115" t="inlineStr">
        <is>
          <t>96.09.</t>
        </is>
      </c>
      <c r="C278" s="123" t="n">
        <v>736</v>
      </c>
      <c r="D278" s="124" t="n">
        <v>106.3</v>
      </c>
      <c r="E278" s="125" t="n">
        <v>32</v>
      </c>
      <c r="F278" s="124" t="n">
        <v>84.90000000000001</v>
      </c>
      <c r="G278" s="17" t="n">
        <v>26</v>
      </c>
      <c r="H278" s="126" t="n">
        <v>256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n">
        <v>106</v>
      </c>
      <c r="U278" s="9" t="n"/>
    </row>
    <row r="279" ht="12" customFormat="1" customHeight="1" s="38">
      <c r="A279" s="114" t="inlineStr">
        <is>
          <t>두정동 세광엔리치빌2차</t>
        </is>
      </c>
      <c r="B279" s="115" t="inlineStr">
        <is>
          <t>03.09.</t>
        </is>
      </c>
      <c r="C279" s="123" t="n">
        <v>360</v>
      </c>
      <c r="D279" s="124" t="n">
        <v>126.3</v>
      </c>
      <c r="E279" s="125" t="n">
        <v>38</v>
      </c>
      <c r="F279" s="124" t="n">
        <v>106.1</v>
      </c>
      <c r="G279" s="17" t="n">
        <v>32</v>
      </c>
      <c r="H279" s="126" t="n">
        <v>58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4</v>
      </c>
      <c r="R279" s="111" t="n">
        <v>2</v>
      </c>
      <c r="S279" s="111" t="inlineStr">
        <is>
          <t>계</t>
        </is>
      </c>
      <c r="T279" s="5" t="n">
        <v>126</v>
      </c>
      <c r="U279" s="9" t="n"/>
    </row>
    <row r="280" ht="12" customFormat="1" customHeight="1" s="38">
      <c r="A280" s="114" t="inlineStr">
        <is>
          <t>두정동 천안두정푸르지오5차</t>
        </is>
      </c>
      <c r="B280" s="115" t="inlineStr">
        <is>
          <t>04.04.</t>
        </is>
      </c>
      <c r="C280" s="123" t="n">
        <v>392</v>
      </c>
      <c r="D280" s="124" t="n">
        <v>131.8</v>
      </c>
      <c r="E280" s="125" t="n">
        <v>40</v>
      </c>
      <c r="F280" s="124" t="n">
        <v>101.9</v>
      </c>
      <c r="G280" s="17" t="n">
        <v>31</v>
      </c>
      <c r="H280" s="126" t="n">
        <v>84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131</v>
      </c>
      <c r="U280" s="9" t="n"/>
    </row>
    <row r="281" ht="12" customFormat="1" customHeight="1" s="38">
      <c r="A281" s="114" t="inlineStr">
        <is>
          <t>두정동 천안두정푸르지오5차</t>
        </is>
      </c>
      <c r="B281" s="115" t="inlineStr">
        <is>
          <t>04.04.</t>
        </is>
      </c>
      <c r="C281" s="123" t="n">
        <v>392</v>
      </c>
      <c r="D281" s="124" t="n">
        <v>161.1</v>
      </c>
      <c r="E281" s="125" t="n">
        <v>49</v>
      </c>
      <c r="F281" s="124" t="n">
        <v>130.7</v>
      </c>
      <c r="G281" s="17" t="n">
        <v>40</v>
      </c>
      <c r="H281" s="126" t="n">
        <v>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4</v>
      </c>
      <c r="R281" s="111" t="n">
        <v>2</v>
      </c>
      <c r="S281" s="111" t="inlineStr">
        <is>
          <t>계</t>
        </is>
      </c>
      <c r="T281" s="5" t="n">
        <v>161</v>
      </c>
      <c r="U281" s="9" t="n"/>
    </row>
    <row r="282" ht="12" customFormat="1" customHeight="1" s="38">
      <c r="A282" s="114" t="inlineStr">
        <is>
          <t>두정동 프라지움9차</t>
        </is>
      </c>
      <c r="B282" s="115" t="inlineStr">
        <is>
          <t>17.05.</t>
        </is>
      </c>
      <c r="C282" s="123" t="n">
        <v>299</v>
      </c>
      <c r="D282" s="124" t="n">
        <v>60.2</v>
      </c>
      <c r="E282" s="125" t="n">
        <v>18</v>
      </c>
      <c r="F282" s="124" t="n">
        <v>45.8</v>
      </c>
      <c r="G282" s="17" t="n">
        <v>14</v>
      </c>
      <c r="H282" s="126" t="n">
        <v>56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60B</t>
        </is>
      </c>
      <c r="U282" s="9" t="n"/>
    </row>
    <row r="283" ht="12" customFormat="1" customHeight="1" s="38">
      <c r="A283" s="114" t="inlineStr">
        <is>
          <t>두정동 프라지움9차</t>
        </is>
      </c>
      <c r="B283" s="115" t="inlineStr">
        <is>
          <t>17.05.</t>
        </is>
      </c>
      <c r="C283" s="123" t="n">
        <v>299</v>
      </c>
      <c r="D283" s="124" t="n">
        <v>65.59999999999999</v>
      </c>
      <c r="E283" s="125" t="n">
        <v>20</v>
      </c>
      <c r="F283" s="124" t="n">
        <v>50</v>
      </c>
      <c r="G283" s="17" t="n">
        <v>15</v>
      </c>
      <c r="H283" s="126" t="n">
        <v>243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계</t>
        </is>
      </c>
      <c r="T283" s="5" t="inlineStr">
        <is>
          <t>65A</t>
        </is>
      </c>
      <c r="U283" s="9" t="n"/>
    </row>
    <row r="284" ht="12" customFormat="1" customHeight="1" s="38">
      <c r="A284" s="114" t="inlineStr">
        <is>
          <t>두정동 세광엔리치빌3차</t>
        </is>
      </c>
      <c r="B284" s="115" t="inlineStr">
        <is>
          <t>03.09.</t>
        </is>
      </c>
      <c r="C284" s="123" t="n">
        <v>476</v>
      </c>
      <c r="D284" s="124" t="n">
        <v>126.3</v>
      </c>
      <c r="E284" s="125" t="n">
        <v>38</v>
      </c>
      <c r="F284" s="124" t="n">
        <v>106.1</v>
      </c>
      <c r="G284" s="17" t="n">
        <v>32</v>
      </c>
      <c r="H284" s="126" t="n">
        <v>84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4</v>
      </c>
      <c r="R284" s="111" t="n">
        <v>2</v>
      </c>
      <c r="S284" s="111" t="inlineStr">
        <is>
          <t>계</t>
        </is>
      </c>
      <c r="T284" s="5" t="n">
        <v>126</v>
      </c>
      <c r="U284" s="9" t="n"/>
    </row>
    <row r="285" ht="12" customFormat="1" customHeight="1" s="38">
      <c r="A285" s="114" t="inlineStr">
        <is>
          <t>백석동 백석더샵</t>
        </is>
      </c>
      <c r="B285" s="115" t="inlineStr">
        <is>
          <t>16.10.</t>
        </is>
      </c>
      <c r="C285" s="123" t="n">
        <v>619</v>
      </c>
      <c r="D285" s="124" t="n">
        <v>110.4</v>
      </c>
      <c r="E285" s="125" t="n">
        <v>33</v>
      </c>
      <c r="F285" s="124" t="n">
        <v>84.3</v>
      </c>
      <c r="G285" s="17" t="n">
        <v>25</v>
      </c>
      <c r="H285" s="126" t="n">
        <v>271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110B</t>
        </is>
      </c>
      <c r="U285" s="9" t="n"/>
    </row>
    <row r="286" ht="12" customFormat="1" customHeight="1" s="38">
      <c r="A286" s="114" t="inlineStr">
        <is>
          <t>백석동 백석벽산블루밍2차</t>
        </is>
      </c>
      <c r="B286" s="115" t="inlineStr">
        <is>
          <t>06.05.</t>
        </is>
      </c>
      <c r="C286" s="123" t="n">
        <v>298</v>
      </c>
      <c r="D286" s="124" t="n">
        <v>113.6</v>
      </c>
      <c r="E286" s="125" t="n">
        <v>34</v>
      </c>
      <c r="F286" s="124" t="n">
        <v>84.90000000000001</v>
      </c>
      <c r="G286" s="17" t="n">
        <v>26</v>
      </c>
      <c r="H286" s="126" t="n">
        <v>196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3</v>
      </c>
      <c r="R286" s="111" t="n">
        <v>2</v>
      </c>
      <c r="S286" s="111" t="inlineStr">
        <is>
          <t>계</t>
        </is>
      </c>
      <c r="T286" s="5" t="n">
        <v>113</v>
      </c>
      <c r="U286" s="9" t="n"/>
    </row>
    <row r="287" ht="12" customFormat="1" customHeight="1" s="38">
      <c r="A287" s="114" t="inlineStr">
        <is>
          <t>백석동 백석벽산블루밍2차</t>
        </is>
      </c>
      <c r="B287" s="115" t="inlineStr">
        <is>
          <t>06.05.</t>
        </is>
      </c>
      <c r="C287" s="123" t="n">
        <v>298</v>
      </c>
      <c r="D287" s="124" t="n">
        <v>145.3</v>
      </c>
      <c r="E287" s="125" t="n">
        <v>44</v>
      </c>
      <c r="F287" s="124" t="n">
        <v>119.9</v>
      </c>
      <c r="G287" s="17" t="n">
        <v>36</v>
      </c>
      <c r="H287" s="126" t="n">
        <v>60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4</v>
      </c>
      <c r="R287" s="111" t="n">
        <v>2</v>
      </c>
      <c r="S287" s="111" t="inlineStr">
        <is>
          <t>계</t>
        </is>
      </c>
      <c r="T287" s="5" t="n">
        <v>145</v>
      </c>
      <c r="U287" s="9" t="n"/>
    </row>
    <row r="288" ht="12" customFormat="1" customHeight="1" s="38">
      <c r="A288" s="114" t="inlineStr">
        <is>
          <t>백석동 백석리슈빌</t>
        </is>
      </c>
      <c r="B288" s="115" t="inlineStr">
        <is>
          <t>10.04.</t>
        </is>
      </c>
      <c r="C288" s="123" t="n">
        <v>901</v>
      </c>
      <c r="D288" s="124" t="n">
        <v>161.3</v>
      </c>
      <c r="E288" s="125" t="n">
        <v>49</v>
      </c>
      <c r="F288" s="124" t="n">
        <v>130.9</v>
      </c>
      <c r="G288" s="17" t="n">
        <v>40</v>
      </c>
      <c r="H288" s="126" t="n">
        <v>246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4</v>
      </c>
      <c r="R288" s="111" t="n">
        <v>2</v>
      </c>
      <c r="S288" s="111" t="inlineStr">
        <is>
          <t>계</t>
        </is>
      </c>
      <c r="T288" s="5" t="n">
        <v>161</v>
      </c>
      <c r="U288" s="9" t="n"/>
    </row>
    <row r="289" ht="12" customFormat="1" customHeight="1" s="38">
      <c r="A289" s="114" t="inlineStr">
        <is>
          <t>백석동 천안백석아이파크3차</t>
        </is>
      </c>
      <c r="B289" s="115" t="inlineStr">
        <is>
          <t>17.05.</t>
        </is>
      </c>
      <c r="C289" s="123" t="n">
        <v>805</v>
      </c>
      <c r="D289" s="124" t="n">
        <v>113.1</v>
      </c>
      <c r="E289" s="125" t="n">
        <v>34</v>
      </c>
      <c r="F289" s="124" t="n">
        <v>85</v>
      </c>
      <c r="G289" s="17" t="n">
        <v>26</v>
      </c>
      <c r="H289" s="126" t="n">
        <v>368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113A</t>
        </is>
      </c>
      <c r="U289" s="9" t="n"/>
    </row>
    <row r="290" ht="12" customFormat="1" customHeight="1" s="38">
      <c r="A290" s="114" t="inlineStr">
        <is>
          <t>백석동 백석벽산블루밍1차</t>
        </is>
      </c>
      <c r="B290" s="115" t="inlineStr">
        <is>
          <t>06.01.</t>
        </is>
      </c>
      <c r="C290" s="123" t="n">
        <v>382</v>
      </c>
      <c r="D290" s="124" t="n">
        <v>112.3</v>
      </c>
      <c r="E290" s="125" t="n">
        <v>34</v>
      </c>
      <c r="F290" s="124" t="n">
        <v>84.90000000000001</v>
      </c>
      <c r="G290" s="17" t="n">
        <v>26</v>
      </c>
      <c r="H290" s="126" t="n">
        <v>197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n">
        <v>112</v>
      </c>
      <c r="U290" s="9" t="n"/>
    </row>
    <row r="291" ht="12" customFormat="1" customHeight="1" s="38">
      <c r="A291" s="114" t="inlineStr">
        <is>
          <t>백석동 백석벽산블루밍1차</t>
        </is>
      </c>
      <c r="B291" s="115" t="inlineStr">
        <is>
          <t>06.01.</t>
        </is>
      </c>
      <c r="C291" s="123" t="n">
        <v>382</v>
      </c>
      <c r="D291" s="124" t="n">
        <v>145.3</v>
      </c>
      <c r="E291" s="125" t="n">
        <v>44</v>
      </c>
      <c r="F291" s="124" t="n">
        <v>119.9</v>
      </c>
      <c r="G291" s="17" t="n">
        <v>36</v>
      </c>
      <c r="H291" s="126" t="n">
        <v>144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145</v>
      </c>
      <c r="U291" s="9" t="n"/>
    </row>
    <row r="292" ht="12" customFormat="1" customHeight="1" s="38">
      <c r="A292" s="114" t="inlineStr">
        <is>
          <t>불당동 한성필하우스</t>
        </is>
      </c>
      <c r="B292" s="115" t="inlineStr">
        <is>
          <t>04.06.</t>
        </is>
      </c>
      <c r="C292" s="123" t="n">
        <v>594</v>
      </c>
      <c r="D292" s="124" t="n">
        <v>80.40000000000001</v>
      </c>
      <c r="E292" s="125" t="n">
        <v>24</v>
      </c>
      <c r="F292" s="124" t="n">
        <v>60</v>
      </c>
      <c r="G292" s="17" t="n">
        <v>18</v>
      </c>
      <c r="H292" s="126" t="n">
        <v>594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n">
        <v>80</v>
      </c>
      <c r="U292" s="9" t="n"/>
    </row>
    <row r="293" ht="12" customFormat="1" customHeight="1" s="38">
      <c r="A293" s="114" t="inlineStr">
        <is>
          <t>불당동 호반리젠시빌스위트</t>
        </is>
      </c>
      <c r="B293" s="115" t="inlineStr">
        <is>
          <t>04.10.</t>
        </is>
      </c>
      <c r="C293" s="123" t="n">
        <v>476</v>
      </c>
      <c r="D293" s="124" t="n">
        <v>132.3</v>
      </c>
      <c r="E293" s="125" t="n">
        <v>40</v>
      </c>
      <c r="F293" s="124" t="n">
        <v>104.7</v>
      </c>
      <c r="G293" s="17" t="n">
        <v>32</v>
      </c>
      <c r="H293" s="126" t="n">
        <v>118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132</v>
      </c>
      <c r="U293" s="9" t="n"/>
    </row>
    <row r="294" ht="12" customFormat="1" customHeight="1" s="38">
      <c r="A294" s="114" t="inlineStr">
        <is>
          <t>불당동 호반리젠시빌스위트</t>
        </is>
      </c>
      <c r="B294" s="115" t="inlineStr">
        <is>
          <t>04.10.</t>
        </is>
      </c>
      <c r="C294" s="123" t="n">
        <v>476</v>
      </c>
      <c r="D294" s="124" t="n">
        <v>169.7</v>
      </c>
      <c r="E294" s="125" t="n">
        <v>51</v>
      </c>
      <c r="F294" s="124" t="n">
        <v>146.4</v>
      </c>
      <c r="G294" s="17" t="n">
        <v>44</v>
      </c>
      <c r="H294" s="126" t="n">
        <v>90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4</v>
      </c>
      <c r="R294" s="111" t="n">
        <v>2</v>
      </c>
      <c r="S294" s="111" t="inlineStr">
        <is>
          <t>계</t>
        </is>
      </c>
      <c r="T294" s="5" t="n">
        <v>169</v>
      </c>
      <c r="U294" s="9" t="n"/>
    </row>
    <row r="295" ht="12" customFormat="1" customHeight="1" s="38">
      <c r="A295" s="114" t="inlineStr">
        <is>
          <t>불당동 펜타포트(103동)</t>
        </is>
      </c>
      <c r="B295" s="115" t="inlineStr">
        <is>
          <t>11.12.</t>
        </is>
      </c>
      <c r="C295" s="123" t="n">
        <v>314</v>
      </c>
      <c r="D295" s="124" t="n">
        <v>184</v>
      </c>
      <c r="E295" s="125" t="n">
        <v>56</v>
      </c>
      <c r="F295" s="124" t="n">
        <v>132</v>
      </c>
      <c r="G295" s="17" t="n">
        <v>40</v>
      </c>
      <c r="H295" s="126" t="n">
        <v>92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n">
        <v>184</v>
      </c>
      <c r="U295" s="9" t="n"/>
    </row>
    <row r="296" ht="12" customFormat="1" customHeight="1" s="38">
      <c r="A296" s="114" t="inlineStr">
        <is>
          <t>불당동 펜타포트(103동)</t>
        </is>
      </c>
      <c r="B296" s="115" t="inlineStr">
        <is>
          <t>11.12.</t>
        </is>
      </c>
      <c r="C296" s="123" t="n">
        <v>314</v>
      </c>
      <c r="D296" s="124" t="n">
        <v>197.5</v>
      </c>
      <c r="E296" s="125" t="n">
        <v>60</v>
      </c>
      <c r="F296" s="124" t="n">
        <v>144.4</v>
      </c>
      <c r="G296" s="17" t="n">
        <v>44</v>
      </c>
      <c r="H296" s="126" t="n">
        <v>92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4</v>
      </c>
      <c r="R296" s="111" t="n">
        <v>2</v>
      </c>
      <c r="S296" s="111" t="inlineStr">
        <is>
          <t>계</t>
        </is>
      </c>
      <c r="T296" s="5" t="n">
        <v>197</v>
      </c>
      <c r="U296" s="9" t="n"/>
    </row>
    <row r="297" ht="12" customFormat="1" customHeight="1" s="38">
      <c r="A297" s="114" t="inlineStr">
        <is>
          <t>불당동 펜타포트(103동)</t>
        </is>
      </c>
      <c r="B297" s="115" t="inlineStr">
        <is>
          <t>11.12.</t>
        </is>
      </c>
      <c r="C297" s="123" t="n">
        <v>314</v>
      </c>
      <c r="D297" s="124" t="n">
        <v>230.4</v>
      </c>
      <c r="E297" s="125" t="n">
        <v>70</v>
      </c>
      <c r="F297" s="124" t="n">
        <v>169.3</v>
      </c>
      <c r="G297" s="17" t="n">
        <v>51</v>
      </c>
      <c r="H297" s="126" t="n">
        <v>92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4</v>
      </c>
      <c r="R297" s="111" t="n">
        <v>3</v>
      </c>
      <c r="S297" s="111" t="inlineStr">
        <is>
          <t>계</t>
        </is>
      </c>
      <c r="T297" s="5" t="n">
        <v>230</v>
      </c>
      <c r="U297" s="9" t="n"/>
    </row>
    <row r="298" ht="12" customFormat="1" customHeight="1" s="38">
      <c r="A298" s="114" t="inlineStr">
        <is>
          <t>불당동 불당호반써밋플레이스</t>
        </is>
      </c>
      <c r="B298" s="115" t="inlineStr">
        <is>
          <t>17.01.</t>
        </is>
      </c>
      <c r="C298" s="123" t="n">
        <v>573</v>
      </c>
      <c r="D298" s="124" t="n">
        <v>153.4</v>
      </c>
      <c r="E298" s="125" t="n">
        <v>46</v>
      </c>
      <c r="F298" s="124" t="n">
        <v>117.5</v>
      </c>
      <c r="G298" s="17" t="n">
        <v>36</v>
      </c>
      <c r="H298" s="126" t="n">
        <v>52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4</v>
      </c>
      <c r="R298" s="111" t="n">
        <v>2</v>
      </c>
      <c r="S298" s="111" t="inlineStr">
        <is>
          <t>계</t>
        </is>
      </c>
      <c r="T298" s="5" t="n">
        <v>153</v>
      </c>
      <c r="U298" s="9" t="n"/>
    </row>
    <row r="299" ht="12" customFormat="1" customHeight="1" s="38">
      <c r="A299" s="114" t="inlineStr">
        <is>
          <t>불당동 펜타포트(101,102동)</t>
        </is>
      </c>
      <c r="B299" s="115" t="inlineStr">
        <is>
          <t>11.12.</t>
        </is>
      </c>
      <c r="C299" s="123" t="n">
        <v>479</v>
      </c>
      <c r="D299" s="124" t="n">
        <v>143.6</v>
      </c>
      <c r="E299" s="125" t="n">
        <v>43</v>
      </c>
      <c r="F299" s="124" t="n">
        <v>107.7</v>
      </c>
      <c r="G299" s="17" t="n">
        <v>33</v>
      </c>
      <c r="H299" s="126" t="n">
        <v>65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2</v>
      </c>
      <c r="S299" s="111" t="inlineStr">
        <is>
          <t>계</t>
        </is>
      </c>
      <c r="T299" s="5" t="n">
        <v>143</v>
      </c>
      <c r="U299" s="9" t="n"/>
    </row>
    <row r="300" ht="12" customFormat="1" customHeight="1" s="38">
      <c r="A300" s="114" t="inlineStr">
        <is>
          <t>불당동 펜타포트(101,102동)</t>
        </is>
      </c>
      <c r="B300" s="115" t="inlineStr">
        <is>
          <t>11.12.</t>
        </is>
      </c>
      <c r="C300" s="123" t="n">
        <v>479</v>
      </c>
      <c r="D300" s="124" t="n">
        <v>152.5</v>
      </c>
      <c r="E300" s="125" t="n">
        <v>46</v>
      </c>
      <c r="F300" s="124" t="n">
        <v>113.7</v>
      </c>
      <c r="G300" s="17" t="n">
        <v>34</v>
      </c>
      <c r="H300" s="126" t="n">
        <v>120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2</v>
      </c>
      <c r="S300" s="111" t="inlineStr">
        <is>
          <t>계</t>
        </is>
      </c>
      <c r="T300" s="5" t="inlineStr">
        <is>
          <t>152A</t>
        </is>
      </c>
      <c r="U300" s="9" t="n"/>
    </row>
    <row r="301" ht="12" customFormat="1" customHeight="1" s="38">
      <c r="A301" s="114" t="inlineStr">
        <is>
          <t>불당동 펜타포트(101,102동)</t>
        </is>
      </c>
      <c r="B301" s="115" t="inlineStr">
        <is>
          <t>11.12.</t>
        </is>
      </c>
      <c r="C301" s="123" t="n">
        <v>479</v>
      </c>
      <c r="D301" s="124" t="n">
        <v>194.3</v>
      </c>
      <c r="E301" s="125" t="n">
        <v>59</v>
      </c>
      <c r="F301" s="124" t="n">
        <v>146.3</v>
      </c>
      <c r="G301" s="17" t="n">
        <v>44</v>
      </c>
      <c r="H301" s="126" t="n">
        <v>65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194</v>
      </c>
      <c r="U301" s="9" t="n"/>
    </row>
    <row r="302" ht="12" customFormat="1" customHeight="1" s="38">
      <c r="A302" s="114" t="inlineStr">
        <is>
          <t>불당동 펜타포트(101,102동)</t>
        </is>
      </c>
      <c r="B302" s="115" t="inlineStr">
        <is>
          <t>11.12.</t>
        </is>
      </c>
      <c r="C302" s="123" t="n">
        <v>479</v>
      </c>
      <c r="D302" s="124" t="n">
        <v>220.6</v>
      </c>
      <c r="E302" s="125" t="n">
        <v>67</v>
      </c>
      <c r="F302" s="124" t="n">
        <v>166.7</v>
      </c>
      <c r="G302" s="17" t="n">
        <v>50</v>
      </c>
      <c r="H302" s="126" t="n">
        <v>120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4</v>
      </c>
      <c r="R302" s="111" t="n">
        <v>2</v>
      </c>
      <c r="S302" s="111" t="inlineStr">
        <is>
          <t>계</t>
        </is>
      </c>
      <c r="T302" s="5" t="n">
        <v>220</v>
      </c>
      <c r="U302" s="9" t="n"/>
    </row>
    <row r="303" ht="12" customFormat="1" customHeight="1" s="38">
      <c r="A303" s="114" t="inlineStr">
        <is>
          <t>불당동 대원칸타빌</t>
        </is>
      </c>
      <c r="B303" s="115" t="inlineStr">
        <is>
          <t>04.09.</t>
        </is>
      </c>
      <c r="C303" s="123" t="n">
        <v>1011</v>
      </c>
      <c r="D303" s="124" t="n">
        <v>161.4</v>
      </c>
      <c r="E303" s="125" t="n">
        <v>49</v>
      </c>
      <c r="F303" s="124" t="n">
        <v>133.9</v>
      </c>
      <c r="G303" s="17" t="n">
        <v>40</v>
      </c>
      <c r="H303" s="126" t="n">
        <v>120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4</v>
      </c>
      <c r="R303" s="111" t="n">
        <v>2</v>
      </c>
      <c r="S303" s="111" t="inlineStr">
        <is>
          <t>계</t>
        </is>
      </c>
      <c r="T303" s="5" t="n">
        <v>161</v>
      </c>
      <c r="U303" s="9" t="n"/>
    </row>
    <row r="304" ht="12" customFormat="1" customHeight="1" s="38">
      <c r="A304" s="114" t="inlineStr">
        <is>
          <t>불당동 천안불당금호어울림</t>
        </is>
      </c>
      <c r="B304" s="115" t="inlineStr">
        <is>
          <t>20.03.</t>
        </is>
      </c>
      <c r="C304" s="123" t="n">
        <v>227</v>
      </c>
      <c r="D304" s="124" t="n">
        <v>100</v>
      </c>
      <c r="E304" s="125" t="n">
        <v>30</v>
      </c>
      <c r="F304" s="124" t="n">
        <v>74.90000000000001</v>
      </c>
      <c r="G304" s="17" t="n">
        <v>23</v>
      </c>
      <c r="H304" s="126" t="n">
        <v>58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99B</t>
        </is>
      </c>
      <c r="U304" s="9" t="n"/>
    </row>
    <row r="305" ht="12" customFormat="1" customHeight="1" s="38">
      <c r="A305" s="114" t="inlineStr">
        <is>
          <t>불당동 천안불당금호어울림</t>
        </is>
      </c>
      <c r="B305" s="115" t="inlineStr">
        <is>
          <t>20.03.</t>
        </is>
      </c>
      <c r="C305" s="123" t="n">
        <v>227</v>
      </c>
      <c r="D305" s="124" t="n">
        <v>113.3</v>
      </c>
      <c r="E305" s="125" t="n">
        <v>34</v>
      </c>
      <c r="F305" s="124" t="n">
        <v>84.90000000000001</v>
      </c>
      <c r="G305" s="17" t="n">
        <v>26</v>
      </c>
      <c r="H305" s="126" t="n">
        <v>142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113A</t>
        </is>
      </c>
      <c r="U305" s="9" t="n"/>
    </row>
    <row r="306" ht="12" customFormat="1" customHeight="1" s="38">
      <c r="A306" s="114" t="inlineStr">
        <is>
          <t>불당동 불당한화꿈에그린</t>
        </is>
      </c>
      <c r="B306" s="115" t="inlineStr">
        <is>
          <t>09.09.</t>
        </is>
      </c>
      <c r="C306" s="123" t="n">
        <v>297</v>
      </c>
      <c r="D306" s="124" t="n">
        <v>136</v>
      </c>
      <c r="E306" s="125" t="n">
        <v>41</v>
      </c>
      <c r="F306" s="124" t="n">
        <v>99.7</v>
      </c>
      <c r="G306" s="17" t="n">
        <v>30</v>
      </c>
      <c r="H306" s="126" t="n">
        <v>69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n">
        <v>136</v>
      </c>
      <c r="U306" s="9" t="n"/>
    </row>
    <row r="307" ht="12" customFormat="1" customHeight="1" s="38">
      <c r="A307" s="114" t="inlineStr">
        <is>
          <t>불당동 불당한화꿈에그린</t>
        </is>
      </c>
      <c r="B307" s="115" t="inlineStr">
        <is>
          <t>09.09.</t>
        </is>
      </c>
      <c r="C307" s="123" t="n">
        <v>297</v>
      </c>
      <c r="D307" s="124" t="n">
        <v>159.4</v>
      </c>
      <c r="E307" s="125" t="n">
        <v>48</v>
      </c>
      <c r="F307" s="124" t="n">
        <v>127.2</v>
      </c>
      <c r="G307" s="17" t="n">
        <v>38</v>
      </c>
      <c r="H307" s="126" t="n">
        <v>172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4</v>
      </c>
      <c r="R307" s="111" t="n">
        <v>2</v>
      </c>
      <c r="S307" s="111" t="inlineStr">
        <is>
          <t>계</t>
        </is>
      </c>
      <c r="T307" s="5" t="n">
        <v>159</v>
      </c>
      <c r="U307" s="9" t="n"/>
    </row>
    <row r="308" ht="12" customFormat="1" customHeight="1" s="38">
      <c r="A308" s="114" t="inlineStr">
        <is>
          <t>불당동 불당파크푸르지오1단지</t>
        </is>
      </c>
      <c r="B308" s="115" t="inlineStr">
        <is>
          <t>18.04.</t>
        </is>
      </c>
      <c r="C308" s="123" t="n">
        <v>240</v>
      </c>
      <c r="D308" s="124" t="n">
        <v>131.3</v>
      </c>
      <c r="E308" s="125" t="n">
        <v>40</v>
      </c>
      <c r="F308" s="124" t="n">
        <v>100</v>
      </c>
      <c r="G308" s="17" t="n">
        <v>30</v>
      </c>
      <c r="H308" s="126" t="n">
        <v>74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4</v>
      </c>
      <c r="R308" s="111" t="n">
        <v>2</v>
      </c>
      <c r="S308" s="111" t="inlineStr">
        <is>
          <t>계</t>
        </is>
      </c>
      <c r="T308" s="5" t="inlineStr">
        <is>
          <t>131C</t>
        </is>
      </c>
      <c r="U308" s="9" t="n"/>
    </row>
    <row r="309" ht="12" customFormat="1" customHeight="1" s="38">
      <c r="A309" s="114" t="inlineStr">
        <is>
          <t>불당동 불당파크푸르지오1단지</t>
        </is>
      </c>
      <c r="B309" s="115" t="inlineStr">
        <is>
          <t>18.04.</t>
        </is>
      </c>
      <c r="C309" s="123" t="n">
        <v>240</v>
      </c>
      <c r="D309" s="124" t="n">
        <v>144.9</v>
      </c>
      <c r="E309" s="125" t="n">
        <v>44</v>
      </c>
      <c r="F309" s="124" t="n">
        <v>111</v>
      </c>
      <c r="G309" s="17" t="n">
        <v>34</v>
      </c>
      <c r="H309" s="126" t="n">
        <v>45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144</v>
      </c>
      <c r="U309" s="9" t="n"/>
    </row>
    <row r="310" ht="12" customFormat="1" customHeight="1" s="38">
      <c r="A310" s="114" t="inlineStr">
        <is>
          <t>불당동 천안불당지웰시티푸르지오2단지</t>
        </is>
      </c>
      <c r="B310" s="115" t="inlineStr">
        <is>
          <t>17.12.</t>
        </is>
      </c>
      <c r="C310" s="123" t="n">
        <v>355</v>
      </c>
      <c r="D310" s="124" t="n">
        <v>130.3</v>
      </c>
      <c r="E310" s="125" t="n">
        <v>39</v>
      </c>
      <c r="F310" s="124" t="n">
        <v>99.90000000000001</v>
      </c>
      <c r="G310" s="17" t="n">
        <v>30</v>
      </c>
      <c r="H310" s="126" t="n">
        <v>104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4</v>
      </c>
      <c r="R310" s="111" t="n">
        <v>2</v>
      </c>
      <c r="S310" s="111" t="inlineStr">
        <is>
          <t>계</t>
        </is>
      </c>
      <c r="T310" s="5" t="inlineStr">
        <is>
          <t>130A1</t>
        </is>
      </c>
      <c r="U310" s="9" t="n"/>
    </row>
    <row r="311" ht="12" customFormat="1" customHeight="1" s="38">
      <c r="A311" s="114" t="inlineStr">
        <is>
          <t>불당동 천안불당지웰시티푸르지오2단지</t>
        </is>
      </c>
      <c r="B311" s="115" t="inlineStr">
        <is>
          <t>17.12.</t>
        </is>
      </c>
      <c r="C311" s="123" t="n">
        <v>355</v>
      </c>
      <c r="D311" s="124" t="n">
        <v>147.9</v>
      </c>
      <c r="E311" s="125" t="n">
        <v>45</v>
      </c>
      <c r="F311" s="124" t="n">
        <v>112.3</v>
      </c>
      <c r="G311" s="17" t="n">
        <v>34</v>
      </c>
      <c r="H311" s="126" t="n">
        <v>87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inlineStr">
        <is>
          <t>147A</t>
        </is>
      </c>
      <c r="U311" s="9" t="n"/>
    </row>
    <row r="312" ht="12" customFormat="1" customHeight="1" s="38">
      <c r="A312" s="114" t="inlineStr">
        <is>
          <t>불당동 천안불당파크푸르지오2단지</t>
        </is>
      </c>
      <c r="B312" s="115" t="inlineStr">
        <is>
          <t>18.04.</t>
        </is>
      </c>
      <c r="C312" s="123" t="n">
        <v>270</v>
      </c>
      <c r="D312" s="124" t="n">
        <v>131</v>
      </c>
      <c r="E312" s="125" t="n">
        <v>40</v>
      </c>
      <c r="F312" s="124" t="n">
        <v>100</v>
      </c>
      <c r="G312" s="17" t="n">
        <v>30</v>
      </c>
      <c r="H312" s="126" t="n">
        <v>71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4</v>
      </c>
      <c r="R312" s="111" t="n">
        <v>2</v>
      </c>
      <c r="S312" s="111" t="inlineStr">
        <is>
          <t>계</t>
        </is>
      </c>
      <c r="T312" s="5" t="inlineStr">
        <is>
          <t>131C</t>
        </is>
      </c>
      <c r="U312" s="9" t="n"/>
    </row>
    <row r="313" ht="12" customFormat="1" customHeight="1" s="38">
      <c r="A313" s="114" t="inlineStr">
        <is>
          <t>불당동 천안불당파크푸르지오2단지</t>
        </is>
      </c>
      <c r="B313" s="115" t="inlineStr">
        <is>
          <t>18.04.</t>
        </is>
      </c>
      <c r="C313" s="123" t="n">
        <v>270</v>
      </c>
      <c r="D313" s="124" t="n">
        <v>144.6</v>
      </c>
      <c r="E313" s="125" t="n">
        <v>44</v>
      </c>
      <c r="F313" s="124" t="n">
        <v>111</v>
      </c>
      <c r="G313" s="17" t="n">
        <v>34</v>
      </c>
      <c r="H313" s="126" t="n">
        <v>63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144</v>
      </c>
      <c r="U313" s="9" t="n"/>
    </row>
    <row r="314" ht="12" customFormat="1" customHeight="1" s="38">
      <c r="A314" s="114" t="inlineStr">
        <is>
          <t>불당동 동일하이빌</t>
        </is>
      </c>
      <c r="B314" s="115" t="inlineStr">
        <is>
          <t>04.08.</t>
        </is>
      </c>
      <c r="C314" s="123" t="n">
        <v>1203</v>
      </c>
      <c r="D314" s="124" t="n">
        <v>175</v>
      </c>
      <c r="E314" s="125" t="n">
        <v>53</v>
      </c>
      <c r="F314" s="124" t="n">
        <v>139.9</v>
      </c>
      <c r="G314" s="17" t="n">
        <v>42</v>
      </c>
      <c r="H314" s="126" t="n">
        <v>70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4</v>
      </c>
      <c r="R314" s="111" t="n">
        <v>2</v>
      </c>
      <c r="S314" s="111" t="inlineStr">
        <is>
          <t>계</t>
        </is>
      </c>
      <c r="T314" s="5" t="n">
        <v>175</v>
      </c>
      <c r="U314" s="9" t="n"/>
    </row>
    <row r="315" ht="12" customFormat="1" customHeight="1" s="38">
      <c r="A315" s="114" t="inlineStr">
        <is>
          <t>불당동 천안불당지웰시티푸르지오1단지</t>
        </is>
      </c>
      <c r="B315" s="115" t="inlineStr">
        <is>
          <t>17.12.</t>
        </is>
      </c>
      <c r="C315" s="123" t="n">
        <v>420</v>
      </c>
      <c r="D315" s="124" t="n">
        <v>129.3</v>
      </c>
      <c r="E315" s="125" t="n">
        <v>39</v>
      </c>
      <c r="F315" s="124" t="n">
        <v>99.90000000000001</v>
      </c>
      <c r="G315" s="17" t="n">
        <v>30</v>
      </c>
      <c r="H315" s="126" t="n">
        <v>102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4</v>
      </c>
      <c r="R315" s="111" t="n">
        <v>2</v>
      </c>
      <c r="S315" s="111" t="inlineStr">
        <is>
          <t>계</t>
        </is>
      </c>
      <c r="T315" s="5" t="inlineStr">
        <is>
          <t>129A</t>
        </is>
      </c>
      <c r="U315" s="9" t="n"/>
    </row>
    <row r="316" ht="12" customFormat="1" customHeight="1" s="38">
      <c r="A316" s="114" t="inlineStr">
        <is>
          <t>불당동 천안불당지웰시티푸르지오1단지</t>
        </is>
      </c>
      <c r="B316" s="115" t="inlineStr">
        <is>
          <t>17.12.</t>
        </is>
      </c>
      <c r="C316" s="123" t="n">
        <v>420</v>
      </c>
      <c r="D316" s="124" t="n">
        <v>146.5</v>
      </c>
      <c r="E316" s="125" t="n">
        <v>44</v>
      </c>
      <c r="F316" s="124" t="n">
        <v>112.3</v>
      </c>
      <c r="G316" s="17" t="n">
        <v>34</v>
      </c>
      <c r="H316" s="126" t="n">
        <v>54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146B</t>
        </is>
      </c>
      <c r="U316" s="9" t="n"/>
    </row>
    <row r="317" ht="12" customFormat="1" customHeight="1" s="38">
      <c r="A317" s="114" t="inlineStr">
        <is>
          <t>성거읍 직산역서희스타힐스뉴플래닝시티</t>
        </is>
      </c>
      <c r="B317" s="115" t="inlineStr">
        <is>
          <t>24.02.</t>
        </is>
      </c>
      <c r="C317" s="123" t="n">
        <v>653</v>
      </c>
      <c r="D317" s="124" t="n">
        <v>81.59999999999999</v>
      </c>
      <c r="E317" s="125" t="n">
        <v>25</v>
      </c>
      <c r="F317" s="124" t="n">
        <v>59.9</v>
      </c>
      <c r="G317" s="17" t="n">
        <v>18</v>
      </c>
      <c r="H317" s="126" t="n">
        <v>227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81B</t>
        </is>
      </c>
      <c r="U317" s="9" t="n"/>
    </row>
    <row r="318" ht="12" customFormat="1" customHeight="1" s="38">
      <c r="A318" s="114" t="inlineStr">
        <is>
          <t>성거읍 직산역서희스타힐스뉴플래닝시티</t>
        </is>
      </c>
      <c r="B318" s="115" t="inlineStr">
        <is>
          <t>24.02.</t>
        </is>
      </c>
      <c r="C318" s="123" t="n">
        <v>653</v>
      </c>
      <c r="D318" s="124" t="n">
        <v>113.1</v>
      </c>
      <c r="E318" s="125" t="n">
        <v>34</v>
      </c>
      <c r="F318" s="124" t="n">
        <v>84.3</v>
      </c>
      <c r="G318" s="17" t="n">
        <v>25</v>
      </c>
      <c r="H318" s="126" t="n">
        <v>131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8">
      <c r="A319" s="114" t="inlineStr">
        <is>
          <t>성거읍 삼일</t>
        </is>
      </c>
      <c r="B319" s="115" t="inlineStr">
        <is>
          <t>98.05.</t>
        </is>
      </c>
      <c r="C319" s="123" t="n">
        <v>494</v>
      </c>
      <c r="D319" s="124" t="n">
        <v>80.90000000000001</v>
      </c>
      <c r="E319" s="125" t="n">
        <v>24</v>
      </c>
      <c r="F319" s="124" t="n">
        <v>59.4</v>
      </c>
      <c r="G319" s="17" t="n">
        <v>18</v>
      </c>
      <c r="H319" s="126" t="n">
        <v>128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2</v>
      </c>
      <c r="R319" s="111" t="n">
        <v>1</v>
      </c>
      <c r="S319" s="111" t="inlineStr">
        <is>
          <t>복</t>
        </is>
      </c>
      <c r="T319" s="5" t="inlineStr">
        <is>
          <t>80A</t>
        </is>
      </c>
      <c r="U319" s="9" t="n"/>
    </row>
    <row r="320" ht="12" customFormat="1" customHeight="1" s="38">
      <c r="A320" s="114" t="inlineStr">
        <is>
          <t>성거읍 벽산</t>
        </is>
      </c>
      <c r="B320" s="115" t="inlineStr">
        <is>
          <t>98.12.</t>
        </is>
      </c>
      <c r="C320" s="123" t="n">
        <v>692</v>
      </c>
      <c r="D320" s="124" t="n">
        <v>107.3</v>
      </c>
      <c r="E320" s="125" t="n">
        <v>32</v>
      </c>
      <c r="F320" s="124" t="n">
        <v>85</v>
      </c>
      <c r="G320" s="17" t="n">
        <v>26</v>
      </c>
      <c r="H320" s="126" t="n">
        <v>192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2</v>
      </c>
      <c r="S320" s="111" t="inlineStr">
        <is>
          <t>계</t>
        </is>
      </c>
      <c r="T320" s="5" t="n">
        <v>107</v>
      </c>
      <c r="U320" s="9" t="n"/>
    </row>
    <row r="321" ht="12" customFormat="1" customHeight="1" s="38">
      <c r="A321" s="114" t="inlineStr">
        <is>
          <t>성거읍 장미</t>
        </is>
      </c>
      <c r="B321" s="115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2</v>
      </c>
      <c r="R321" s="111" t="n">
        <v>1</v>
      </c>
      <c r="S321" s="111" t="inlineStr">
        <is>
          <t>계</t>
        </is>
      </c>
      <c r="T321" s="5" t="inlineStr">
        <is>
          <t>72A</t>
        </is>
      </c>
      <c r="U321" s="9" t="n"/>
    </row>
    <row r="322" ht="12" customFormat="1" customHeight="1" s="38">
      <c r="A322" s="114" t="inlineStr">
        <is>
          <t>성거읍 저리보금자리</t>
        </is>
      </c>
      <c r="B322" s="115" t="inlineStr">
        <is>
          <t>00.02.</t>
        </is>
      </c>
      <c r="C322" s="123" t="n">
        <v>245</v>
      </c>
      <c r="D322" s="124" t="n">
        <v>41.4</v>
      </c>
      <c r="E322" s="125" t="n">
        <v>13</v>
      </c>
      <c r="F322" s="124" t="n">
        <v>33.5</v>
      </c>
      <c r="G322" s="17" t="n">
        <v>10</v>
      </c>
      <c r="H322" s="126" t="n">
        <v>140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1</v>
      </c>
      <c r="R322" s="111" t="n">
        <v>1</v>
      </c>
      <c r="S322" s="111" t="inlineStr">
        <is>
          <t>계</t>
        </is>
      </c>
      <c r="T322" s="5" t="n">
        <v>41</v>
      </c>
      <c r="U322" s="9" t="n"/>
    </row>
    <row r="323" ht="12" customFormat="1" customHeight="1" s="38">
      <c r="A323" s="114" t="inlineStr">
        <is>
          <t>성거읍 저리보금자리</t>
        </is>
      </c>
      <c r="B323" s="115" t="inlineStr">
        <is>
          <t>00.02.</t>
        </is>
      </c>
      <c r="C323" s="123" t="n">
        <v>245</v>
      </c>
      <c r="D323" s="124" t="n">
        <v>49.2</v>
      </c>
      <c r="E323" s="125" t="n">
        <v>15</v>
      </c>
      <c r="F323" s="124" t="n">
        <v>39.8</v>
      </c>
      <c r="G323" s="17" t="n">
        <v>12</v>
      </c>
      <c r="H323" s="126" t="n">
        <v>105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2</v>
      </c>
      <c r="R323" s="111" t="n">
        <v>1</v>
      </c>
      <c r="S323" s="111" t="inlineStr">
        <is>
          <t>계</t>
        </is>
      </c>
      <c r="T323" s="5" t="n">
        <v>49</v>
      </c>
      <c r="U323" s="9" t="n"/>
    </row>
    <row r="324" ht="12" customFormat="1" customHeight="1" s="38">
      <c r="A324" s="114" t="inlineStr">
        <is>
          <t>성거읍 청호8차</t>
        </is>
      </c>
      <c r="B324" s="115" t="inlineStr">
        <is>
          <t>97.10.</t>
        </is>
      </c>
      <c r="C324" s="123" t="n">
        <v>480</v>
      </c>
      <c r="D324" s="124" t="n">
        <v>100</v>
      </c>
      <c r="E324" s="125" t="n">
        <v>30</v>
      </c>
      <c r="F324" s="124" t="n">
        <v>75.2</v>
      </c>
      <c r="G324" s="17" t="n">
        <v>23</v>
      </c>
      <c r="H324" s="126" t="n">
        <v>144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100</v>
      </c>
      <c r="U324" s="9" t="n"/>
    </row>
    <row r="325" ht="12" customFormat="1" customHeight="1" s="38">
      <c r="A325" s="114" t="inlineStr">
        <is>
          <t>성거읍 금정샛별</t>
        </is>
      </c>
      <c r="B325" s="115" t="inlineStr">
        <is>
          <t>00.02.</t>
        </is>
      </c>
      <c r="C325" s="123" t="n">
        <v>200</v>
      </c>
      <c r="D325" s="124" t="n">
        <v>52</v>
      </c>
      <c r="E325" s="125" t="n">
        <v>16</v>
      </c>
      <c r="F325" s="124" t="n">
        <v>36.5</v>
      </c>
      <c r="G325" s="17" t="n">
        <v>11</v>
      </c>
      <c r="H325" s="126" t="n">
        <v>200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2</v>
      </c>
      <c r="R325" s="111" t="n">
        <v>1</v>
      </c>
      <c r="S325" s="111" t="inlineStr">
        <is>
          <t>복</t>
        </is>
      </c>
      <c r="T325" s="5" t="n">
        <v>51</v>
      </c>
      <c r="U325" s="9" t="n"/>
    </row>
    <row r="326" ht="12" customFormat="1" customHeight="1" s="38">
      <c r="A326" s="114" t="inlineStr">
        <is>
          <t>성성동 천안푸르지오레이크사이드</t>
        </is>
      </c>
      <c r="B326" s="115" t="inlineStr">
        <is>
          <t>23.05.</t>
        </is>
      </c>
      <c r="C326" s="123" t="n">
        <v>1023</v>
      </c>
      <c r="D326" s="124" t="n">
        <v>107.4</v>
      </c>
      <c r="E326" s="125" t="n">
        <v>32</v>
      </c>
      <c r="F326" s="124" t="n">
        <v>75</v>
      </c>
      <c r="G326" s="17" t="n">
        <v>23</v>
      </c>
      <c r="H326" s="126" t="n">
        <v>149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2</v>
      </c>
      <c r="S326" s="111" t="inlineStr">
        <is>
          <t>계</t>
        </is>
      </c>
      <c r="T326" s="5" t="inlineStr">
        <is>
          <t>107A</t>
        </is>
      </c>
      <c r="U326" s="9" t="n"/>
    </row>
    <row r="327" ht="12" customFormat="1" customHeight="1" s="38">
      <c r="A327" s="114" t="inlineStr">
        <is>
          <t>성성동 천안푸르지오레이크사이드</t>
        </is>
      </c>
      <c r="B327" s="115" t="inlineStr">
        <is>
          <t>23.05.</t>
        </is>
      </c>
      <c r="C327" s="123" t="n">
        <v>1023</v>
      </c>
      <c r="D327" s="124" t="n">
        <v>118.2</v>
      </c>
      <c r="E327" s="125" t="n">
        <v>36</v>
      </c>
      <c r="F327" s="124" t="n">
        <v>85</v>
      </c>
      <c r="G327" s="17" t="n">
        <v>26</v>
      </c>
      <c r="H327" s="126" t="n">
        <v>329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4</v>
      </c>
      <c r="R327" s="111" t="n">
        <v>2</v>
      </c>
      <c r="S327" s="111" t="inlineStr">
        <is>
          <t>계</t>
        </is>
      </c>
      <c r="T327" s="5" t="inlineStr">
        <is>
          <t>118A</t>
        </is>
      </c>
      <c r="U327" s="9" t="n"/>
    </row>
    <row r="328" ht="12" customFormat="1" customHeight="1" s="38">
      <c r="A328" s="114" t="inlineStr">
        <is>
          <t>성정동 프라지움11차</t>
        </is>
      </c>
      <c r="B328" s="115" t="inlineStr">
        <is>
          <t>19.07.</t>
        </is>
      </c>
      <c r="C328" s="123" t="n">
        <v>234</v>
      </c>
      <c r="D328" s="124" t="n">
        <v>43.8</v>
      </c>
      <c r="E328" s="125" t="n">
        <v>13</v>
      </c>
      <c r="F328" s="124" t="n">
        <v>37.5</v>
      </c>
      <c r="G328" s="17" t="n">
        <v>11</v>
      </c>
      <c r="H328" s="126" t="n">
        <v>156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1</v>
      </c>
      <c r="R328" s="111" t="n">
        <v>1</v>
      </c>
      <c r="S328" s="111" t="inlineStr">
        <is>
          <t>계</t>
        </is>
      </c>
      <c r="T328" s="5" t="n">
        <v>43</v>
      </c>
      <c r="U328" s="9" t="n"/>
    </row>
    <row r="329" ht="12" customFormat="1" customHeight="1" s="38">
      <c r="A329" s="114" t="inlineStr">
        <is>
          <t>성정동 선경</t>
        </is>
      </c>
      <c r="B329" s="115" t="inlineStr">
        <is>
          <t>94.06.</t>
        </is>
      </c>
      <c r="C329" s="123" t="n">
        <v>378</v>
      </c>
      <c r="D329" s="124" t="n">
        <v>105.3</v>
      </c>
      <c r="E329" s="125" t="n">
        <v>32</v>
      </c>
      <c r="F329" s="124" t="n">
        <v>84.90000000000001</v>
      </c>
      <c r="G329" s="17" t="n">
        <v>26</v>
      </c>
      <c r="H329" s="126" t="n">
        <v>144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n">
        <v>105</v>
      </c>
      <c r="U329" s="9" t="n"/>
    </row>
    <row r="330" ht="12" customFormat="1" customHeight="1" s="38">
      <c r="A330" s="114" t="inlineStr">
        <is>
          <t>성정동 대우목화</t>
        </is>
      </c>
      <c r="B330" s="115" t="inlineStr">
        <is>
          <t>86.10.</t>
        </is>
      </c>
      <c r="C330" s="123" t="n">
        <v>590</v>
      </c>
      <c r="D330" s="124" t="n">
        <v>66.40000000000001</v>
      </c>
      <c r="E330" s="125" t="n">
        <v>20</v>
      </c>
      <c r="F330" s="124" t="n">
        <v>60</v>
      </c>
      <c r="G330" s="17" t="n">
        <v>18</v>
      </c>
      <c r="H330" s="126" t="n">
        <v>80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2</v>
      </c>
      <c r="R330" s="111" t="n">
        <v>1</v>
      </c>
      <c r="S330" s="111" t="inlineStr">
        <is>
          <t>계</t>
        </is>
      </c>
      <c r="T330" s="5" t="n">
        <v>66</v>
      </c>
      <c r="U330" s="9" t="n"/>
    </row>
    <row r="331" ht="12" customFormat="1" customHeight="1" s="38">
      <c r="A331" s="114" t="inlineStr">
        <is>
          <t>성정동 대우목화</t>
        </is>
      </c>
      <c r="B331" s="115" t="inlineStr">
        <is>
          <t>86.10.</t>
        </is>
      </c>
      <c r="C331" s="123" t="n">
        <v>590</v>
      </c>
      <c r="D331" s="124" t="n">
        <v>77</v>
      </c>
      <c r="E331" s="125" t="n">
        <v>23</v>
      </c>
      <c r="F331" s="124" t="n">
        <v>65</v>
      </c>
      <c r="G331" s="17" t="n">
        <v>20</v>
      </c>
      <c r="H331" s="126" t="n">
        <v>60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1</v>
      </c>
      <c r="S331" s="111" t="inlineStr">
        <is>
          <t>계</t>
        </is>
      </c>
      <c r="T331" s="5" t="inlineStr">
        <is>
          <t>77B</t>
        </is>
      </c>
      <c r="U331" s="9" t="n"/>
    </row>
    <row r="332" ht="12" customFormat="1" customHeight="1" s="38">
      <c r="A332" s="114" t="inlineStr">
        <is>
          <t>성정동 대우목화</t>
        </is>
      </c>
      <c r="B332" s="115" t="inlineStr">
        <is>
          <t>86.10.</t>
        </is>
      </c>
      <c r="C332" s="123" t="n">
        <v>590</v>
      </c>
      <c r="D332" s="124" t="n">
        <v>126.2</v>
      </c>
      <c r="E332" s="125" t="n">
        <v>38</v>
      </c>
      <c r="F332" s="124" t="n">
        <v>110.7</v>
      </c>
      <c r="G332" s="17" t="n">
        <v>33</v>
      </c>
      <c r="H332" s="126" t="n">
        <v>30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126</v>
      </c>
      <c r="U332" s="9" t="n"/>
    </row>
    <row r="333" ht="12" customFormat="1" customHeight="1" s="38">
      <c r="A333" s="114" t="inlineStr">
        <is>
          <t>성정동 현대</t>
        </is>
      </c>
      <c r="B333" s="115" t="inlineStr">
        <is>
          <t>90.04.</t>
        </is>
      </c>
      <c r="C333" s="123" t="n">
        <v>520</v>
      </c>
      <c r="D333" s="124" t="n">
        <v>86.59999999999999</v>
      </c>
      <c r="E333" s="125" t="n">
        <v>26</v>
      </c>
      <c r="F333" s="124" t="n">
        <v>71</v>
      </c>
      <c r="G333" s="17" t="n">
        <v>21</v>
      </c>
      <c r="H333" s="126" t="n">
        <v>156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1</v>
      </c>
      <c r="S333" s="111" t="inlineStr">
        <is>
          <t>계</t>
        </is>
      </c>
      <c r="T333" s="5" t="n">
        <v>86</v>
      </c>
      <c r="U333" s="9" t="n"/>
    </row>
    <row r="334" ht="12" customFormat="1" customHeight="1" s="38">
      <c r="A334" s="114" t="inlineStr">
        <is>
          <t>성정동 주공5단지</t>
        </is>
      </c>
      <c r="B334" s="115" t="inlineStr">
        <is>
          <t>88.10.</t>
        </is>
      </c>
      <c r="C334" s="123" t="n">
        <v>920</v>
      </c>
      <c r="D334" s="124" t="n">
        <v>57.9</v>
      </c>
      <c r="E334" s="125" t="n">
        <v>18</v>
      </c>
      <c r="F334" s="124" t="n">
        <v>47</v>
      </c>
      <c r="G334" s="17" t="n">
        <v>14</v>
      </c>
      <c r="H334" s="126" t="n">
        <v>70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57</v>
      </c>
      <c r="U334" s="9" t="n"/>
    </row>
    <row r="335" ht="12" customFormat="1" customHeight="1" s="38">
      <c r="A335" s="114" t="inlineStr">
        <is>
          <t>성정동 프라지움10차</t>
        </is>
      </c>
      <c r="B335" s="115" t="inlineStr">
        <is>
          <t>18.08.</t>
        </is>
      </c>
      <c r="C335" s="123" t="n">
        <v>299</v>
      </c>
      <c r="D335" s="124" t="n">
        <v>48.7</v>
      </c>
      <c r="E335" s="125" t="n">
        <v>15</v>
      </c>
      <c r="F335" s="124" t="n">
        <v>38.8</v>
      </c>
      <c r="G335" s="17" t="n">
        <v>12</v>
      </c>
      <c r="H335" s="126" t="n">
        <v>84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계</t>
        </is>
      </c>
      <c r="T335" s="5" t="n">
        <v>48</v>
      </c>
      <c r="U335" s="9" t="n"/>
    </row>
    <row r="336" ht="12" customFormat="1" customHeight="1" s="38">
      <c r="A336" s="114" t="inlineStr">
        <is>
          <t>성정동 프라지움10차</t>
        </is>
      </c>
      <c r="B336" s="115" t="inlineStr">
        <is>
          <t>18.08.</t>
        </is>
      </c>
      <c r="C336" s="123" t="n">
        <v>299</v>
      </c>
      <c r="D336" s="124" t="n">
        <v>66.59999999999999</v>
      </c>
      <c r="E336" s="125" t="n">
        <v>20</v>
      </c>
      <c r="F336" s="124" t="n">
        <v>53.1</v>
      </c>
      <c r="G336" s="17" t="n">
        <v>16</v>
      </c>
      <c r="H336" s="126" t="n">
        <v>56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2</v>
      </c>
      <c r="R336" s="111" t="n">
        <v>1</v>
      </c>
      <c r="S336" s="111" t="inlineStr">
        <is>
          <t>계</t>
        </is>
      </c>
      <c r="T336" s="5" t="n">
        <v>66</v>
      </c>
      <c r="U336" s="9" t="n"/>
    </row>
    <row r="337" ht="12" customFormat="1" customHeight="1" s="38">
      <c r="A337" s="114" t="inlineStr">
        <is>
          <t>성정동 프라지움10차</t>
        </is>
      </c>
      <c r="B337" s="115" t="inlineStr">
        <is>
          <t>18.08.</t>
        </is>
      </c>
      <c r="C337" s="123" t="n">
        <v>299</v>
      </c>
      <c r="D337" s="124" t="n">
        <v>75.2</v>
      </c>
      <c r="E337" s="125" t="n">
        <v>23</v>
      </c>
      <c r="F337" s="124" t="n">
        <v>60</v>
      </c>
      <c r="G337" s="17" t="n">
        <v>18</v>
      </c>
      <c r="H337" s="126" t="n">
        <v>126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2</v>
      </c>
      <c r="R337" s="111" t="n">
        <v>1</v>
      </c>
      <c r="S337" s="111" t="inlineStr">
        <is>
          <t>계</t>
        </is>
      </c>
      <c r="T337" s="5" t="n">
        <v>75</v>
      </c>
      <c r="U337" s="9" t="n"/>
    </row>
    <row r="338" ht="12" customFormat="1" customHeight="1" s="38">
      <c r="A338" s="114" t="inlineStr">
        <is>
          <t>성정동 주공6단지1차</t>
        </is>
      </c>
      <c r="B338" s="115" t="inlineStr">
        <is>
          <t>89.11.</t>
        </is>
      </c>
      <c r="C338" s="123" t="n">
        <v>580</v>
      </c>
      <c r="D338" s="124" t="n">
        <v>60.1</v>
      </c>
      <c r="E338" s="125" t="n">
        <v>18</v>
      </c>
      <c r="F338" s="124" t="n">
        <v>50.1</v>
      </c>
      <c r="G338" s="17" t="n">
        <v>15</v>
      </c>
      <c r="H338" s="126" t="n">
        <v>150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2</v>
      </c>
      <c r="R338" s="111" t="n">
        <v>1</v>
      </c>
      <c r="S338" s="111" t="inlineStr">
        <is>
          <t>계</t>
        </is>
      </c>
      <c r="T338" s="5" t="n">
        <v>60</v>
      </c>
      <c r="U338" s="9" t="n"/>
    </row>
    <row r="339" ht="12" customFormat="1" customHeight="1" s="38">
      <c r="A339" s="114" t="inlineStr">
        <is>
          <t>성정동 천안역우방아이유쉘</t>
        </is>
      </c>
      <c r="B339" s="115" t="inlineStr">
        <is>
          <t>18.11.</t>
        </is>
      </c>
      <c r="C339" s="123" t="n">
        <v>298</v>
      </c>
      <c r="D339" s="124" t="n">
        <v>110.2</v>
      </c>
      <c r="E339" s="125" t="n">
        <v>33</v>
      </c>
      <c r="F339" s="124" t="n">
        <v>85</v>
      </c>
      <c r="G339" s="17" t="n">
        <v>26</v>
      </c>
      <c r="H339" s="126" t="n">
        <v>198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4</v>
      </c>
      <c r="R339" s="111" t="n">
        <v>2</v>
      </c>
      <c r="S339" s="111" t="inlineStr">
        <is>
          <t>계</t>
        </is>
      </c>
      <c r="T339" s="5" t="inlineStr">
        <is>
          <t>110A</t>
        </is>
      </c>
      <c r="U339" s="9" t="n"/>
    </row>
    <row r="340" ht="12" customFormat="1" customHeight="1" s="38">
      <c r="A340" s="114" t="inlineStr">
        <is>
          <t>성환읍 천안성환e-편한세상</t>
        </is>
      </c>
      <c r="B340" s="115" t="inlineStr">
        <is>
          <t>09.09.</t>
        </is>
      </c>
      <c r="C340" s="123" t="n">
        <v>571</v>
      </c>
      <c r="D340" s="124" t="n">
        <v>132.1</v>
      </c>
      <c r="E340" s="125" t="n">
        <v>40</v>
      </c>
      <c r="F340" s="124" t="n">
        <v>100.3</v>
      </c>
      <c r="G340" s="17" t="n">
        <v>30</v>
      </c>
      <c r="H340" s="126" t="n">
        <v>108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2</v>
      </c>
      <c r="S340" s="111" t="inlineStr">
        <is>
          <t>계</t>
        </is>
      </c>
      <c r="T340" s="5" t="n">
        <v>132</v>
      </c>
      <c r="U340" s="9" t="n"/>
    </row>
    <row r="341" ht="12" customFormat="1" customHeight="1" s="38">
      <c r="A341" s="114" t="inlineStr">
        <is>
          <t>성환읍 천안성환e-편한세상</t>
        </is>
      </c>
      <c r="B341" s="115" t="inlineStr">
        <is>
          <t>09.09.</t>
        </is>
      </c>
      <c r="C341" s="123" t="n">
        <v>571</v>
      </c>
      <c r="D341" s="124" t="n">
        <v>164.6</v>
      </c>
      <c r="E341" s="125" t="n">
        <v>50</v>
      </c>
      <c r="F341" s="124" t="n">
        <v>125.6</v>
      </c>
      <c r="G341" s="17" t="n">
        <v>38</v>
      </c>
      <c r="H341" s="126" t="n">
        <v>33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4</v>
      </c>
      <c r="R341" s="111" t="n">
        <v>2</v>
      </c>
      <c r="S341" s="111" t="inlineStr">
        <is>
          <t>계</t>
        </is>
      </c>
      <c r="T341" s="5" t="n">
        <v>164</v>
      </c>
      <c r="U341" s="9" t="n"/>
    </row>
    <row r="342" ht="12" customFormat="1" customHeight="1" s="38">
      <c r="A342" s="114" t="inlineStr">
        <is>
          <t>성환읍 성환삼풍</t>
        </is>
      </c>
      <c r="B342" s="115" t="inlineStr">
        <is>
          <t>93.11.</t>
        </is>
      </c>
      <c r="C342" s="123" t="n">
        <v>203</v>
      </c>
      <c r="D342" s="124" t="n">
        <v>74.8</v>
      </c>
      <c r="E342" s="125" t="n">
        <v>23</v>
      </c>
      <c r="F342" s="124" t="n">
        <v>59.4</v>
      </c>
      <c r="G342" s="17" t="n">
        <v>18</v>
      </c>
      <c r="H342" s="126" t="n">
        <v>75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2</v>
      </c>
      <c r="R342" s="111" t="n">
        <v>1</v>
      </c>
      <c r="S342" s="111" t="inlineStr">
        <is>
          <t>계</t>
        </is>
      </c>
      <c r="T342" s="5" t="n">
        <v>74</v>
      </c>
      <c r="U342" s="9" t="n"/>
    </row>
    <row r="343" ht="12" customFormat="1" customHeight="1" s="38">
      <c r="A343" s="114" t="inlineStr">
        <is>
          <t>성환읍 성환삼풍</t>
        </is>
      </c>
      <c r="B343" s="115" t="inlineStr">
        <is>
          <t>93.11.</t>
        </is>
      </c>
      <c r="C343" s="123" t="n">
        <v>203</v>
      </c>
      <c r="D343" s="124" t="n">
        <v>89.8</v>
      </c>
      <c r="E343" s="125" t="n">
        <v>27</v>
      </c>
      <c r="F343" s="124" t="n">
        <v>71.2</v>
      </c>
      <c r="G343" s="17" t="n">
        <v>22</v>
      </c>
      <c r="H343" s="126" t="n">
        <v>45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n">
        <v>89</v>
      </c>
      <c r="U343" s="9" t="n"/>
    </row>
    <row r="344" ht="12" customFormat="1" customHeight="1" s="38">
      <c r="A344" s="114" t="inlineStr">
        <is>
          <t>성환읍 성환삼풍</t>
        </is>
      </c>
      <c r="B344" s="115" t="inlineStr">
        <is>
          <t>93.11.</t>
        </is>
      </c>
      <c r="C344" s="123" t="n">
        <v>203</v>
      </c>
      <c r="D344" s="124" t="n">
        <v>106.6</v>
      </c>
      <c r="E344" s="125" t="n">
        <v>32</v>
      </c>
      <c r="F344" s="124" t="n">
        <v>84.59999999999999</v>
      </c>
      <c r="G344" s="17" t="n">
        <v>26</v>
      </c>
      <c r="H344" s="126" t="n">
        <v>60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2</v>
      </c>
      <c r="S344" s="111" t="inlineStr">
        <is>
          <t>계</t>
        </is>
      </c>
      <c r="T344" s="5" t="n">
        <v>106</v>
      </c>
      <c r="U344" s="9" t="n"/>
    </row>
    <row r="345" ht="12" customFormat="1" customHeight="1" s="38">
      <c r="A345" s="114" t="inlineStr">
        <is>
          <t>성환읍 이화</t>
        </is>
      </c>
      <c r="B345" s="115" t="inlineStr">
        <is>
          <t>98.01.</t>
        </is>
      </c>
      <c r="C345" s="123" t="n">
        <v>202</v>
      </c>
      <c r="D345" s="124" t="n">
        <v>73.09999999999999</v>
      </c>
      <c r="E345" s="125" t="n">
        <v>22</v>
      </c>
      <c r="F345" s="124" t="n">
        <v>52.5</v>
      </c>
      <c r="G345" s="17" t="n">
        <v>16</v>
      </c>
      <c r="H345" s="126" t="n">
        <v>59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복</t>
        </is>
      </c>
      <c r="T345" s="5" t="n">
        <v>73</v>
      </c>
      <c r="U345" s="9" t="n"/>
    </row>
    <row r="346" ht="12" customFormat="1" customHeight="1" s="38">
      <c r="A346" s="114" t="inlineStr">
        <is>
          <t>성환읍 이화</t>
        </is>
      </c>
      <c r="B346" s="115" t="inlineStr">
        <is>
          <t>98.01.</t>
        </is>
      </c>
      <c r="C346" s="123" t="n">
        <v>202</v>
      </c>
      <c r="D346" s="124" t="n">
        <v>77.90000000000001</v>
      </c>
      <c r="E346" s="125" t="n">
        <v>24</v>
      </c>
      <c r="F346" s="124" t="n">
        <v>58.7</v>
      </c>
      <c r="G346" s="17" t="n">
        <v>18</v>
      </c>
      <c r="H346" s="126" t="n">
        <v>143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1</v>
      </c>
      <c r="S346" s="111" t="inlineStr">
        <is>
          <t>복</t>
        </is>
      </c>
      <c r="T346" s="5" t="n">
        <v>77</v>
      </c>
      <c r="U346" s="9" t="n"/>
    </row>
    <row r="347" ht="12" customFormat="1" customHeight="1" s="38">
      <c r="A347" s="114" t="inlineStr">
        <is>
          <t>성환읍 한미래</t>
        </is>
      </c>
      <c r="B347" s="115" t="inlineStr">
        <is>
          <t>03.12.</t>
        </is>
      </c>
      <c r="C347" s="123" t="n">
        <v>242</v>
      </c>
      <c r="D347" s="124" t="n">
        <v>68.59999999999999</v>
      </c>
      <c r="E347" s="125" t="n">
        <v>21</v>
      </c>
      <c r="F347" s="124" t="n">
        <v>49.8</v>
      </c>
      <c r="G347" s="17" t="n">
        <v>15</v>
      </c>
      <c r="H347" s="126" t="n">
        <v>132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2</v>
      </c>
      <c r="R347" s="111" t="n">
        <v>1</v>
      </c>
      <c r="S347" s="111" t="inlineStr">
        <is>
          <t>복</t>
        </is>
      </c>
      <c r="T347" s="5" t="n">
        <v>68</v>
      </c>
      <c r="U347" s="9" t="n"/>
    </row>
    <row r="348" ht="12" customFormat="1" customHeight="1" s="38">
      <c r="A348" s="114" t="inlineStr">
        <is>
          <t>성환읍 한미래</t>
        </is>
      </c>
      <c r="B348" s="115" t="inlineStr">
        <is>
          <t>03.12.</t>
        </is>
      </c>
      <c r="C348" s="123" t="n">
        <v>242</v>
      </c>
      <c r="D348" s="124" t="n">
        <v>80.90000000000001</v>
      </c>
      <c r="E348" s="125" t="n">
        <v>24</v>
      </c>
      <c r="F348" s="124" t="n">
        <v>59.4</v>
      </c>
      <c r="G348" s="17" t="n">
        <v>18</v>
      </c>
      <c r="H348" s="126" t="n">
        <v>110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복</t>
        </is>
      </c>
      <c r="T348" s="5" t="n">
        <v>80</v>
      </c>
      <c r="U348" s="9" t="n"/>
    </row>
    <row r="349" ht="12" customFormat="1" customHeight="1" s="38">
      <c r="A349" s="114" t="inlineStr">
        <is>
          <t>성환읍 현대한솔</t>
        </is>
      </c>
      <c r="B349" s="115" t="inlineStr">
        <is>
          <t>97.11.</t>
        </is>
      </c>
      <c r="C349" s="123" t="n">
        <v>353</v>
      </c>
      <c r="D349" s="124" t="n">
        <v>56.7</v>
      </c>
      <c r="E349" s="125" t="n">
        <v>17</v>
      </c>
      <c r="F349" s="124" t="n">
        <v>42.8</v>
      </c>
      <c r="G349" s="17" t="n">
        <v>13</v>
      </c>
      <c r="H349" s="126" t="n">
        <v>95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2</v>
      </c>
      <c r="R349" s="111" t="n">
        <v>1</v>
      </c>
      <c r="S349" s="111" t="inlineStr">
        <is>
          <t>복</t>
        </is>
      </c>
      <c r="T349" s="5" t="n">
        <v>56</v>
      </c>
      <c r="U349" s="9" t="n"/>
    </row>
    <row r="350" ht="12" customFormat="1" customHeight="1" s="38">
      <c r="A350" s="114" t="inlineStr">
        <is>
          <t>성환읍 현대한솔</t>
        </is>
      </c>
      <c r="B350" s="115" t="inlineStr">
        <is>
          <t>97.11.</t>
        </is>
      </c>
      <c r="C350" s="123" t="n">
        <v>353</v>
      </c>
      <c r="D350" s="124" t="n">
        <v>102.1</v>
      </c>
      <c r="E350" s="125" t="n">
        <v>31</v>
      </c>
      <c r="F350" s="124" t="n">
        <v>85</v>
      </c>
      <c r="G350" s="17" t="n">
        <v>26</v>
      </c>
      <c r="H350" s="126" t="n">
        <v>102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2</v>
      </c>
      <c r="S350" s="111" t="inlineStr">
        <is>
          <t>계</t>
        </is>
      </c>
      <c r="T350" s="5" t="n">
        <v>102</v>
      </c>
      <c r="U350" s="9" t="n"/>
    </row>
    <row r="351" ht="12" customFormat="1" customHeight="1" s="38">
      <c r="A351" s="114" t="inlineStr">
        <is>
          <t>신당동 e편한세상천안부성</t>
        </is>
      </c>
      <c r="B351" s="115" t="inlineStr">
        <is>
          <t>18.02.</t>
        </is>
      </c>
      <c r="C351" s="123" t="n">
        <v>609</v>
      </c>
      <c r="D351" s="124" t="n">
        <v>79.40000000000001</v>
      </c>
      <c r="E351" s="125" t="n">
        <v>24</v>
      </c>
      <c r="F351" s="124" t="n">
        <v>60</v>
      </c>
      <c r="G351" s="17" t="n">
        <v>18</v>
      </c>
      <c r="H351" s="126" t="n">
        <v>214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2</v>
      </c>
      <c r="S351" s="111" t="inlineStr">
        <is>
          <t>계</t>
        </is>
      </c>
      <c r="T351" s="5" t="inlineStr">
        <is>
          <t>79B</t>
        </is>
      </c>
      <c r="U351" s="9" t="n"/>
    </row>
    <row r="352" ht="12" customFormat="1" customHeight="1" s="38">
      <c r="A352" s="114" t="inlineStr">
        <is>
          <t>쌍용동 이화</t>
        </is>
      </c>
      <c r="B352" s="115" t="inlineStr">
        <is>
          <t>85.11.</t>
        </is>
      </c>
      <c r="C352" s="123" t="n">
        <v>290</v>
      </c>
      <c r="D352" s="124" t="n">
        <v>61</v>
      </c>
      <c r="E352" s="125" t="n">
        <v>18</v>
      </c>
      <c r="F352" s="124" t="n">
        <v>54.7</v>
      </c>
      <c r="G352" s="17" t="n">
        <v>17</v>
      </c>
      <c r="H352" s="126" t="n">
        <v>190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2</v>
      </c>
      <c r="R352" s="111" t="n">
        <v>1</v>
      </c>
      <c r="S352" s="111" t="inlineStr">
        <is>
          <t>계</t>
        </is>
      </c>
      <c r="T352" s="5" t="n">
        <v>60</v>
      </c>
      <c r="U352" s="9" t="n"/>
    </row>
    <row r="353" ht="12" customFormat="1" customHeight="1" s="38">
      <c r="A353" s="114" t="inlineStr">
        <is>
          <t>쌍용동 이화</t>
        </is>
      </c>
      <c r="B353" s="115" t="inlineStr">
        <is>
          <t>85.11.</t>
        </is>
      </c>
      <c r="C353" s="123" t="n">
        <v>290</v>
      </c>
      <c r="D353" s="124" t="n">
        <v>77.8</v>
      </c>
      <c r="E353" s="125" t="n">
        <v>24</v>
      </c>
      <c r="F353" s="124" t="n">
        <v>71.59999999999999</v>
      </c>
      <c r="G353" s="17" t="n">
        <v>22</v>
      </c>
      <c r="H353" s="126" t="n">
        <v>70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77</v>
      </c>
      <c r="U353" s="9" t="n"/>
    </row>
    <row r="354" ht="12" customFormat="1" customHeight="1" s="38">
      <c r="A354" s="114" t="inlineStr">
        <is>
          <t>쌍용동 이화</t>
        </is>
      </c>
      <c r="B354" s="115" t="inlineStr">
        <is>
          <t>85.11.</t>
        </is>
      </c>
      <c r="C354" s="123" t="n">
        <v>290</v>
      </c>
      <c r="D354" s="124" t="n">
        <v>85.7</v>
      </c>
      <c r="E354" s="125" t="n">
        <v>26</v>
      </c>
      <c r="F354" s="124" t="n">
        <v>79.40000000000001</v>
      </c>
      <c r="G354" s="17" t="n">
        <v>24</v>
      </c>
      <c r="H354" s="126" t="n">
        <v>30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n">
        <v>85</v>
      </c>
      <c r="U354" s="9" t="n"/>
    </row>
    <row r="355" ht="12" customFormat="1" customHeight="1" s="38">
      <c r="A355" s="114" t="inlineStr">
        <is>
          <t>쌍용동 월봉현대</t>
        </is>
      </c>
      <c r="B355" s="115" t="inlineStr">
        <is>
          <t>98.11.</t>
        </is>
      </c>
      <c r="C355" s="123" t="n">
        <v>210</v>
      </c>
      <c r="D355" s="124" t="n">
        <v>118.8</v>
      </c>
      <c r="E355" s="125" t="n">
        <v>36</v>
      </c>
      <c r="F355" s="124" t="n">
        <v>99.2</v>
      </c>
      <c r="G355" s="17" t="n">
        <v>30</v>
      </c>
      <c r="H355" s="126" t="n">
        <v>87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2</v>
      </c>
      <c r="S355" s="111" t="inlineStr">
        <is>
          <t>계</t>
        </is>
      </c>
      <c r="T355" s="5" t="inlineStr">
        <is>
          <t>118A</t>
        </is>
      </c>
      <c r="U355" s="9" t="n"/>
    </row>
    <row r="356" ht="12" customFormat="1" customHeight="1" s="38">
      <c r="A356" s="114" t="inlineStr">
        <is>
          <t>쌍용동 월봉현대</t>
        </is>
      </c>
      <c r="B356" s="115" t="inlineStr">
        <is>
          <t>98.11.</t>
        </is>
      </c>
      <c r="C356" s="123" t="n">
        <v>210</v>
      </c>
      <c r="D356" s="124" t="n">
        <v>160.4</v>
      </c>
      <c r="E356" s="125" t="n">
        <v>49</v>
      </c>
      <c r="F356" s="124" t="n">
        <v>133.9</v>
      </c>
      <c r="G356" s="17" t="n">
        <v>41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2</v>
      </c>
      <c r="S356" s="111" t="inlineStr">
        <is>
          <t>계</t>
        </is>
      </c>
      <c r="T356" s="5" t="n">
        <v>160</v>
      </c>
      <c r="U356" s="9" t="n"/>
    </row>
    <row r="357" ht="12" customFormat="1" customHeight="1" s="38">
      <c r="A357" s="114" t="inlineStr">
        <is>
          <t>쌍용동 월봉현대</t>
        </is>
      </c>
      <c r="B357" s="115" t="inlineStr">
        <is>
          <t>98.11.</t>
        </is>
      </c>
      <c r="C357" s="123" t="n">
        <v>210</v>
      </c>
      <c r="D357" s="124" t="n">
        <v>213.3</v>
      </c>
      <c r="E357" s="125" t="n">
        <v>65</v>
      </c>
      <c r="F357" s="124" t="n">
        <v>178.1</v>
      </c>
      <c r="G357" s="17" t="n">
        <v>54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5</v>
      </c>
      <c r="R357" s="111" t="n">
        <v>2</v>
      </c>
      <c r="S357" s="111" t="inlineStr">
        <is>
          <t>계</t>
        </is>
      </c>
      <c r="T357" s="5" t="n">
        <v>213</v>
      </c>
      <c r="U357" s="9" t="n"/>
    </row>
    <row r="358" ht="12" customFormat="1" customHeight="1" s="38">
      <c r="A358" s="114" t="inlineStr">
        <is>
          <t>쌍용동 현대3차</t>
        </is>
      </c>
      <c r="B358" s="115" t="inlineStr">
        <is>
          <t>94.12.</t>
        </is>
      </c>
      <c r="C358" s="123" t="n">
        <v>378</v>
      </c>
      <c r="D358" s="124" t="n">
        <v>107.9</v>
      </c>
      <c r="E358" s="125" t="n">
        <v>33</v>
      </c>
      <c r="F358" s="124" t="n">
        <v>84.5</v>
      </c>
      <c r="G358" s="17" t="n">
        <v>26</v>
      </c>
      <c r="H358" s="126" t="n">
        <v>102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inlineStr">
        <is>
          <t>107A</t>
        </is>
      </c>
      <c r="U358" s="9" t="n"/>
    </row>
    <row r="359" ht="12" customFormat="1" customHeight="1" s="38">
      <c r="A359" s="114" t="inlineStr">
        <is>
          <t>쌍용동 주공7단지2차</t>
        </is>
      </c>
      <c r="B359" s="115" t="inlineStr">
        <is>
          <t>95.03.</t>
        </is>
      </c>
      <c r="C359" s="123" t="n">
        <v>593</v>
      </c>
      <c r="D359" s="124" t="n">
        <v>82.3</v>
      </c>
      <c r="E359" s="125" t="n">
        <v>25</v>
      </c>
      <c r="F359" s="124" t="n">
        <v>60</v>
      </c>
      <c r="G359" s="17" t="n">
        <v>18</v>
      </c>
      <c r="H359" s="126" t="n">
        <v>30</v>
      </c>
      <c r="I359" s="127" t="n"/>
      <c r="J359" s="127" t="n"/>
      <c r="K359" s="127" t="n">
        <v>14000</v>
      </c>
      <c r="L359" s="127" t="inlineStr">
        <is>
          <t>10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1</v>
      </c>
      <c r="S359" s="111" t="inlineStr">
        <is>
          <t>복</t>
        </is>
      </c>
      <c r="T359" s="5" t="inlineStr">
        <is>
          <t>82B</t>
        </is>
      </c>
      <c r="U359" s="9" t="n"/>
    </row>
    <row r="360" ht="12" customFormat="1" customHeight="1" s="38">
      <c r="A360" s="114" t="inlineStr">
        <is>
          <t>쌍용동 극동</t>
        </is>
      </c>
      <c r="B360" s="115" t="inlineStr">
        <is>
          <t>91.08.</t>
        </is>
      </c>
      <c r="C360" s="123" t="n">
        <v>262</v>
      </c>
      <c r="D360" s="124" t="n">
        <v>83.09999999999999</v>
      </c>
      <c r="E360" s="125" t="n">
        <v>25</v>
      </c>
      <c r="F360" s="124" t="n">
        <v>59.9</v>
      </c>
      <c r="G360" s="17" t="n">
        <v>18</v>
      </c>
      <c r="H360" s="126" t="n">
        <v>144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2</v>
      </c>
      <c r="R360" s="111" t="n">
        <v>1</v>
      </c>
      <c r="S360" s="111" t="inlineStr">
        <is>
          <t>복</t>
        </is>
      </c>
      <c r="T360" s="5" t="n">
        <v>83</v>
      </c>
      <c r="U360" s="9" t="n"/>
    </row>
    <row r="361" ht="12" customFormat="1" customHeight="1" s="38">
      <c r="A361" s="114" t="inlineStr">
        <is>
          <t>쌍용동 극동</t>
        </is>
      </c>
      <c r="B361" s="115" t="inlineStr">
        <is>
          <t>91.08.</t>
        </is>
      </c>
      <c r="C361" s="123" t="n">
        <v>262</v>
      </c>
      <c r="D361" s="124" t="n">
        <v>106.2</v>
      </c>
      <c r="E361" s="125" t="n">
        <v>32</v>
      </c>
      <c r="F361" s="124" t="n">
        <v>84.2</v>
      </c>
      <c r="G361" s="17" t="n">
        <v>25</v>
      </c>
      <c r="H361" s="126" t="n">
        <v>118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106</v>
      </c>
      <c r="U361" s="9" t="n"/>
    </row>
    <row r="362" ht="12" customFormat="1" customHeight="1" s="38">
      <c r="A362" s="114" t="inlineStr">
        <is>
          <t>쌍용동 현대아이파크홈타운6차2단지</t>
        </is>
      </c>
      <c r="B362" s="115" t="inlineStr">
        <is>
          <t>04.05.</t>
        </is>
      </c>
      <c r="C362" s="123" t="n">
        <v>299</v>
      </c>
      <c r="D362" s="124" t="n">
        <v>112.7</v>
      </c>
      <c r="E362" s="125" t="n">
        <v>34</v>
      </c>
      <c r="F362" s="124" t="n">
        <v>84.7</v>
      </c>
      <c r="G362" s="17" t="n">
        <v>26</v>
      </c>
      <c r="H362" s="126" t="n">
        <v>299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3</v>
      </c>
      <c r="R362" s="111" t="n">
        <v>2</v>
      </c>
      <c r="S362" s="111" t="inlineStr">
        <is>
          <t>계</t>
        </is>
      </c>
      <c r="T362" s="5" t="n">
        <v>112</v>
      </c>
      <c r="U362" s="9" t="n"/>
    </row>
    <row r="363" ht="12" customFormat="1" customHeight="1" s="38">
      <c r="A363" s="114" t="inlineStr">
        <is>
          <t>쌍용동 현대1차</t>
        </is>
      </c>
      <c r="B363" s="115" t="inlineStr">
        <is>
          <t>91.09.</t>
        </is>
      </c>
      <c r="C363" s="123" t="n">
        <v>286</v>
      </c>
      <c r="D363" s="124" t="n">
        <v>88.40000000000001</v>
      </c>
      <c r="E363" s="125" t="n">
        <v>27</v>
      </c>
      <c r="F363" s="124" t="n">
        <v>71.2</v>
      </c>
      <c r="G363" s="17" t="n">
        <v>22</v>
      </c>
      <c r="H363" s="126" t="n">
        <v>63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1</v>
      </c>
      <c r="S363" s="111" t="inlineStr">
        <is>
          <t>계</t>
        </is>
      </c>
      <c r="T363" s="5" t="n">
        <v>88</v>
      </c>
      <c r="U363" s="9" t="n"/>
    </row>
    <row r="364" ht="12" customFormat="1" customHeight="1" s="38">
      <c r="A364" s="114" t="inlineStr">
        <is>
          <t>쌍용동 현대1차</t>
        </is>
      </c>
      <c r="B364" s="115" t="inlineStr">
        <is>
          <t>91.09.</t>
        </is>
      </c>
      <c r="C364" s="123" t="n">
        <v>286</v>
      </c>
      <c r="D364" s="124" t="n">
        <v>105.5</v>
      </c>
      <c r="E364" s="125" t="n">
        <v>32</v>
      </c>
      <c r="F364" s="124" t="n">
        <v>84.90000000000001</v>
      </c>
      <c r="G364" s="17" t="n">
        <v>26</v>
      </c>
      <c r="H364" s="126" t="n">
        <v>223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n">
        <v>105</v>
      </c>
      <c r="U364" s="9" t="n"/>
    </row>
    <row r="365" ht="12" customFormat="1" customHeight="1" s="38">
      <c r="A365" s="114" t="inlineStr">
        <is>
          <t>쌍용동 라이프타운</t>
        </is>
      </c>
      <c r="B365" s="115" t="inlineStr">
        <is>
          <t>94.11.</t>
        </is>
      </c>
      <c r="C365" s="123" t="n">
        <v>540</v>
      </c>
      <c r="D365" s="124" t="n">
        <v>164.3</v>
      </c>
      <c r="E365" s="125" t="n">
        <v>50</v>
      </c>
      <c r="F365" s="124" t="n">
        <v>142.4</v>
      </c>
      <c r="G365" s="17" t="n">
        <v>43</v>
      </c>
      <c r="H365" s="126" t="n">
        <v>30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4</v>
      </c>
      <c r="R365" s="111" t="n">
        <v>2</v>
      </c>
      <c r="S365" s="111" t="inlineStr">
        <is>
          <t>계</t>
        </is>
      </c>
      <c r="T365" s="5" t="n">
        <v>164</v>
      </c>
      <c r="U365" s="9" t="n"/>
    </row>
    <row r="366" ht="12" customFormat="1" customHeight="1" s="38">
      <c r="A366" s="114" t="inlineStr">
        <is>
          <t>쌍용동 라이프타운</t>
        </is>
      </c>
      <c r="B366" s="115" t="inlineStr">
        <is>
          <t>94.11.</t>
        </is>
      </c>
      <c r="C366" s="123" t="n">
        <v>540</v>
      </c>
      <c r="D366" s="124" t="n">
        <v>212.5</v>
      </c>
      <c r="E366" s="125" t="n">
        <v>64</v>
      </c>
      <c r="F366" s="124" t="n">
        <v>182.1</v>
      </c>
      <c r="G366" s="17" t="n">
        <v>55</v>
      </c>
      <c r="H366" s="126" t="n">
        <v>30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5</v>
      </c>
      <c r="R366" s="111" t="n">
        <v>2</v>
      </c>
      <c r="S366" s="111" t="inlineStr">
        <is>
          <t>계</t>
        </is>
      </c>
      <c r="T366" s="5" t="n">
        <v>212</v>
      </c>
      <c r="U366" s="9" t="n"/>
    </row>
    <row r="367" ht="12" customFormat="1" customHeight="1" s="38">
      <c r="A367" s="114" t="inlineStr">
        <is>
          <t>쌍용동 쌍용동일하이빌</t>
        </is>
      </c>
      <c r="B367" s="115" t="inlineStr">
        <is>
          <t>07.04.</t>
        </is>
      </c>
      <c r="C367" s="123" t="n">
        <v>523</v>
      </c>
      <c r="D367" s="124" t="n">
        <v>200.8</v>
      </c>
      <c r="E367" s="125" t="n">
        <v>61</v>
      </c>
      <c r="F367" s="124" t="n">
        <v>164</v>
      </c>
      <c r="G367" s="17" t="n">
        <v>50</v>
      </c>
      <c r="H367" s="126" t="n">
        <v>40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4</v>
      </c>
      <c r="R367" s="111" t="n">
        <v>2</v>
      </c>
      <c r="S367" s="111" t="inlineStr">
        <is>
          <t>계</t>
        </is>
      </c>
      <c r="T367" s="5" t="inlineStr">
        <is>
          <t>200A</t>
        </is>
      </c>
      <c r="U367" s="9" t="n"/>
    </row>
    <row r="368" ht="12" customFormat="1" customHeight="1" s="38">
      <c r="A368" s="114" t="inlineStr">
        <is>
          <t>쌍용동 월봉벽산,태영</t>
        </is>
      </c>
      <c r="B368" s="115" t="inlineStr">
        <is>
          <t>98.11.</t>
        </is>
      </c>
      <c r="C368" s="123" t="n">
        <v>810</v>
      </c>
      <c r="D368" s="124" t="n">
        <v>106.3</v>
      </c>
      <c r="E368" s="125" t="n">
        <v>32</v>
      </c>
      <c r="F368" s="124" t="n">
        <v>85</v>
      </c>
      <c r="G368" s="17" t="n">
        <v>26</v>
      </c>
      <c r="H368" s="126" t="n">
        <v>289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106(태영)</t>
        </is>
      </c>
      <c r="U368" s="9" t="n"/>
    </row>
    <row r="369" ht="12" customFormat="1" customHeight="1" s="38">
      <c r="A369" s="114" t="inlineStr">
        <is>
          <t>쌍용동 용암동아벽산</t>
        </is>
      </c>
      <c r="B369" s="115" t="inlineStr">
        <is>
          <t>99.05.</t>
        </is>
      </c>
      <c r="C369" s="123" t="n">
        <v>505</v>
      </c>
      <c r="D369" s="124" t="n">
        <v>124.3</v>
      </c>
      <c r="E369" s="125" t="n">
        <v>38</v>
      </c>
      <c r="F369" s="124" t="n">
        <v>99.90000000000001</v>
      </c>
      <c r="G369" s="17" t="n">
        <v>30</v>
      </c>
      <c r="H369" s="126" t="n">
        <v>60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124B</t>
        </is>
      </c>
      <c r="U369" s="9" t="n"/>
    </row>
    <row r="370" ht="12" customFormat="1" customHeight="1" s="38">
      <c r="A370" s="114" t="inlineStr">
        <is>
          <t>쌍용동 시영1차</t>
        </is>
      </c>
      <c r="B370" s="115" t="inlineStr">
        <is>
          <t>92.09.</t>
        </is>
      </c>
      <c r="C370" s="123" t="n">
        <v>210</v>
      </c>
      <c r="D370" s="124" t="n">
        <v>59.6</v>
      </c>
      <c r="E370" s="125" t="n">
        <v>18</v>
      </c>
      <c r="F370" s="124" t="n">
        <v>42.7</v>
      </c>
      <c r="G370" s="17" t="n">
        <v>13</v>
      </c>
      <c r="H370" s="126" t="n">
        <v>210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2</v>
      </c>
      <c r="R370" s="111" t="n">
        <v>1</v>
      </c>
      <c r="S370" s="111" t="inlineStr">
        <is>
          <t>복</t>
        </is>
      </c>
      <c r="T370" s="5" t="n">
        <v>59</v>
      </c>
      <c r="U370" s="9" t="n"/>
    </row>
    <row r="371" ht="12" customFormat="1" customHeight="1" s="38">
      <c r="A371" s="114" t="inlineStr">
        <is>
          <t>쌍용동 쌍용역푸르지오</t>
        </is>
      </c>
      <c r="B371" s="115" t="inlineStr">
        <is>
          <t>06.10.</t>
        </is>
      </c>
      <c r="C371" s="123" t="n">
        <v>291</v>
      </c>
      <c r="D371" s="124" t="n">
        <v>109.6</v>
      </c>
      <c r="E371" s="125" t="n">
        <v>33</v>
      </c>
      <c r="F371" s="124" t="n">
        <v>85</v>
      </c>
      <c r="G371" s="17" t="n">
        <v>26</v>
      </c>
      <c r="H371" s="126" t="n">
        <v>114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109A</t>
        </is>
      </c>
      <c r="U371" s="9" t="n"/>
    </row>
    <row r="372" ht="12" customFormat="1" customHeight="1" s="38">
      <c r="A372" s="114" t="inlineStr">
        <is>
          <t>쌍용동 쌍용역푸르지오</t>
        </is>
      </c>
      <c r="B372" s="115" t="inlineStr">
        <is>
          <t>06.10.</t>
        </is>
      </c>
      <c r="C372" s="123" t="n">
        <v>291</v>
      </c>
      <c r="D372" s="124" t="n">
        <v>138.1</v>
      </c>
      <c r="E372" s="125" t="n">
        <v>42</v>
      </c>
      <c r="F372" s="124" t="n">
        <v>109.1</v>
      </c>
      <c r="G372" s="17" t="n">
        <v>33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n">
        <v>138</v>
      </c>
      <c r="U372" s="9" t="n"/>
    </row>
    <row r="373" ht="12" customFormat="1" customHeight="1" s="38">
      <c r="A373" s="114" t="inlineStr">
        <is>
          <t>쌍용동 대우타워</t>
        </is>
      </c>
      <c r="B373" s="115" t="inlineStr">
        <is>
          <t>94.09.</t>
        </is>
      </c>
      <c r="C373" s="123" t="n">
        <v>659</v>
      </c>
      <c r="D373" s="124" t="n">
        <v>106.4</v>
      </c>
      <c r="E373" s="125" t="n">
        <v>32</v>
      </c>
      <c r="F373" s="124" t="n">
        <v>84.90000000000001</v>
      </c>
      <c r="G373" s="17" t="n">
        <v>26</v>
      </c>
      <c r="H373" s="126" t="n">
        <v>242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n">
        <v>106</v>
      </c>
      <c r="U373" s="9" t="n"/>
    </row>
    <row r="374" ht="12" customFormat="1" customHeight="1" s="38">
      <c r="A374" s="114" t="inlineStr">
        <is>
          <t>입장면 입장연합초원</t>
        </is>
      </c>
      <c r="B374" s="115" t="inlineStr">
        <is>
          <t>96.07.</t>
        </is>
      </c>
      <c r="C374" s="123" t="n">
        <v>332</v>
      </c>
      <c r="D374" s="124" t="n">
        <v>68.7</v>
      </c>
      <c r="E374" s="125" t="n">
        <v>21</v>
      </c>
      <c r="F374" s="124" t="n">
        <v>53.8</v>
      </c>
      <c r="G374" s="17" t="n">
        <v>16</v>
      </c>
      <c r="H374" s="126" t="n">
        <v>170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2</v>
      </c>
      <c r="R374" s="111" t="n">
        <v>1</v>
      </c>
      <c r="S374" s="111" t="inlineStr">
        <is>
          <t>계</t>
        </is>
      </c>
      <c r="T374" s="5" t="n">
        <v>68</v>
      </c>
      <c r="U374" s="9" t="n"/>
    </row>
    <row r="375" ht="12" customFormat="1" customHeight="1" s="38">
      <c r="A375" s="114" t="inlineStr">
        <is>
          <t>입장면 한아름</t>
        </is>
      </c>
      <c r="B375" s="115" t="inlineStr">
        <is>
          <t>17.12.</t>
        </is>
      </c>
      <c r="C375" s="123" t="n">
        <v>214</v>
      </c>
      <c r="D375" s="124" t="n">
        <v>49.8</v>
      </c>
      <c r="E375" s="125" t="n">
        <v>15</v>
      </c>
      <c r="F375" s="124" t="n">
        <v>39.8</v>
      </c>
      <c r="G375" s="17" t="n">
        <v>12</v>
      </c>
      <c r="H375" s="126" t="n">
        <v>149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2</v>
      </c>
      <c r="R375" s="111" t="n">
        <v>1</v>
      </c>
      <c r="S375" s="111" t="inlineStr">
        <is>
          <t>복</t>
        </is>
      </c>
      <c r="T375" s="5" t="n">
        <v>49</v>
      </c>
      <c r="U375" s="9" t="n"/>
    </row>
    <row r="376" ht="12" customFormat="1" customHeight="1" s="38">
      <c r="A376" s="114" t="inlineStr">
        <is>
          <t>입장면 한아름</t>
        </is>
      </c>
      <c r="B376" s="115" t="inlineStr">
        <is>
          <t>17.12.</t>
        </is>
      </c>
      <c r="C376" s="123" t="n">
        <v>214</v>
      </c>
      <c r="D376" s="124" t="n">
        <v>75</v>
      </c>
      <c r="E376" s="125" t="n">
        <v>23</v>
      </c>
      <c r="F376" s="124" t="n">
        <v>59.9</v>
      </c>
      <c r="G376" s="17" t="n">
        <v>18</v>
      </c>
      <c r="H376" s="126" t="n">
        <v>65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1</v>
      </c>
      <c r="S376" s="111" t="inlineStr">
        <is>
          <t>복</t>
        </is>
      </c>
      <c r="T376" s="5" t="n">
        <v>74</v>
      </c>
      <c r="U376" s="9" t="n"/>
    </row>
    <row r="377" ht="12" customFormat="1" customHeight="1" s="38">
      <c r="A377" s="114" t="inlineStr">
        <is>
          <t>입장면 한성</t>
        </is>
      </c>
      <c r="B377" s="115" t="inlineStr">
        <is>
          <t>99.12.</t>
        </is>
      </c>
      <c r="C377" s="123" t="n">
        <v>770</v>
      </c>
      <c r="D377" s="124" t="n">
        <v>70</v>
      </c>
      <c r="E377" s="125" t="n">
        <v>21</v>
      </c>
      <c r="F377" s="124" t="n">
        <v>54.3</v>
      </c>
      <c r="G377" s="17" t="n">
        <v>16</v>
      </c>
      <c r="H377" s="126" t="n">
        <v>100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1</v>
      </c>
      <c r="S377" s="111" t="inlineStr">
        <is>
          <t>복</t>
        </is>
      </c>
      <c r="T377" s="5" t="n">
        <v>69</v>
      </c>
      <c r="U377" s="9" t="n"/>
    </row>
    <row r="378" ht="12" customFormat="1" customHeight="1" s="38">
      <c r="A378" s="114" t="inlineStr">
        <is>
          <t>입장면 연합</t>
        </is>
      </c>
      <c r="B378" s="115" t="inlineStr">
        <is>
          <t>92.07.</t>
        </is>
      </c>
      <c r="C378" s="123" t="n">
        <v>241</v>
      </c>
      <c r="D378" s="124" t="n">
        <v>75.5</v>
      </c>
      <c r="E378" s="125" t="n">
        <v>23</v>
      </c>
      <c r="F378" s="124" t="n">
        <v>59.5</v>
      </c>
      <c r="G378" s="17" t="n">
        <v>18</v>
      </c>
      <c r="H378" s="126" t="n">
        <v>120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2</v>
      </c>
      <c r="R378" s="111" t="n">
        <v>1</v>
      </c>
      <c r="S378" s="111" t="inlineStr">
        <is>
          <t>계</t>
        </is>
      </c>
      <c r="T378" s="5" t="n">
        <v>75</v>
      </c>
      <c r="U378" s="9" t="n"/>
    </row>
    <row r="379" ht="12" customFormat="1" customHeight="1" s="38">
      <c r="A379" s="114" t="inlineStr">
        <is>
          <t>입장면 연합</t>
        </is>
      </c>
      <c r="B379" s="115" t="inlineStr">
        <is>
          <t>92.07.</t>
        </is>
      </c>
      <c r="C379" s="123" t="n">
        <v>241</v>
      </c>
      <c r="D379" s="124" t="n">
        <v>83.59999999999999</v>
      </c>
      <c r="E379" s="125" t="n">
        <v>25</v>
      </c>
      <c r="F379" s="124" t="n">
        <v>66.5</v>
      </c>
      <c r="G379" s="17" t="n">
        <v>20</v>
      </c>
      <c r="H379" s="126" t="n">
        <v>48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계</t>
        </is>
      </c>
      <c r="T379" s="5" t="n">
        <v>83</v>
      </c>
      <c r="U379" s="9" t="n"/>
    </row>
    <row r="380" ht="12" customFormat="1" customHeight="1" s="38">
      <c r="A380" s="114" t="inlineStr">
        <is>
          <t>입장면 연합</t>
        </is>
      </c>
      <c r="B380" s="115" t="inlineStr">
        <is>
          <t>92.07.</t>
        </is>
      </c>
      <c r="C380" s="123" t="n">
        <v>241</v>
      </c>
      <c r="D380" s="124" t="n">
        <v>113.7</v>
      </c>
      <c r="E380" s="125" t="n">
        <v>34</v>
      </c>
      <c r="F380" s="124" t="n">
        <v>91.5</v>
      </c>
      <c r="G380" s="17" t="n">
        <v>28</v>
      </c>
      <c r="H380" s="126" t="n">
        <v>60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2</v>
      </c>
      <c r="S380" s="111" t="inlineStr">
        <is>
          <t>계</t>
        </is>
      </c>
      <c r="T380" s="5" t="n">
        <v>113</v>
      </c>
      <c r="U380" s="9" t="n"/>
    </row>
    <row r="381" ht="12" customFormat="1" customHeight="1" s="38">
      <c r="A381" s="114" t="inlineStr">
        <is>
          <t>직산읍 청호6차</t>
        </is>
      </c>
      <c r="B381" s="115" t="inlineStr">
        <is>
          <t>95.08.</t>
        </is>
      </c>
      <c r="C381" s="123" t="n">
        <v>266</v>
      </c>
      <c r="D381" s="124" t="n">
        <v>78.2</v>
      </c>
      <c r="E381" s="125" t="n">
        <v>24</v>
      </c>
      <c r="F381" s="124" t="n">
        <v>59.8</v>
      </c>
      <c r="G381" s="17" t="n">
        <v>18</v>
      </c>
      <c r="H381" s="126" t="n">
        <v>140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n">
        <v>78</v>
      </c>
      <c r="U381" s="9" t="n"/>
    </row>
    <row r="382" ht="12" customFormat="1" customHeight="1" s="38">
      <c r="A382" s="114" t="inlineStr">
        <is>
          <t>직산읍 청호4차</t>
        </is>
      </c>
      <c r="B382" s="115" t="inlineStr">
        <is>
          <t>92.07.</t>
        </is>
      </c>
      <c r="C382" s="123" t="n">
        <v>246</v>
      </c>
      <c r="D382" s="124" t="n">
        <v>76.3</v>
      </c>
      <c r="E382" s="125" t="n">
        <v>23</v>
      </c>
      <c r="F382" s="124" t="n">
        <v>59.6</v>
      </c>
      <c r="G382" s="17" t="n">
        <v>18</v>
      </c>
      <c r="H382" s="126" t="n">
        <v>158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76B</t>
        </is>
      </c>
      <c r="U382" s="9" t="n"/>
    </row>
    <row r="383" ht="12" customFormat="1" customHeight="1" s="38">
      <c r="A383" s="114" t="inlineStr">
        <is>
          <t>직산읍 청호4차</t>
        </is>
      </c>
      <c r="B383" s="115" t="inlineStr">
        <is>
          <t>92.07.</t>
        </is>
      </c>
      <c r="C383" s="123" t="n">
        <v>246</v>
      </c>
      <c r="D383" s="124" t="n">
        <v>92.8</v>
      </c>
      <c r="E383" s="125" t="n">
        <v>28</v>
      </c>
      <c r="F383" s="124" t="n">
        <v>73.5</v>
      </c>
      <c r="G383" s="17" t="n">
        <v>22</v>
      </c>
      <c r="H383" s="126" t="n">
        <v>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n">
        <v>92</v>
      </c>
      <c r="U383" s="9" t="n"/>
    </row>
    <row r="384" ht="12" customFormat="1" customHeight="1" s="38">
      <c r="A384" s="114" t="inlineStr">
        <is>
          <t>직산읍 청호4차</t>
        </is>
      </c>
      <c r="B384" s="115" t="inlineStr">
        <is>
          <t>92.07.</t>
        </is>
      </c>
      <c r="C384" s="123" t="n">
        <v>246</v>
      </c>
      <c r="D384" s="124" t="n">
        <v>105.9</v>
      </c>
      <c r="E384" s="125" t="n">
        <v>32</v>
      </c>
      <c r="F384" s="124" t="n">
        <v>84.5</v>
      </c>
      <c r="G384" s="17" t="n">
        <v>26</v>
      </c>
      <c r="H384" s="126" t="n">
        <v>30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2</v>
      </c>
      <c r="S384" s="111" t="inlineStr">
        <is>
          <t>계</t>
        </is>
      </c>
      <c r="T384" s="5" t="n">
        <v>105</v>
      </c>
      <c r="U384" s="9" t="n"/>
    </row>
    <row r="385" ht="12" customFormat="1" customHeight="1" s="38">
      <c r="A385" s="114" t="inlineStr">
        <is>
          <t>직산읍 더샵천안레이크마크</t>
        </is>
      </c>
      <c r="B385" s="115" t="inlineStr">
        <is>
          <t>24.03.</t>
        </is>
      </c>
      <c r="C385" s="123" t="n">
        <v>411</v>
      </c>
      <c r="D385" s="124" t="n">
        <v>86.8</v>
      </c>
      <c r="E385" s="125" t="n">
        <v>26</v>
      </c>
      <c r="F385" s="124" t="n">
        <v>65.59999999999999</v>
      </c>
      <c r="G385" s="17" t="n">
        <v>20</v>
      </c>
      <c r="H385" s="126" t="n">
        <v>119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2</v>
      </c>
      <c r="S385" s="111" t="inlineStr">
        <is>
          <t>계</t>
        </is>
      </c>
      <c r="T385" s="5" t="inlineStr">
        <is>
          <t>86A</t>
        </is>
      </c>
      <c r="U385" s="9" t="n"/>
    </row>
    <row r="386" ht="12" customFormat="1" customHeight="1" s="38">
      <c r="A386" s="114" t="inlineStr">
        <is>
          <t>직산읍 더샵천안레이크마크</t>
        </is>
      </c>
      <c r="B386" s="115" t="inlineStr">
        <is>
          <t>24.03.</t>
        </is>
      </c>
      <c r="C386" s="123" t="n">
        <v>411</v>
      </c>
      <c r="D386" s="124" t="n">
        <v>100.3</v>
      </c>
      <c r="E386" s="125" t="n">
        <v>30</v>
      </c>
      <c r="F386" s="124" t="n">
        <v>76</v>
      </c>
      <c r="G386" s="17" t="n">
        <v>23</v>
      </c>
      <c r="H386" s="126" t="n">
        <v>67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계</t>
        </is>
      </c>
      <c r="T386" s="5" t="inlineStr">
        <is>
          <t>100A</t>
        </is>
      </c>
      <c r="U386" s="9" t="n"/>
    </row>
    <row r="387" ht="12" customFormat="1" customHeight="1" s="38">
      <c r="A387" s="114" t="inlineStr">
        <is>
          <t>직산읍 직산세광엔리치빌2단지</t>
        </is>
      </c>
      <c r="B387" s="115" t="inlineStr">
        <is>
          <t>05.11.</t>
        </is>
      </c>
      <c r="C387" s="123" t="n">
        <v>318</v>
      </c>
      <c r="D387" s="124" t="n">
        <v>123.2</v>
      </c>
      <c r="E387" s="125" t="n">
        <v>37</v>
      </c>
      <c r="F387" s="124" t="n">
        <v>88.8</v>
      </c>
      <c r="G387" s="17" t="n">
        <v>27</v>
      </c>
      <c r="H387" s="126" t="n">
        <v>86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123</v>
      </c>
      <c r="U387" s="9" t="n"/>
    </row>
    <row r="388" ht="12" customFormat="1" customHeight="1" s="38">
      <c r="A388" s="114" t="inlineStr">
        <is>
          <t>직산읍 직산세광엔리치빌2단지</t>
        </is>
      </c>
      <c r="B388" s="115" t="inlineStr">
        <is>
          <t>05.11.</t>
        </is>
      </c>
      <c r="C388" s="123" t="n">
        <v>318</v>
      </c>
      <c r="D388" s="124" t="n">
        <v>131.9</v>
      </c>
      <c r="E388" s="125" t="n">
        <v>40</v>
      </c>
      <c r="F388" s="124" t="n">
        <v>101.8</v>
      </c>
      <c r="G388" s="17" t="n">
        <v>31</v>
      </c>
      <c r="H388" s="126" t="n">
        <v>59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4</v>
      </c>
      <c r="R388" s="111" t="n">
        <v>2</v>
      </c>
      <c r="S388" s="111" t="inlineStr">
        <is>
          <t>계</t>
        </is>
      </c>
      <c r="T388" s="5" t="inlineStr">
        <is>
          <t>131B</t>
        </is>
      </c>
      <c r="U388" s="9" t="n"/>
    </row>
    <row r="389" ht="12" customFormat="1" customHeight="1" s="38">
      <c r="A389" s="114" t="inlineStr">
        <is>
          <t>직산읍 직산한양수자인아이림</t>
        </is>
      </c>
      <c r="B389" s="115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3</v>
      </c>
      <c r="R389" s="111" t="n">
        <v>2</v>
      </c>
      <c r="S389" s="111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8">
      <c r="A390" s="114" t="inlineStr">
        <is>
          <t>직산읍 직산월드메르디앙레이크파크</t>
        </is>
      </c>
      <c r="B390" s="115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3</v>
      </c>
      <c r="R390" s="111" t="n">
        <v>2</v>
      </c>
      <c r="S390" s="111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8">
      <c r="A391" s="114" t="inlineStr">
        <is>
          <t>직산읍 직산월드메르디앙레이크파크</t>
        </is>
      </c>
      <c r="B391" s="115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3</v>
      </c>
      <c r="R391" s="111" t="n">
        <v>2</v>
      </c>
      <c r="S391" s="111" t="inlineStr">
        <is>
          <t>계</t>
        </is>
      </c>
      <c r="T391" s="5" t="n">
        <v>101</v>
      </c>
      <c r="U391" s="9" t="n"/>
    </row>
    <row r="392" ht="12" customFormat="1" customHeight="1" s="38">
      <c r="A392" s="114" t="inlineStr">
        <is>
          <t>직산읍 직산코아루</t>
        </is>
      </c>
      <c r="B392" s="115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3</v>
      </c>
      <c r="R392" s="111" t="n">
        <v>2</v>
      </c>
      <c r="S392" s="111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8">
      <c r="A393" s="114" t="inlineStr">
        <is>
          <t>직산읍 청호5차</t>
        </is>
      </c>
      <c r="B393" s="115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3</v>
      </c>
      <c r="R393" s="111" t="n">
        <v>1</v>
      </c>
      <c r="S393" s="111" t="inlineStr">
        <is>
          <t>계</t>
        </is>
      </c>
      <c r="T393" s="5" t="n">
        <v>69</v>
      </c>
      <c r="U393" s="9" t="n"/>
    </row>
    <row r="394" ht="12" customFormat="1" customHeight="1" s="38">
      <c r="A394" s="114" t="inlineStr">
        <is>
          <t>직산읍 청호5차</t>
        </is>
      </c>
      <c r="B394" s="115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1</v>
      </c>
      <c r="S394" s="111" t="inlineStr">
        <is>
          <t>계</t>
        </is>
      </c>
      <c r="T394" s="5" t="n">
        <v>75</v>
      </c>
      <c r="U394" s="9" t="n"/>
    </row>
    <row r="395" ht="12" customFormat="1" customHeight="1" s="38">
      <c r="A395" s="114" t="inlineStr">
        <is>
          <t>직산읍 직산한도</t>
        </is>
      </c>
      <c r="B395" s="115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2</v>
      </c>
      <c r="R395" s="111" t="n">
        <v>1</v>
      </c>
      <c r="S395" s="111" t="inlineStr">
        <is>
          <t>복</t>
        </is>
      </c>
      <c r="T395" s="5" t="n">
        <v>60</v>
      </c>
      <c r="U395" s="9" t="n"/>
    </row>
    <row r="396" ht="12" customFormat="1" customHeight="1" s="38">
      <c r="A396" s="114" t="inlineStr">
        <is>
          <t>직산읍 직산한도</t>
        </is>
      </c>
      <c r="B396" s="115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2</v>
      </c>
      <c r="R396" s="111" t="n">
        <v>1</v>
      </c>
      <c r="S396" s="111" t="inlineStr">
        <is>
          <t>복</t>
        </is>
      </c>
      <c r="T396" s="5" t="n">
        <v>73</v>
      </c>
      <c r="U396" s="9" t="n"/>
    </row>
    <row r="397" ht="12" customFormat="1" customHeight="1" s="38">
      <c r="A397" s="114" t="inlineStr">
        <is>
          <t>직산읍 직산한도</t>
        </is>
      </c>
      <c r="B397" s="115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2</v>
      </c>
      <c r="R397" s="111" t="n">
        <v>1</v>
      </c>
      <c r="S397" s="111" t="inlineStr">
        <is>
          <t>복</t>
        </is>
      </c>
      <c r="T397" s="5" t="n">
        <v>83</v>
      </c>
      <c r="U397" s="9" t="n"/>
    </row>
    <row r="398" ht="12" customFormat="1" customHeight="1" s="38">
      <c r="A398" s="114" t="inlineStr">
        <is>
          <t>직산읍 직산한도</t>
        </is>
      </c>
      <c r="B398" s="115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1</v>
      </c>
      <c r="S398" s="111" t="inlineStr">
        <is>
          <t>복</t>
        </is>
      </c>
      <c r="T398" s="5" t="n">
        <v>97</v>
      </c>
      <c r="U398" s="9" t="n"/>
    </row>
    <row r="399" ht="12" customFormat="1" customHeight="1" s="38">
      <c r="A399" s="114" t="inlineStr">
        <is>
          <t>직산읍 청솔</t>
        </is>
      </c>
      <c r="B399" s="115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1</v>
      </c>
      <c r="S399" s="111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074" operator="greaterThan" dxfId="17">
      <formula>0.9</formula>
    </cfRule>
    <cfRule type="cellIs" priority="4207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94246" dxfId="3">
      <formula>AND(IF(OR($Q4=1,$Q4=2),1,0),IF(#REF!&lt;=20,1,0))</formula>
    </cfRule>
    <cfRule type="expression" priority="94247" dxfId="2">
      <formula>AND(IF($Q4=2,1,0),IF(#REF!&lt;30,1,0))</formula>
    </cfRule>
    <cfRule type="expression" priority="94248" dxfId="1">
      <formula>AND(IF($Q4=3,1,0),IF(#REF!&lt;30,1,0))</formula>
    </cfRule>
    <cfRule type="expression" priority="9424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topLeftCell="A16" zoomScaleNormal="100" workbookViewId="0">
      <selection activeCell="H25" sqref="H25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inlineStr">
        <is>
          <t>불당동</t>
        </is>
      </c>
      <c r="E4" s="110" t="inlineStr">
        <is>
          <t>성성동</t>
        </is>
      </c>
      <c r="F4" s="110" t="inlineStr">
        <is>
          <t>성정동</t>
        </is>
      </c>
      <c r="G4" s="110" t="inlineStr">
        <is>
          <t>두정동</t>
        </is>
      </c>
      <c r="H4" s="110" t="inlineStr">
        <is>
          <t>백석동</t>
        </is>
      </c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 ht="36" customHeight="1" s="117">
      <c r="A8" s="131" t="n">
        <v>8</v>
      </c>
      <c r="B8" s="59" t="inlineStr">
        <is>
          <t>~</t>
        </is>
      </c>
      <c r="C8" s="132" t="n"/>
      <c r="D8" s="60" t="inlineStr">
        <is>
          <t>천안불당지웰더샵(34평/8.7)_x000D_
불당호반써밋플레이스(35평/8.1)_x000D_
천안불당린스트라우스2단지(35평/8.0)</t>
        </is>
      </c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 ht="72" customHeight="1" s="117">
      <c r="A9" s="133" t="n">
        <v>7</v>
      </c>
      <c r="B9" s="61" t="inlineStr">
        <is>
          <t>~</t>
        </is>
      </c>
      <c r="C9" s="134" t="n">
        <v>8</v>
      </c>
      <c r="D9" s="60" t="inlineStr">
        <is>
          <t>불당호반베르디움더퍼스트(34평/7.5)_x000D_
천안불당린스트라우스1단지(35평/7.4)_x000D_
불당리더힐스(36평/7.3)_x000D_
불당호반써밋플레이스센터시티(34평/7.3)_x000D_
호반베르디움센트로포레(34평/7.3)_x000D_
천안불당지웰푸르지오(33평/7.0)</t>
        </is>
      </c>
      <c r="E9" s="60" t="inlineStr">
        <is>
          <t>천안레이크타운3차푸르지오(35평/7.0)_x000D_
천안시티자이(36평/7.0)</t>
        </is>
      </c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 ht="36" customHeight="1" s="117">
      <c r="A10" s="135" t="n">
        <v>6</v>
      </c>
      <c r="B10" s="57" t="inlineStr">
        <is>
          <t>~</t>
        </is>
      </c>
      <c r="C10" s="136" t="n">
        <v>7</v>
      </c>
      <c r="D10" s="58" t="inlineStr">
        <is>
          <t>불당이안(34평/6.2)</t>
        </is>
      </c>
      <c r="E10" s="58" t="inlineStr">
        <is>
          <t>천안레이크타운푸르지오(35평/6.9)_x000D_
천안레이크타운2차푸르지오(35평/6.5)_x000D_
천안레이크타운3차푸르지오(32평/6.4)</t>
        </is>
      </c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 ht="48" customHeight="1" s="117">
      <c r="A11" s="135" t="n">
        <v>5</v>
      </c>
      <c r="B11" s="57" t="inlineStr">
        <is>
          <t>~</t>
        </is>
      </c>
      <c r="C11" s="136" t="n">
        <v>6</v>
      </c>
      <c r="D11" s="58" t="inlineStr">
        <is>
          <t>불당호반베르디움더퍼스트(25평/5.3)_x000D_
불당이안(30평/5.2)_x000D_
불당리더힐스(31평/5.0)</t>
        </is>
      </c>
      <c r="E11" s="58" t="inlineStr">
        <is>
          <t>천안레이크타운2차푸르지오(32평/5.5)_x000D_
천안시티자이(32평/5.4)_x000D_
천안레이크타운푸르지오(31평/5.2)_x000D_
천안레이크타운3차푸르지오(26평/5.0)</t>
        </is>
      </c>
      <c r="F11" s="58" t="n"/>
      <c r="G11" s="58" t="inlineStr">
        <is>
          <t>두정역효성해링턴플레이스(33평/5.7)</t>
        </is>
      </c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 ht="60" customHeight="1" s="117">
      <c r="A12" s="135" t="n">
        <v>4</v>
      </c>
      <c r="B12" s="57" t="inlineStr">
        <is>
          <t>~</t>
        </is>
      </c>
      <c r="C12" s="136" t="n">
        <v>5</v>
      </c>
      <c r="D12" s="58" t="inlineStr">
        <is>
          <t>불당아이파크(34평/4.8)_x000D_
동일하이빌(34평/4.5)_x000D_
불당리더힐스(25평/4.3)_x000D_
대동다숲(32평/4.0)</t>
        </is>
      </c>
      <c r="E12" s="58" t="inlineStr">
        <is>
          <t>천안레이크타운푸르지오(27평/4.8)_x000D_
천안레이크타운2차푸르지오(27평/4.7)_x000D_
천안시티자이(26평/4.7)</t>
        </is>
      </c>
      <c r="F12" s="58" t="n"/>
      <c r="G12" s="58" t="inlineStr">
        <is>
          <t>두정역효성해링턴플레이스(29평/4.8)_x000D_
e편한세상두정3차(34평/4.7)_x000D_
e편한세상두정3차(31평/4.4)_x000D_
포레나천안두정(33평/4.3)_x000D_
e편한세상두정2차(34평/4.0)</t>
        </is>
      </c>
      <c r="H12" s="58" t="inlineStr">
        <is>
          <t>천안백석아이파크2차(34평/4.8)_x000D_
천안백석아이파크3차(31평/4.4)</t>
        </is>
      </c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 ht="156" customHeight="1" s="117">
      <c r="A13" s="137" t="n">
        <v>3</v>
      </c>
      <c r="B13" s="62" t="inlineStr">
        <is>
          <t>~</t>
        </is>
      </c>
      <c r="C13" s="138" t="n">
        <v>4</v>
      </c>
      <c r="D13" s="63" t="inlineStr">
        <is>
          <t>대원칸타빌(34평/4.0)_x000D_
동일하이빌(29평/3.7)_x000D_
대동다숲(28평/3.6)</t>
        </is>
      </c>
      <c r="E13" s="63" t="n"/>
      <c r="F13" s="63" t="n"/>
      <c r="G13" s="63" t="inlineStr">
        <is>
          <t>천안두정역푸르지오(34평/3.9)_x000D_
포레나천안두정(30평/3.8)_x000D_
두정역효성해링턴플레이스(26평/3.8)_x000D_
e편한세상두정2차(30평/3.7)_x000D_
천안두정역이안더센트럴(35평/3.7)_x000D_
e편한세상두정4차(30평/3.7)_x000D_
e편한세상두정3차(26평/3.7)_x000D_
천안두정역푸르지오(31평/3.5)_x000D_
두정역코아루스위트(33평/3.5)_x000D_
e편한세상두정4차(27평/3.2)_x000D_
한성필하우스3차(29평/3.1)_x000D_
한성필하우스3차(33평/3.1)_x000D_
두정역효성해링턴플레이스(23평/3.1)</t>
        </is>
      </c>
      <c r="H13" s="63" t="inlineStr">
        <is>
          <t>백석마을아이파크(35평/4.0)_x000D_
백석리슈빌(35평/3.7)_x000D_
천안백석푸르지오(33평/3.7)_x000D_
호반리젠시빌1차(37평/3.2)_x000D_
그린빌2차(33평/3.0)_x000D_
호반리젠시빌2차(37평/3.0)</t>
        </is>
      </c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 ht="96" customHeight="1" s="117">
      <c r="A14" s="137" t="n">
        <v>2.5</v>
      </c>
      <c r="B14" s="62" t="inlineStr">
        <is>
          <t>~</t>
        </is>
      </c>
      <c r="C14" s="138" t="n">
        <v>3</v>
      </c>
      <c r="D14" s="63" t="inlineStr">
        <is>
          <t>대원칸타빌(25평/2.8)</t>
        </is>
      </c>
      <c r="E14" s="63" t="n"/>
      <c r="F14" s="63" t="inlineStr">
        <is>
          <t>대우목화(28평/2.5)_x000D_
주공5단지(22평/2.5)</t>
        </is>
      </c>
      <c r="G14" s="63" t="inlineStr">
        <is>
          <t>계룡리슈빌(34평/2.9)_x000D_
천안두정푸르지오5차(34평/2.9)_x000D_
두정푸르지오4차(32평/2.9)_x000D_
두정e-편한세상(32평/2.8)_x000D_
서해그랑블(32평/2.7)_x000D_
세광엔리치빌3차(31평/2.6)_x000D_
천안두정푸르지오3차(31평/2.6)_x000D_
한성필하우스3차(24평/2.5)</t>
        </is>
      </c>
      <c r="H14" s="63" t="inlineStr">
        <is>
          <t>천안브라운스톤(33평/2.9)_x000D_
주공그린빌(32평/2.9)_x000D_
그린빌2차(29평/2.8)_x000D_
주공그린빌(29평/2.7)</t>
        </is>
      </c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 ht="132" customHeight="1" s="117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inlineStr">
        <is>
          <t>주공5단지(19평/2.3)</t>
        </is>
      </c>
      <c r="G15" s="63" t="inlineStr">
        <is>
          <t>두정푸르지오4차(29평/2.5)_x000D_
계룡리슈빌(30평/2.5)_x000D_
세광엔리치빌2차(31평/2.5)_x000D_
두정마을우남1단지(33평/2.5)_x000D_
한성스위트빌(32평/2.4)_x000D_
대우(32평/2.4)_x000D_
경남아너스빌(33평/2.4)_x000D_
두정대우2차(32평/2.4)_x000D_
극동늘푸른(32평/2.2)_x000D_
대우(27평/2.1)_x000D_
경남아너스빌(25평/2.0)</t>
        </is>
      </c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 ht="72" customHeight="1" s="117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inlineStr">
        <is>
          <t>주공5단지(15평/1.9)_x000D_
현대(31평/1.8)_x000D_
주공6단지1차(18평/1.8)_x000D_
대우목화(18평/1.7)_x000D_
주공6단지3차(17평/1.6)_x000D_
주공6단지1차(15평/1.5)</t>
        </is>
      </c>
      <c r="G16" s="65" t="inlineStr">
        <is>
          <t>한성스위트빌(27평/2.0)_x000D_
대우(24평/1.8)_x000D_
우성(23평/1.8)_x000D_
주공8단지(25평/1.7)_x000D_
극동늘푸른(24평/1.7)_x000D_
주공8단지(21평/1.6)</t>
        </is>
      </c>
      <c r="H16" s="65" t="inlineStr">
        <is>
          <t>현대(27평/1.9)_x000D_
현대(31평/1.9)</t>
        </is>
      </c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 ht="24" customHeight="1" s="1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inlineStr">
        <is>
          <t>선경(24평/1.3)</t>
        </is>
      </c>
      <c r="G17" s="65" t="inlineStr">
        <is>
          <t>대우(15평/1.4)_x000D_
주공8단지(17평/1.2)</t>
        </is>
      </c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 ht="36" customHeight="1" s="117">
      <c r="A21" s="131">
        <f>IF(A8="","",A8)</f>
        <v/>
      </c>
      <c r="B21" s="59">
        <f>IF(B8="","",B8)</f>
        <v/>
      </c>
      <c r="C21" s="132">
        <f>IF(C8="","",C8)</f>
        <v/>
      </c>
      <c r="D21" s="60" t="inlineStr">
        <is>
          <t>천안불당지웰더샵('16/8.7)_x000D_
불당호반써밋플레이스('17/8.1)_x000D_
천안불당린스트라우스2단지('17/8.0)</t>
        </is>
      </c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 ht="72" customHeight="1" s="117">
      <c r="A22" s="133">
        <f>IF(A9="","",A9)</f>
        <v/>
      </c>
      <c r="B22" s="61">
        <f>IF(B9="","",B9)</f>
        <v/>
      </c>
      <c r="C22" s="134">
        <f>IF(C9="","",C9)</f>
        <v/>
      </c>
      <c r="D22" s="60" t="inlineStr">
        <is>
          <t>불당호반베르디움더퍼스트('16/7.5)_x000D_
천안불당린스트라우스1단지('17/7.4)_x000D_
불당리더힐스('16/7.3)_x000D_
불당호반써밋플레이스센터시티('17/7.3)_x000D_
호반베르디움센트로포레('17/7.3)_x000D_
천안불당지웰푸르지오('16/7.0)</t>
        </is>
      </c>
      <c r="E22" s="60" t="inlineStr">
        <is>
          <t>천안레이크타운3차푸르지오('20/7.0)_x000D_
천안시티자이('18/7.0)</t>
        </is>
      </c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 ht="36" customHeight="1" s="117">
      <c r="A23" s="135">
        <f>IF(A10="","",A10)</f>
        <v/>
      </c>
      <c r="B23" s="57">
        <f>IF(B10="","",B10)</f>
        <v/>
      </c>
      <c r="C23" s="136">
        <f>IF(C10="","",C10)</f>
        <v/>
      </c>
      <c r="D23" s="58" t="inlineStr">
        <is>
          <t>불당이안('15/6.2)</t>
        </is>
      </c>
      <c r="E23" s="58" t="inlineStr">
        <is>
          <t>천안레이크타운푸르지오('17/6.9)_x000D_
천안레이크타운2차푸르지오('18/6.5)_x000D_
천안레이크타운3차푸르지오('20/6.4)</t>
        </is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 ht="36" customHeight="1" s="117">
      <c r="A24" s="135">
        <f>IF(A11="","",A11)</f>
        <v/>
      </c>
      <c r="B24" s="57">
        <f>IF(B11="","",B11)</f>
        <v/>
      </c>
      <c r="C24" s="136">
        <f>IF(C11="","",C11)</f>
        <v/>
      </c>
      <c r="D24" s="58" t="inlineStr">
        <is>
          <t>불당이안('15/5.2)_x000D_
불당리더힐스('16/5.0)</t>
        </is>
      </c>
      <c r="E24" s="58" t="inlineStr">
        <is>
          <t>천안레이크타운2차푸르지오('18/5.5)_x000D_
천안시티자이('18/5.4)_x000D_
천안레이크타운푸르지오('17/5.2)</t>
        </is>
      </c>
      <c r="F24" s="58" t="n"/>
      <c r="G24" s="58" t="inlineStr">
        <is>
          <t>두정역효성해링턴플레이스('20/5.7)</t>
        </is>
      </c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 ht="48" customHeight="1" s="117">
      <c r="A25" s="135">
        <f>IF(A12="","",A12)</f>
        <v/>
      </c>
      <c r="B25" s="57">
        <f>IF(B12="","",B12)</f>
        <v/>
      </c>
      <c r="C25" s="136">
        <f>IF(C12="","",C12)</f>
        <v/>
      </c>
      <c r="D25" s="58" t="inlineStr">
        <is>
          <t>불당아이파크('04/4.8)_x000D_
동일하이빌('04/4.5)_x000D_
대동다숲('04/4.0)</t>
        </is>
      </c>
      <c r="E25" s="58" t="n"/>
      <c r="F25" s="58" t="n"/>
      <c r="G25" s="58" t="inlineStr">
        <is>
          <t>e편한세상두정3차('17/4.7)_x000D_
e편한세상두정3차('17/4.4)_x000D_
포레나천안두정('22/4.3)_x000D_
e편한세상두정2차('13/4.0)</t>
        </is>
      </c>
      <c r="H25" s="58" t="inlineStr">
        <is>
          <t>천안백석아이파크2차('14/4.8)_x000D_
천안백석아이파크3차('17/4.4)</t>
        </is>
      </c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 ht="96" customHeight="1" s="117">
      <c r="A26" s="137">
        <f>IF(A13="","",A13)</f>
        <v/>
      </c>
      <c r="B26" s="62">
        <f>IF(B13="","",B13)</f>
        <v/>
      </c>
      <c r="C26" s="138">
        <f>IF(C13="","",C13)</f>
        <v/>
      </c>
      <c r="D26" s="63" t="inlineStr">
        <is>
          <t>대원칸타빌('04/4.0)</t>
        </is>
      </c>
      <c r="E26" s="63" t="n"/>
      <c r="F26" s="63" t="n"/>
      <c r="G26" s="63" t="inlineStr">
        <is>
          <t>천안두정역푸르지오('09/3.9)_x000D_
포레나천안두정('22/3.8)_x000D_
e편한세상두정2차('13/3.7)_x000D_
천안두정역이안더센트럴('11/3.7)_x000D_
e편한세상두정4차('18/3.7)_x000D_
천안두정역푸르지오('09/3.5)_x000D_
두정역코아루스위트('14/3.5)_x000D_
한성필하우스3차('04/3.1)</t>
        </is>
      </c>
      <c r="H26" s="63" t="inlineStr">
        <is>
          <t>백석마을아이파크('09/4.0)_x000D_
백석리슈빌('10/3.7)_x000D_
천안백석푸르지오('10/3.7)_x000D_
호반리젠시빌1차('03/3.2)_x000D_
그린빌2차('04/3.0)_x000D_
호반리젠시빌2차('03/3.0)</t>
        </is>
      </c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 ht="84" customHeight="1" s="11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inlineStr">
        <is>
          <t>계룡리슈빌('04/2.9)_x000D_
천안두정푸르지오5차('04/2.9)_x000D_
두정푸르지오4차('03/2.9)_x000D_
두정e-편한세상('04/2.8)_x000D_
서해그랑블('04/2.7)_x000D_
세광엔리치빌3차('03/2.6)_x000D_
천안두정푸르지오3차('03/2.6)</t>
        </is>
      </c>
      <c r="H27" s="63" t="inlineStr">
        <is>
          <t>천안브라운스톤('06/2.9)_x000D_
주공그린빌('02/2.9)</t>
        </is>
      </c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 ht="96" customHeight="1" s="117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inlineStr">
        <is>
          <t>계룡리슈빌('04/2.5)_x000D_
세광엔리치빌2차('03/2.5)_x000D_
두정마을우남1단지('03/2.5)_x000D_
한성스위트빌('02/2.4)_x000D_
대우('96/2.4)_x000D_
경남아너스빌('04/2.4)_x000D_
두정대우2차('98/2.4)_x000D_
극동늘푸른('96/2.2)</t>
        </is>
      </c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inlineStr">
        <is>
          <t>현대('90/1.8)</t>
        </is>
      </c>
      <c r="G29" s="65" t="n"/>
      <c r="H29" s="65" t="inlineStr">
        <is>
          <t>현대('92/1.9)</t>
        </is>
      </c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inlineStr">
        <is>
          <t>불당호반베르디움더퍼스트('16/5.3)</t>
        </is>
      </c>
      <c r="E37" s="58" t="inlineStr">
        <is>
          <t>천안레이크타운3차푸르지오('20/5.0)</t>
        </is>
      </c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 ht="36" customHeight="1" s="117">
      <c r="A38" s="135">
        <f>IF(A25="","",A25)</f>
        <v/>
      </c>
      <c r="B38" s="57">
        <f>IF(B25="","",B25)</f>
        <v/>
      </c>
      <c r="C38" s="136">
        <f>IF(C25="","",C25)</f>
        <v/>
      </c>
      <c r="D38" s="58" t="inlineStr">
        <is>
          <t>불당리더힐스('16/4.3)</t>
        </is>
      </c>
      <c r="E38" s="58" t="inlineStr">
        <is>
          <t>천안레이크타운푸르지오('17/4.8)_x000D_
천안레이크타운2차푸르지오('18/4.7)_x000D_
천안시티자이('18/4.7)</t>
        </is>
      </c>
      <c r="F38" s="58" t="n"/>
      <c r="G38" s="58" t="inlineStr">
        <is>
          <t>두정역효성해링턴플레이스('20/4.8)</t>
        </is>
      </c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 ht="48" customHeight="1" s="117">
      <c r="A39" s="137">
        <f>IF(A26="","",A26)</f>
        <v/>
      </c>
      <c r="B39" s="62">
        <f>IF(B26="","",B26)</f>
        <v/>
      </c>
      <c r="C39" s="138">
        <f>IF(C26="","",C26)</f>
        <v/>
      </c>
      <c r="D39" s="63" t="inlineStr">
        <is>
          <t>동일하이빌('04/3.7)_x000D_
대동다숲('04/3.6)</t>
        </is>
      </c>
      <c r="E39" s="63" t="n"/>
      <c r="F39" s="63" t="n"/>
      <c r="G39" s="63" t="inlineStr">
        <is>
          <t>두정역효성해링턴플레이스('20/3.8)_x000D_
e편한세상두정3차('17/3.7)_x000D_
e편한세상두정4차('18/3.2)_x000D_
한성필하우스3차('04/3.1)</t>
        </is>
      </c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 ht="24" customHeight="1" s="117">
      <c r="A40" s="137">
        <f>IF(A27="","",A27)</f>
        <v/>
      </c>
      <c r="B40" s="62">
        <f>IF(B27="","",B27)</f>
        <v/>
      </c>
      <c r="C40" s="138">
        <f>IF(C27="","",C27)</f>
        <v/>
      </c>
      <c r="D40" s="63" t="inlineStr">
        <is>
          <t>대원칸타빌('04/2.8)</t>
        </is>
      </c>
      <c r="E40" s="63" t="n"/>
      <c r="F40" s="63" t="inlineStr">
        <is>
          <t>대우목화('86/2.5)_x000D_
주공5단지('88/2.5)</t>
        </is>
      </c>
      <c r="G40" s="63" t="inlineStr">
        <is>
          <t>한성필하우스3차('04/2.5)</t>
        </is>
      </c>
      <c r="H40" s="63" t="inlineStr">
        <is>
          <t>그린빌2차('04/2.8)_x000D_
주공그린빌('02/2.7)</t>
        </is>
      </c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 ht="36" customHeight="1" s="117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inlineStr">
        <is>
          <t>두정푸르지오4차('03/2.5)_x000D_
대우('96/2.1)_x000D_
경남아너스빌('04/2.0)</t>
        </is>
      </c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 ht="60" customHeight="1" s="117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inlineStr">
        <is>
          <t>한성스위트빌('02/2.0)_x000D_
대우('96/1.8)_x000D_
우성('96/1.8)_x000D_
주공8단지('96/1.7)_x000D_
극동늘푸른('96/1.7)</t>
        </is>
      </c>
      <c r="H42" s="65" t="inlineStr">
        <is>
          <t>현대('92/1.9)</t>
        </is>
      </c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inlineStr">
        <is>
          <t>두정역효성해링턴플레이스('20/3.1)</t>
        </is>
      </c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inlineStr">
        <is>
          <t>주공8단지('96/1.6)</t>
        </is>
      </c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inlineStr">
        <is>
          <t>선경('94/1.3)</t>
        </is>
      </c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inlineStr">
        <is>
          <t>주공5단지('88/2.3)</t>
        </is>
      </c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 ht="60" customHeight="1" s="117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inlineStr">
        <is>
          <t>주공5단지('88/1.9)_x000D_
주공6단지1차('89/1.8)_x000D_
대우목화('86/1.7)_x000D_
주공6단지3차('91/1.6)_x000D_
주공6단지1차('89/1.5)</t>
        </is>
      </c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 ht="24" customHeight="1" s="117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inlineStr">
        <is>
          <t>대우('96/1.4)_x000D_
주공8단지('96/1.2)</t>
        </is>
      </c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두정동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36000</v>
      </c>
      <c r="J6" s="127" t="inlineStr">
        <is>
          <t>11</t>
        </is>
      </c>
      <c r="K6" s="127" t="n">
        <v>25000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39000</v>
      </c>
      <c r="J7" s="127" t="inlineStr">
        <is>
          <t>9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39000</v>
      </c>
      <c r="J8" s="127" t="inlineStr">
        <is>
          <t>중</t>
        </is>
      </c>
      <c r="K8" s="127" t="n">
        <v>29000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40000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24000</v>
      </c>
      <c r="L12" s="127" t="inlineStr">
        <is>
          <t>7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25000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27000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13000</v>
      </c>
      <c r="J18" s="127" t="inlineStr">
        <is>
          <t>13</t>
        </is>
      </c>
      <c r="K18" s="127" t="n">
        <v>11500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16000</v>
      </c>
      <c r="J19" s="127" t="inlineStr">
        <is>
          <t>14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17000</v>
      </c>
      <c r="J20" s="127" t="inlineStr">
        <is>
          <t>6</t>
        </is>
      </c>
      <c r="K20" s="127" t="n">
        <v>15000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16800</v>
      </c>
      <c r="J21" s="127" t="inlineStr">
        <is>
          <t>16</t>
        </is>
      </c>
      <c r="K21" s="127" t="n">
        <v>16000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20000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25000</v>
      </c>
      <c r="J24" s="127" t="inlineStr">
        <is>
          <t>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18500</v>
      </c>
      <c r="J26" s="127" t="inlineStr">
        <is>
          <t>14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25000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24500</v>
      </c>
      <c r="J30" s="127" t="inlineStr">
        <is>
          <t>고</t>
        </is>
      </c>
      <c r="K30" s="127" t="n">
        <v>21000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27500</v>
      </c>
      <c r="J31" s="127" t="inlineStr">
        <is>
          <t>15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32500</v>
      </c>
      <c r="J32" s="127" t="inlineStr">
        <is>
          <t>7</t>
        </is>
      </c>
      <c r="K32" s="127" t="n">
        <v>28000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31000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34500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7</t>
        </is>
      </c>
      <c r="K39" s="127" t="n">
        <v>29000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39000</v>
      </c>
      <c r="J40" s="127" t="inlineStr">
        <is>
          <t>12</t>
        </is>
      </c>
      <c r="K40" s="127" t="n">
        <v>30000</v>
      </c>
      <c r="L40" s="127" t="inlineStr">
        <is>
          <t>16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36000</v>
      </c>
      <c r="J41" s="127" t="inlineStr">
        <is>
          <t>25</t>
        </is>
      </c>
      <c r="K41" s="127" t="n">
        <v>28000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45000</v>
      </c>
      <c r="J45" s="127" t="inlineStr">
        <is>
          <t>5</t>
        </is>
      </c>
      <c r="K45" s="127" t="n">
        <v>36000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8</t>
        </is>
      </c>
      <c r="K49" s="127" t="n">
        <v>46000</v>
      </c>
      <c r="L49" s="127" t="inlineStr">
        <is>
          <t>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39060</v>
      </c>
      <c r="J52" s="127" t="inlineStr">
        <is>
          <t>29</t>
        </is>
      </c>
      <c r="K52" s="127" t="n">
        <v>23000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36390</v>
      </c>
      <c r="J53" s="127" t="inlineStr">
        <is>
          <t>6</t>
        </is>
      </c>
      <c r="K53" s="127" t="n">
        <v>26000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45580</v>
      </c>
      <c r="J55" s="127" t="inlineStr">
        <is>
          <t>16</t>
        </is>
      </c>
      <c r="K55" s="127" t="n">
        <v>28000</v>
      </c>
      <c r="L55" s="127" t="inlineStr">
        <is>
          <t>12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44990</v>
      </c>
      <c r="J56" s="127" t="inlineStr">
        <is>
          <t>중</t>
        </is>
      </c>
      <c r="K56" s="127" t="n">
        <v>30000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60000</v>
      </c>
      <c r="J57" s="127" t="inlineStr">
        <is>
          <t>9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25000</v>
      </c>
      <c r="J59" s="127" t="inlineStr">
        <is>
          <t>10</t>
        </is>
      </c>
      <c r="K59" s="127" t="n">
        <v>23000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31000</v>
      </c>
      <c r="J60" s="127" t="inlineStr">
        <is>
          <t>6</t>
        </is>
      </c>
      <c r="K60" s="127" t="n">
        <v>27000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27000</v>
      </c>
      <c r="L61" s="127" t="inlineStr">
        <is>
          <t>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45000</v>
      </c>
      <c r="J62" s="127" t="inlineStr">
        <is>
          <t>6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26000</v>
      </c>
      <c r="J64" s="127" t="inlineStr">
        <is>
          <t>10</t>
        </is>
      </c>
      <c r="K64" s="127" t="n">
        <v>24000</v>
      </c>
      <c r="L64" s="127" t="inlineStr">
        <is>
          <t>13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28500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35500</v>
      </c>
      <c r="J67" s="127" t="inlineStr">
        <is>
          <t>12</t>
        </is>
      </c>
      <c r="K67" s="127" t="n">
        <v>25000</v>
      </c>
      <c r="L67" s="127" t="inlineStr">
        <is>
          <t>21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47000</v>
      </c>
      <c r="J68" s="127" t="inlineStr">
        <is>
          <t>7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43000</v>
      </c>
      <c r="J69" s="127" t="inlineStr">
        <is>
          <t>18</t>
        </is>
      </c>
      <c r="K69" s="127" t="n">
        <v>28000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56000</v>
      </c>
      <c r="J70" s="127" t="inlineStr">
        <is>
          <t>20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45000</v>
      </c>
      <c r="J71" s="127" t="inlineStr">
        <is>
          <t>7</t>
        </is>
      </c>
      <c r="K71" s="127" t="n">
        <v>30000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43000</v>
      </c>
      <c r="J72" s="127" t="inlineStr">
        <is>
          <t>6</t>
        </is>
      </c>
      <c r="K72" s="127" t="n">
        <v>29000</v>
      </c>
      <c r="L72" s="127" t="inlineStr">
        <is>
          <t>18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25500</v>
      </c>
      <c r="J74" s="127" t="inlineStr">
        <is>
          <t>5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28500</v>
      </c>
      <c r="J75" s="127" t="inlineStr">
        <is>
          <t>중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22800</v>
      </c>
      <c r="J77" s="127" t="inlineStr">
        <is>
          <t>7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22800</v>
      </c>
      <c r="J78" s="127" t="inlineStr">
        <is>
          <t>7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23800</v>
      </c>
      <c r="J79" s="127" t="inlineStr">
        <is>
          <t>11</t>
        </is>
      </c>
      <c r="K79" s="127" t="n">
        <v>21000</v>
      </c>
      <c r="L79" s="127" t="inlineStr">
        <is>
          <t>8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23800</v>
      </c>
      <c r="J80" s="127" t="inlineStr">
        <is>
          <t>11</t>
        </is>
      </c>
      <c r="K80" s="127" t="n">
        <v>21000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37500</v>
      </c>
      <c r="J82" s="127" t="inlineStr">
        <is>
          <t>중</t>
        </is>
      </c>
      <c r="K82" s="127" t="n">
        <v>31000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36000</v>
      </c>
      <c r="J83" s="127" t="inlineStr">
        <is>
          <t>6</t>
        </is>
      </c>
      <c r="K83" s="127" t="n">
        <v>27000</v>
      </c>
      <c r="L83" s="127" t="inlineStr">
        <is>
          <t>8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35000</v>
      </c>
      <c r="J84" s="127" t="inlineStr">
        <is>
          <t>13</t>
        </is>
      </c>
      <c r="K84" s="127" t="n">
        <v>27000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36000</v>
      </c>
      <c r="J85" s="127" t="inlineStr">
        <is>
          <t>23</t>
        </is>
      </c>
      <c r="K85" s="127" t="n">
        <v>30000</v>
      </c>
      <c r="L85" s="127" t="inlineStr">
        <is>
          <t>23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2</v>
      </c>
      <c r="S85" s="111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41000</v>
      </c>
      <c r="J86" s="127" t="inlineStr">
        <is>
          <t>10</t>
        </is>
      </c>
      <c r="K86" s="127" t="n">
        <v>31000</v>
      </c>
      <c r="L86" s="127" t="inlineStr">
        <is>
          <t>19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43000</v>
      </c>
      <c r="J87" s="127" t="inlineStr">
        <is>
          <t>중</t>
        </is>
      </c>
      <c r="K87" s="127" t="n">
        <v>30000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43000</v>
      </c>
      <c r="J88" s="127" t="inlineStr">
        <is>
          <t>중</t>
        </is>
      </c>
      <c r="K88" s="127" t="n">
        <v>30000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45000</v>
      </c>
      <c r="J89" s="127" t="inlineStr">
        <is>
          <t>12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55000</v>
      </c>
      <c r="J90" s="127" t="inlineStr">
        <is>
          <t>17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13500</v>
      </c>
      <c r="J92" s="127" t="inlineStr">
        <is>
          <t>20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18500</v>
      </c>
      <c r="J93" s="127" t="inlineStr">
        <is>
          <t>12</t>
        </is>
      </c>
      <c r="K93" s="127" t="n">
        <v>18000</v>
      </c>
      <c r="L93" s="127" t="inlineStr">
        <is>
          <t>21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18500</v>
      </c>
      <c r="J94" s="127" t="inlineStr">
        <is>
          <t>12</t>
        </is>
      </c>
      <c r="K94" s="127" t="n">
        <v>18000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2</v>
      </c>
      <c r="S95" s="111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21000</v>
      </c>
      <c r="J96" s="127" t="inlineStr">
        <is>
          <t>21</t>
        </is>
      </c>
      <c r="K96" s="127" t="n">
        <v>19500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1</v>
      </c>
      <c r="S96" s="111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24000</v>
      </c>
      <c r="J97" s="127" t="inlineStr">
        <is>
          <t>13</t>
        </is>
      </c>
      <c r="K97" s="127" t="n">
        <v>20000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17000</v>
      </c>
      <c r="J99" s="127" t="inlineStr">
        <is>
          <t>7</t>
        </is>
      </c>
      <c r="K99" s="127" t="n">
        <v>17000</v>
      </c>
      <c r="L99" s="127" t="inlineStr">
        <is>
          <t>13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23000</v>
      </c>
      <c r="J103" s="127" t="inlineStr">
        <is>
          <t>6</t>
        </is>
      </c>
      <c r="K103" s="127" t="n">
        <v>23500</v>
      </c>
      <c r="L103" s="127" t="inlineStr">
        <is>
          <t>11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23000</v>
      </c>
      <c r="J104" s="127" t="inlineStr">
        <is>
          <t>6</t>
        </is>
      </c>
      <c r="K104" s="127" t="n">
        <v>23500</v>
      </c>
      <c r="L104" s="127" t="inlineStr">
        <is>
          <t>11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36500</v>
      </c>
      <c r="J107" s="127" t="inlineStr">
        <is>
          <t>17</t>
        </is>
      </c>
      <c r="K107" s="127" t="n">
        <v>27000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34000</v>
      </c>
      <c r="J108" s="127" t="inlineStr">
        <is>
          <t>8</t>
        </is>
      </c>
      <c r="K108" s="127" t="n">
        <v>26000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37000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38000</v>
      </c>
      <c r="J110" s="127" t="inlineStr">
        <is>
          <t>6</t>
        </is>
      </c>
      <c r="K110" s="127" t="n">
        <v>33000</v>
      </c>
      <c r="L110" s="127" t="inlineStr">
        <is>
          <t>7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46000</v>
      </c>
      <c r="J111" s="127" t="inlineStr">
        <is>
          <t>고</t>
        </is>
      </c>
      <c r="K111" s="127" t="n">
        <v>35000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16700</v>
      </c>
      <c r="J113" s="127" t="inlineStr">
        <is>
          <t>7</t>
        </is>
      </c>
      <c r="K113" s="127" t="n">
        <v>17000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22000</v>
      </c>
      <c r="J114" s="127" t="inlineStr">
        <is>
          <t>21</t>
        </is>
      </c>
      <c r="K114" s="127" t="n">
        <v>20000</v>
      </c>
      <c r="L114" s="127" t="inlineStr">
        <is>
          <t>14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28000</v>
      </c>
      <c r="J116" s="127" t="inlineStr">
        <is>
          <t>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36000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2</v>
      </c>
      <c r="S117" s="111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n"/>
      <c r="B118" s="111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8" t="n"/>
      <c r="U118" s="9" t="n"/>
      <c r="W118" s="69">
        <f>$A$4&amp;" "&amp;A119&amp;"("&amp;B119&amp;","&amp;C119&amp;"^)"</f>
        <v/>
      </c>
      <c r="X118" s="70" t="n"/>
      <c r="Y118" s="70" t="n"/>
      <c r="Z118" s="70" t="n"/>
      <c r="AA118" s="70" t="n"/>
      <c r="AB118" s="70" t="n"/>
      <c r="AC118" s="70" t="n"/>
      <c r="AD118" s="70" t="n"/>
      <c r="AE118" s="70" t="n"/>
      <c r="AF118" s="71" t="n"/>
      <c r="AH118" s="20">
        <f>IF(A118="","",A118)</f>
        <v/>
      </c>
      <c r="AI118" s="144">
        <f>IF(E118="","",E118)</f>
        <v/>
      </c>
      <c r="AJ118" s="111" t="n"/>
      <c r="AK118" s="111" t="n"/>
      <c r="AL118" s="111" t="n"/>
      <c r="AM118" s="111" t="n"/>
      <c r="AN118" s="111" t="n"/>
      <c r="AO118" s="111" t="n"/>
      <c r="AP118" s="111" t="n"/>
      <c r="AQ118" s="111" t="n"/>
      <c r="AR118" s="111" t="n"/>
      <c r="AS118" s="111" t="n"/>
      <c r="AT118" s="111" t="n"/>
      <c r="AU118" s="111" t="n"/>
      <c r="AV118" s="111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28500</v>
      </c>
      <c r="J119" s="127" t="inlineStr">
        <is>
          <t>6</t>
        </is>
      </c>
      <c r="K119" s="127" t="n">
        <v>23000</v>
      </c>
      <c r="L119" s="127" t="inlineStr">
        <is>
          <t>중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31000</v>
      </c>
      <c r="J120" s="127" t="inlineStr">
        <is>
          <t>23</t>
        </is>
      </c>
      <c r="K120" s="127" t="n">
        <v>23000</v>
      </c>
      <c r="L120" s="127" t="inlineStr">
        <is>
          <t>26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2</v>
      </c>
      <c r="R120" s="111" t="n">
        <v>1</v>
      </c>
      <c r="S120" s="111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36000</v>
      </c>
      <c r="J121" s="127" t="inlineStr">
        <is>
          <t>16</t>
        </is>
      </c>
      <c r="K121" s="127" t="n">
        <v>24000</v>
      </c>
      <c r="L121" s="127" t="inlineStr">
        <is>
          <t>25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35000</v>
      </c>
      <c r="J122" s="127" t="inlineStr">
        <is>
          <t>21</t>
        </is>
      </c>
      <c r="K122" s="127" t="n">
        <v>27000</v>
      </c>
      <c r="L122" s="127" t="inlineStr">
        <is>
          <t>29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38000</v>
      </c>
      <c r="J123" s="127" t="inlineStr">
        <is>
          <t>15</t>
        </is>
      </c>
      <c r="K123" s="127" t="n">
        <v>27000</v>
      </c>
      <c r="L123" s="127" t="inlineStr">
        <is>
          <t>25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35500</v>
      </c>
      <c r="J124" s="127" t="inlineStr">
        <is>
          <t>22</t>
        </is>
      </c>
      <c r="K124" s="127" t="n">
        <v>26000</v>
      </c>
      <c r="L124" s="127" t="inlineStr">
        <is>
          <t>16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45000</v>
      </c>
      <c r="J125" s="127" t="inlineStr">
        <is>
          <t>20</t>
        </is>
      </c>
      <c r="K125" s="127" t="n">
        <v>29000</v>
      </c>
      <c r="L125" s="127" t="inlineStr">
        <is>
          <t>중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43000</v>
      </c>
      <c r="J126" s="127" t="inlineStr">
        <is>
          <t>13</t>
        </is>
      </c>
      <c r="K126" s="127" t="n">
        <v>28000</v>
      </c>
      <c r="L126" s="127" t="inlineStr">
        <is>
          <t>중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46000</v>
      </c>
      <c r="J127" s="127" t="inlineStr">
        <is>
          <t>29</t>
        </is>
      </c>
      <c r="K127" s="127" t="n">
        <v>28000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54000</v>
      </c>
      <c r="J128" s="127" t="inlineStr">
        <is>
          <t>18</t>
        </is>
      </c>
      <c r="K128" s="127" t="n">
        <v>33000</v>
      </c>
      <c r="L128" s="127" t="inlineStr">
        <is>
          <t>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4</v>
      </c>
      <c r="R128" s="111" t="n">
        <v>2</v>
      </c>
      <c r="S128" s="111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53000</v>
      </c>
      <c r="J129" s="127" t="inlineStr">
        <is>
          <t>12</t>
        </is>
      </c>
      <c r="K129" s="127" t="n">
        <v>33000</v>
      </c>
      <c r="L129" s="127" t="inlineStr">
        <is>
          <t>17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56000</v>
      </c>
      <c r="J130" s="127" t="inlineStr">
        <is>
          <t>19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31000</v>
      </c>
      <c r="J132" s="127" t="inlineStr">
        <is>
          <t>14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29500</v>
      </c>
      <c r="J133" s="127" t="inlineStr">
        <is>
          <t>10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39000</v>
      </c>
      <c r="J134" s="127" t="inlineStr">
        <is>
          <t>10</t>
        </is>
      </c>
      <c r="K134" s="127" t="n">
        <v>28000</v>
      </c>
      <c r="L134" s="127" t="inlineStr">
        <is>
          <t>12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n"/>
      <c r="B135" s="111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8" t="n"/>
      <c r="U135" s="9" t="n"/>
      <c r="W135" s="69">
        <f>$A$4&amp;" "&amp;A136&amp;"("&amp;B136&amp;","&amp;C136&amp;"^)"</f>
        <v/>
      </c>
      <c r="X135" s="70" t="n"/>
      <c r="Y135" s="70" t="n"/>
      <c r="Z135" s="70" t="n"/>
      <c r="AA135" s="70" t="n"/>
      <c r="AB135" s="70" t="n"/>
      <c r="AC135" s="70" t="n"/>
      <c r="AD135" s="70" t="n"/>
      <c r="AE135" s="70" t="n"/>
      <c r="AF135" s="71" t="n"/>
      <c r="AH135" s="20">
        <f>IF(A135="","",A135)</f>
        <v/>
      </c>
      <c r="AI135" s="144">
        <f>IF(E135="","",E135)</f>
        <v/>
      </c>
      <c r="AJ135" s="111" t="n"/>
      <c r="AK135" s="111" t="n"/>
      <c r="AL135" s="111" t="n"/>
      <c r="AM135" s="111" t="n"/>
      <c r="AN135" s="111" t="n"/>
      <c r="AO135" s="111" t="n"/>
      <c r="AP135" s="111" t="n"/>
      <c r="AQ135" s="111" t="n"/>
      <c r="AR135" s="111" t="n"/>
      <c r="AS135" s="111" t="n"/>
      <c r="AT135" s="111" t="n"/>
      <c r="AU135" s="111" t="n"/>
      <c r="AV135" s="111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24500</v>
      </c>
      <c r="J136" s="127" t="inlineStr">
        <is>
          <t>고</t>
        </is>
      </c>
      <c r="K136" s="127" t="n">
        <v>23500</v>
      </c>
      <c r="L136" s="127" t="inlineStr">
        <is>
          <t>12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29000</v>
      </c>
      <c r="J138" s="127" t="inlineStr">
        <is>
          <t>8</t>
        </is>
      </c>
      <c r="K138" s="127" t="n">
        <v>23000</v>
      </c>
      <c r="L138" s="127" t="inlineStr">
        <is>
          <t>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n"/>
      <c r="B141" s="111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8" t="n"/>
      <c r="U141" s="9" t="n"/>
      <c r="W141" s="69">
        <f>$A$4&amp;" "&amp;A142&amp;"("&amp;B142&amp;","&amp;C142&amp;"^)"</f>
        <v/>
      </c>
      <c r="X141" s="70" t="n"/>
      <c r="Y141" s="70" t="n"/>
      <c r="Z141" s="70" t="n"/>
      <c r="AA141" s="70" t="n"/>
      <c r="AB141" s="70" t="n"/>
      <c r="AC141" s="70" t="n"/>
      <c r="AD141" s="70" t="n"/>
      <c r="AE141" s="70" t="n"/>
      <c r="AF141" s="71" t="n"/>
      <c r="AH141" s="20">
        <f>IF(A141="","",A141)</f>
        <v/>
      </c>
      <c r="AI141" s="144">
        <f>IF(E141="","",E141)</f>
        <v/>
      </c>
      <c r="AJ141" s="111" t="n"/>
      <c r="AK141" s="111" t="n"/>
      <c r="AL141" s="111" t="n"/>
      <c r="AM141" s="111" t="n"/>
      <c r="AN141" s="111" t="n"/>
      <c r="AO141" s="111" t="n"/>
      <c r="AP141" s="111" t="n"/>
      <c r="AQ141" s="111" t="n"/>
      <c r="AR141" s="111" t="n"/>
      <c r="AS141" s="111" t="n"/>
      <c r="AT141" s="111" t="n"/>
      <c r="AU141" s="111" t="n"/>
      <c r="AV141" s="111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26000</v>
      </c>
      <c r="J145" s="127" t="inlineStr">
        <is>
          <t>11</t>
        </is>
      </c>
      <c r="K145" s="127" t="n">
        <v>27000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4</v>
      </c>
      <c r="R147" s="111" t="n">
        <v>2</v>
      </c>
      <c r="S147" s="111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백석동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49000</v>
      </c>
      <c r="J7" s="127" t="inlineStr">
        <is>
          <t>12</t>
        </is>
      </c>
      <c r="K7" s="127" t="n">
        <v>39000</v>
      </c>
      <c r="L7" s="127" t="inlineStr">
        <is>
          <t>20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46000</v>
      </c>
      <c r="J8" s="127" t="inlineStr">
        <is>
          <t>9</t>
        </is>
      </c>
      <c r="K8" s="127" t="n">
        <v>40000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49000</v>
      </c>
      <c r="J14" s="127" t="inlineStr">
        <is>
          <t>16</t>
        </is>
      </c>
      <c r="K14" s="127" t="n">
        <v>35000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48000</v>
      </c>
      <c r="J16" s="127" t="inlineStr">
        <is>
          <t>5</t>
        </is>
      </c>
      <c r="K16" s="127" t="n">
        <v>34000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64000</v>
      </c>
      <c r="J17" s="127" t="inlineStr">
        <is>
          <t>5</t>
        </is>
      </c>
      <c r="K17" s="127" t="n">
        <v>45000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80000</v>
      </c>
      <c r="J18" s="127" t="inlineStr">
        <is>
          <t>고</t>
        </is>
      </c>
      <c r="K18" s="127" t="n">
        <v>50000</v>
      </c>
      <c r="L18" s="127" t="inlineStr">
        <is>
          <t>17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85000</v>
      </c>
      <c r="J19" s="127" t="inlineStr">
        <is>
          <t>6</t>
        </is>
      </c>
      <c r="K19" s="127" t="n">
        <v>55000</v>
      </c>
      <c r="L19" s="127" t="inlineStr">
        <is>
          <t>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5</v>
      </c>
      <c r="R20" s="111" t="n">
        <v>4</v>
      </c>
      <c r="S20" s="111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17500</v>
      </c>
      <c r="J23" s="127" t="inlineStr">
        <is>
          <t>15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18500</v>
      </c>
      <c r="J24" s="127" t="inlineStr">
        <is>
          <t>10</t>
        </is>
      </c>
      <c r="K24" s="127" t="n">
        <v>18000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24500</v>
      </c>
      <c r="J26" s="127" t="inlineStr">
        <is>
          <t>13</t>
        </is>
      </c>
      <c r="K26" s="127" t="n">
        <v>20000</v>
      </c>
      <c r="L26" s="127" t="inlineStr">
        <is>
          <t>15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5</v>
      </c>
      <c r="R26" s="111" t="n">
        <v>2</v>
      </c>
      <c r="S26" s="111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29000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5</v>
      </c>
      <c r="R27" s="111" t="n">
        <v>2</v>
      </c>
      <c r="S27" s="111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27500</v>
      </c>
      <c r="J29" s="127" t="inlineStr">
        <is>
          <t>12</t>
        </is>
      </c>
      <c r="K29" s="127" t="n">
        <v>23000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29000</v>
      </c>
      <c r="J30" s="127" t="inlineStr">
        <is>
          <t>14</t>
        </is>
      </c>
      <c r="K30" s="127" t="n">
        <v>26000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35000</v>
      </c>
      <c r="J38" s="127" t="inlineStr">
        <is>
          <t>9</t>
        </is>
      </c>
      <c r="K38" s="127" t="n">
        <v>27000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37000</v>
      </c>
      <c r="J39" s="127" t="inlineStr">
        <is>
          <t>17</t>
        </is>
      </c>
      <c r="K39" s="127" t="n">
        <v>32000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42000</v>
      </c>
      <c r="J40" s="127" t="inlineStr">
        <is>
          <t>10</t>
        </is>
      </c>
      <c r="K40" s="127" t="n">
        <v>36000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45000</v>
      </c>
      <c r="J41" s="127" t="inlineStr">
        <is>
          <t>7</t>
        </is>
      </c>
      <c r="K41" s="127" t="n">
        <v>30000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63000</v>
      </c>
      <c r="J43" s="127" t="inlineStr">
        <is>
          <t>12</t>
        </is>
      </c>
      <c r="K43" s="127" t="n">
        <v>50000</v>
      </c>
      <c r="L43" s="127" t="inlineStr">
        <is>
          <t>19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5</v>
      </c>
      <c r="R43" s="111" t="n">
        <v>2</v>
      </c>
      <c r="S43" s="111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44000</v>
      </c>
      <c r="J45" s="127" t="inlineStr">
        <is>
          <t>5</t>
        </is>
      </c>
      <c r="K45" s="127" t="n">
        <v>36000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45000</v>
      </c>
      <c r="J46" s="127" t="inlineStr">
        <is>
          <t>14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52000</v>
      </c>
      <c r="J48" s="127" t="inlineStr">
        <is>
          <t>6</t>
        </is>
      </c>
      <c r="K48" s="127" t="n">
        <v>36000</v>
      </c>
      <c r="L48" s="127" t="inlineStr">
        <is>
          <t>24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60000</v>
      </c>
      <c r="J49" s="127" t="inlineStr">
        <is>
          <t>15</t>
        </is>
      </c>
      <c r="K49" s="127" t="n">
        <v>49000</v>
      </c>
      <c r="L49" s="127" t="inlineStr">
        <is>
          <t>22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30000</v>
      </c>
      <c r="J51" s="127" t="inlineStr">
        <is>
          <t>5</t>
        </is>
      </c>
      <c r="K51" s="127" t="n">
        <v>31000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30500</v>
      </c>
      <c r="J52" s="127" t="inlineStr">
        <is>
          <t>중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26500</v>
      </c>
      <c r="J54" s="127" t="inlineStr">
        <is>
          <t>10</t>
        </is>
      </c>
      <c r="K54" s="127" t="n">
        <v>25000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26000</v>
      </c>
      <c r="J55" s="127" t="inlineStr">
        <is>
          <t>9</t>
        </is>
      </c>
      <c r="K55" s="127" t="n">
        <v>25000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29000</v>
      </c>
      <c r="J56" s="127" t="inlineStr">
        <is>
          <t>5</t>
        </is>
      </c>
      <c r="K56" s="127" t="n">
        <v>26000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n"/>
      <c r="B57" s="111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44">
        <f>IF(E57="","",E57)</f>
        <v/>
      </c>
      <c r="AJ57" s="111" t="n"/>
      <c r="AK57" s="111" t="n"/>
      <c r="AL57" s="111" t="n"/>
      <c r="AM57" s="111" t="n"/>
      <c r="AN57" s="111" t="n"/>
      <c r="AO57" s="111" t="n"/>
      <c r="AP57" s="111" t="n"/>
      <c r="AQ57" s="111" t="n"/>
      <c r="AR57" s="111" t="n"/>
      <c r="AS57" s="111" t="n"/>
      <c r="AT57" s="111" t="n"/>
      <c r="AU57" s="111" t="n"/>
      <c r="AV57" s="111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30000</v>
      </c>
      <c r="J58" s="127" t="inlineStr">
        <is>
          <t>9</t>
        </is>
      </c>
      <c r="K58" s="127" t="n">
        <v>28000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38000</v>
      </c>
      <c r="J61" s="127" t="inlineStr">
        <is>
          <t>16</t>
        </is>
      </c>
      <c r="K61" s="127" t="n">
        <v>29000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37500</v>
      </c>
      <c r="J62" s="127" t="inlineStr">
        <is>
          <t>16</t>
        </is>
      </c>
      <c r="K62" s="127" t="n">
        <v>29000</v>
      </c>
      <c r="L62" s="127" t="inlineStr">
        <is>
          <t>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42000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67000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3</v>
      </c>
      <c r="S66" s="111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5</v>
      </c>
      <c r="R67" s="111" t="n">
        <v>4</v>
      </c>
      <c r="S67" s="111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5</v>
      </c>
      <c r="R68" s="111" t="n">
        <v>4</v>
      </c>
      <c r="S68" s="111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37000</v>
      </c>
      <c r="J70" s="127" t="inlineStr">
        <is>
          <t>13</t>
        </is>
      </c>
      <c r="K70" s="127" t="n">
        <v>28000</v>
      </c>
      <c r="L70" s="127" t="inlineStr">
        <is>
          <t>22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37000</v>
      </c>
      <c r="J71" s="127" t="inlineStr">
        <is>
          <t>13</t>
        </is>
      </c>
      <c r="K71" s="127" t="n">
        <v>29800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39000</v>
      </c>
      <c r="J72" s="127" t="inlineStr">
        <is>
          <t>16</t>
        </is>
      </c>
      <c r="K72" s="127" t="n">
        <v>32500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47000</v>
      </c>
      <c r="J73" s="127" t="inlineStr">
        <is>
          <t>9</t>
        </is>
      </c>
      <c r="K73" s="127" t="n">
        <v>38000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61000</v>
      </c>
      <c r="J74" s="127" t="inlineStr">
        <is>
          <t>12</t>
        </is>
      </c>
      <c r="K74" s="127" t="n">
        <v>48000</v>
      </c>
      <c r="L74" s="127" t="inlineStr">
        <is>
          <t>12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21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n"/>
      <c r="B76" s="111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44">
        <f>IF(E76="","",E76)</f>
        <v/>
      </c>
      <c r="AJ76" s="111" t="n"/>
      <c r="AK76" s="111" t="n"/>
      <c r="AL76" s="111" t="n"/>
      <c r="AM76" s="111" t="n"/>
      <c r="AN76" s="111" t="n"/>
      <c r="AO76" s="111" t="n"/>
      <c r="AP76" s="111" t="n"/>
      <c r="AQ76" s="111" t="n"/>
      <c r="AR76" s="111" t="n"/>
      <c r="AS76" s="111" t="n"/>
      <c r="AT76" s="111" t="n"/>
      <c r="AU76" s="111" t="n"/>
      <c r="AV76" s="111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27000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4</v>
      </c>
      <c r="R79" s="111" t="n">
        <v>2</v>
      </c>
      <c r="S79" s="111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불당동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50000</v>
      </c>
      <c r="J6" s="127" t="inlineStr">
        <is>
          <t>9</t>
        </is>
      </c>
      <c r="K6" s="127" t="n">
        <v>35000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50000</v>
      </c>
      <c r="J7" s="127" t="inlineStr">
        <is>
          <t>9</t>
        </is>
      </c>
      <c r="K7" s="127" t="n">
        <v>35000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58000</v>
      </c>
      <c r="J8" s="127" t="inlineStr">
        <is>
          <t>17</t>
        </is>
      </c>
      <c r="K8" s="127" t="n">
        <v>33000</v>
      </c>
      <c r="L8" s="127" t="inlineStr">
        <is>
          <t>13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58000</v>
      </c>
      <c r="J9" s="127" t="inlineStr">
        <is>
          <t>5</t>
        </is>
      </c>
      <c r="K9" s="127" t="n">
        <v>40000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58000</v>
      </c>
      <c r="J10" s="127" t="inlineStr">
        <is>
          <t>17</t>
        </is>
      </c>
      <c r="K10" s="127" t="n">
        <v>33000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72000</v>
      </c>
      <c r="J12" s="127" t="inlineStr">
        <is>
          <t>26</t>
        </is>
      </c>
      <c r="K12" s="127" t="n">
        <v>39000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78000</v>
      </c>
      <c r="J13" s="127" t="inlineStr">
        <is>
          <t>고</t>
        </is>
      </c>
      <c r="K13" s="127" t="n">
        <v>45000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84000</v>
      </c>
      <c r="J14" s="127" t="inlineStr">
        <is>
          <t>10</t>
        </is>
      </c>
      <c r="K14" s="127" t="n">
        <v>50000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4</v>
      </c>
      <c r="R14" s="111" t="n">
        <v>2</v>
      </c>
      <c r="S14" s="111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125000</v>
      </c>
      <c r="J15" s="127" t="inlineStr">
        <is>
          <t>고</t>
        </is>
      </c>
      <c r="K15" s="127" t="n">
        <v>80000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135000</v>
      </c>
      <c r="J16" s="127" t="inlineStr">
        <is>
          <t>고</t>
        </is>
      </c>
      <c r="K16" s="127" t="n">
        <v>85000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135000</v>
      </c>
      <c r="J17" s="127" t="inlineStr">
        <is>
          <t>고</t>
        </is>
      </c>
      <c r="K17" s="127" t="n">
        <v>85000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4</v>
      </c>
      <c r="R17" s="111" t="n">
        <v>2</v>
      </c>
      <c r="S17" s="111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79000</v>
      </c>
      <c r="J21" s="127" t="inlineStr">
        <is>
          <t>5</t>
        </is>
      </c>
      <c r="K21" s="127" t="n">
        <v>40000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80000</v>
      </c>
      <c r="J22" s="127" t="inlineStr">
        <is>
          <t>24</t>
        </is>
      </c>
      <c r="K22" s="127" t="n">
        <v>41000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90000</v>
      </c>
      <c r="J23" s="127" t="inlineStr">
        <is>
          <t>18</t>
        </is>
      </c>
      <c r="K23" s="127" t="n">
        <v>50000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2</v>
      </c>
      <c r="S23" s="111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105000</v>
      </c>
      <c r="J24" s="127" t="inlineStr">
        <is>
          <t>28</t>
        </is>
      </c>
      <c r="K24" s="127" t="n">
        <v>70000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130000</v>
      </c>
      <c r="J25" s="127" t="inlineStr">
        <is>
          <t>19</t>
        </is>
      </c>
      <c r="K25" s="127" t="n">
        <v>76000</v>
      </c>
      <c r="L25" s="127" t="inlineStr">
        <is>
          <t>19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130000</v>
      </c>
      <c r="J26" s="127" t="inlineStr">
        <is>
          <t>19</t>
        </is>
      </c>
      <c r="K26" s="127" t="n">
        <v>76000</v>
      </c>
      <c r="L26" s="127" t="inlineStr">
        <is>
          <t>19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n"/>
      <c r="B27" s="111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44">
        <f>IF(E27="","",E27)</f>
        <v/>
      </c>
      <c r="AJ27" s="111" t="n"/>
      <c r="AK27" s="111" t="n"/>
      <c r="AL27" s="111" t="n"/>
      <c r="AM27" s="111" t="n"/>
      <c r="AN27" s="111" t="n"/>
      <c r="AO27" s="111" t="n"/>
      <c r="AP27" s="111" t="n"/>
      <c r="AQ27" s="111" t="n"/>
      <c r="AR27" s="111" t="n"/>
      <c r="AS27" s="111" t="n"/>
      <c r="AT27" s="111" t="n"/>
      <c r="AU27" s="111" t="n"/>
      <c r="AV27" s="111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45000</v>
      </c>
      <c r="J28" s="127" t="inlineStr">
        <is>
          <t>7</t>
        </is>
      </c>
      <c r="K28" s="127" t="n">
        <v>31000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68000</v>
      </c>
      <c r="J29" s="127" t="inlineStr">
        <is>
          <t>고</t>
        </is>
      </c>
      <c r="K29" s="127" t="n">
        <v>42000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87000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3</v>
      </c>
      <c r="S31" s="111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5</v>
      </c>
      <c r="R32" s="111" t="n">
        <v>4</v>
      </c>
      <c r="S32" s="111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50000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60000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70000</v>
      </c>
      <c r="J38" s="127" t="inlineStr">
        <is>
          <t>20</t>
        </is>
      </c>
      <c r="K38" s="127" t="n">
        <v>43000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70000</v>
      </c>
      <c r="J39" s="127" t="inlineStr">
        <is>
          <t>5</t>
        </is>
      </c>
      <c r="K39" s="127" t="n">
        <v>42000</v>
      </c>
      <c r="L39" s="127" t="inlineStr">
        <is>
          <t>24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78000</v>
      </c>
      <c r="J40" s="127" t="inlineStr">
        <is>
          <t>6</t>
        </is>
      </c>
      <c r="K40" s="127" t="n">
        <v>45000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4</v>
      </c>
      <c r="R44" s="111" t="n">
        <v>3</v>
      </c>
      <c r="S44" s="111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3</v>
      </c>
      <c r="S45" s="111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3</v>
      </c>
      <c r="S47" s="111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85000</v>
      </c>
      <c r="J49" s="127" t="inlineStr">
        <is>
          <t>11</t>
        </is>
      </c>
      <c r="K49" s="127" t="n">
        <v>53000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77000</v>
      </c>
      <c r="J50" s="127" t="inlineStr">
        <is>
          <t>9</t>
        </is>
      </c>
      <c r="K50" s="127" t="n">
        <v>50000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105000</v>
      </c>
      <c r="J52" s="127" t="inlineStr">
        <is>
          <t>28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145000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4</v>
      </c>
      <c r="R54" s="111" t="n">
        <v>2</v>
      </c>
      <c r="S54" s="111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34000</v>
      </c>
      <c r="J56" s="127" t="inlineStr">
        <is>
          <t>9</t>
        </is>
      </c>
      <c r="K56" s="127" t="n">
        <v>26000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38000</v>
      </c>
      <c r="J57" s="127" t="inlineStr">
        <is>
          <t>5</t>
        </is>
      </c>
      <c r="K57" s="127" t="n">
        <v>32000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38500</v>
      </c>
      <c r="J58" s="127" t="inlineStr">
        <is>
          <t>5</t>
        </is>
      </c>
      <c r="K58" s="127" t="n">
        <v>30000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39000</v>
      </c>
      <c r="J59" s="127" t="inlineStr">
        <is>
          <t>중</t>
        </is>
      </c>
      <c r="K59" s="127" t="n">
        <v>30000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2</v>
      </c>
      <c r="S65" s="111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4</v>
      </c>
      <c r="R69" s="111" t="n">
        <v>2</v>
      </c>
      <c r="S69" s="111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70000</v>
      </c>
      <c r="J71" s="127" t="inlineStr">
        <is>
          <t>14</t>
        </is>
      </c>
      <c r="K71" s="127" t="n">
        <v>45000</v>
      </c>
      <c r="L71" s="127" t="inlineStr">
        <is>
          <t>20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77000</v>
      </c>
      <c r="J72" s="127" t="inlineStr">
        <is>
          <t>12</t>
        </is>
      </c>
      <c r="K72" s="127" t="n">
        <v>45000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81000</v>
      </c>
      <c r="J73" s="127" t="inlineStr">
        <is>
          <t>17</t>
        </is>
      </c>
      <c r="K73" s="127" t="n">
        <v>50000</v>
      </c>
      <c r="L73" s="127" t="inlineStr">
        <is>
          <t>18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4</v>
      </c>
      <c r="R73" s="111" t="n">
        <v>2</v>
      </c>
      <c r="S73" s="111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106000</v>
      </c>
      <c r="J74" s="127" t="inlineStr">
        <is>
          <t>20</t>
        </is>
      </c>
      <c r="K74" s="127" t="n">
        <v>80000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4</v>
      </c>
      <c r="R74" s="111" t="n">
        <v>2</v>
      </c>
      <c r="S74" s="111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29000</v>
      </c>
      <c r="J76" s="127" t="inlineStr">
        <is>
          <t>13</t>
        </is>
      </c>
      <c r="K76" s="127" t="n">
        <v>26000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38000</v>
      </c>
      <c r="J77" s="127" t="inlineStr">
        <is>
          <t>13</t>
        </is>
      </c>
      <c r="K77" s="127" t="n">
        <v>28000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38500</v>
      </c>
      <c r="J78" s="127" t="inlineStr">
        <is>
          <t>14</t>
        </is>
      </c>
      <c r="K78" s="127" t="n">
        <v>35000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44000</v>
      </c>
      <c r="J79" s="127" t="inlineStr">
        <is>
          <t>8</t>
        </is>
      </c>
      <c r="K79" s="127" t="n">
        <v>38000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4</v>
      </c>
      <c r="R80" s="111" t="n">
        <v>2</v>
      </c>
      <c r="S80" s="111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n"/>
      <c r="B85" s="111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8" t="n"/>
      <c r="U85" s="9" t="n"/>
      <c r="W85" s="69">
        <f>$A$4&amp;" "&amp;A86&amp;"("&amp;B86&amp;","&amp;C86&amp;"^)"</f>
        <v/>
      </c>
      <c r="X85" s="70" t="n"/>
      <c r="Y85" s="70" t="n"/>
      <c r="Z85" s="70" t="n"/>
      <c r="AA85" s="70" t="n"/>
      <c r="AB85" s="70" t="n"/>
      <c r="AC85" s="70" t="n"/>
      <c r="AD85" s="70" t="n"/>
      <c r="AE85" s="70" t="n"/>
      <c r="AF85" s="71" t="n"/>
      <c r="AH85" s="20">
        <f>IF(A85="","",A85)</f>
        <v/>
      </c>
      <c r="AI85" s="144">
        <f>IF(E85="","",E85)</f>
        <v/>
      </c>
      <c r="AJ85" s="111" t="n"/>
      <c r="AK85" s="111" t="n"/>
      <c r="AL85" s="111" t="n"/>
      <c r="AM85" s="111" t="n"/>
      <c r="AN85" s="111" t="n"/>
      <c r="AO85" s="111" t="n"/>
      <c r="AP85" s="111" t="n"/>
      <c r="AQ85" s="111" t="n"/>
      <c r="AR85" s="111" t="n"/>
      <c r="AS85" s="111" t="n"/>
      <c r="AT85" s="111" t="n"/>
      <c r="AU85" s="111" t="n"/>
      <c r="AV85" s="111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4</v>
      </c>
      <c r="R88" s="111" t="n">
        <v>2</v>
      </c>
      <c r="S88" s="111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4</v>
      </c>
      <c r="R90" s="111" t="n">
        <v>2</v>
      </c>
      <c r="S90" s="111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4</v>
      </c>
      <c r="R91" s="111" t="n">
        <v>2</v>
      </c>
      <c r="S91" s="111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4</v>
      </c>
      <c r="R92" s="111" t="n">
        <v>2</v>
      </c>
      <c r="S92" s="111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4</v>
      </c>
      <c r="R95" s="111" t="n">
        <v>3</v>
      </c>
      <c r="S95" s="111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n"/>
      <c r="B96" s="111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8" t="n"/>
      <c r="U96" s="9" t="n"/>
      <c r="W96" s="69">
        <f>$A$4&amp;" "&amp;A97&amp;"("&amp;B97&amp;","&amp;C97&amp;"^)"</f>
        <v/>
      </c>
      <c r="X96" s="70" t="n"/>
      <c r="Y96" s="70" t="n"/>
      <c r="Z96" s="70" t="n"/>
      <c r="AA96" s="70" t="n"/>
      <c r="AB96" s="70" t="n"/>
      <c r="AC96" s="70" t="n"/>
      <c r="AD96" s="70" t="n"/>
      <c r="AE96" s="70" t="n"/>
      <c r="AF96" s="71" t="n"/>
      <c r="AH96" s="20">
        <f>IF(A96="","",A96)</f>
        <v/>
      </c>
      <c r="AI96" s="144">
        <f>IF(E96="","",E96)</f>
        <v/>
      </c>
      <c r="AJ96" s="111" t="n"/>
      <c r="AK96" s="111" t="n"/>
      <c r="AL96" s="111" t="n"/>
      <c r="AM96" s="111" t="n"/>
      <c r="AN96" s="111" t="n"/>
      <c r="AO96" s="111" t="n"/>
      <c r="AP96" s="111" t="n"/>
      <c r="AQ96" s="111" t="n"/>
      <c r="AR96" s="111" t="n"/>
      <c r="AS96" s="111" t="n"/>
      <c r="AT96" s="111" t="n"/>
      <c r="AU96" s="111" t="n"/>
      <c r="AV96" s="111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4</v>
      </c>
      <c r="R97" s="111" t="n">
        <v>2</v>
      </c>
      <c r="S97" s="111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4</v>
      </c>
      <c r="R99" s="111" t="n">
        <v>2</v>
      </c>
      <c r="S99" s="111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4</v>
      </c>
      <c r="R100" s="111" t="n">
        <v>2</v>
      </c>
      <c r="S100" s="111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n"/>
      <c r="B101" s="111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8" t="n"/>
      <c r="U101" s="9" t="n"/>
      <c r="W101" s="69">
        <f>$A$4&amp;" "&amp;A102&amp;"("&amp;B102&amp;","&amp;C102&amp;"^)"</f>
        <v/>
      </c>
      <c r="X101" s="70" t="n"/>
      <c r="Y101" s="70" t="n"/>
      <c r="Z101" s="70" t="n"/>
      <c r="AA101" s="70" t="n"/>
      <c r="AB101" s="70" t="n"/>
      <c r="AC101" s="70" t="n"/>
      <c r="AD101" s="70" t="n"/>
      <c r="AE101" s="70" t="n"/>
      <c r="AF101" s="71" t="n"/>
      <c r="AH101" s="20">
        <f>IF(A101="","",A101)</f>
        <v/>
      </c>
      <c r="AI101" s="144">
        <f>IF(E101="","",E101)</f>
        <v/>
      </c>
      <c r="AJ101" s="111" t="n"/>
      <c r="AK101" s="111" t="n"/>
      <c r="AL101" s="111" t="n"/>
      <c r="AM101" s="111" t="n"/>
      <c r="AN101" s="111" t="n"/>
      <c r="AO101" s="111" t="n"/>
      <c r="AP101" s="111" t="n"/>
      <c r="AQ101" s="111" t="n"/>
      <c r="AR101" s="111" t="n"/>
      <c r="AS101" s="111" t="n"/>
      <c r="AT101" s="111" t="n"/>
      <c r="AU101" s="111" t="n"/>
      <c r="AV101" s="111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4</v>
      </c>
      <c r="R102" s="111" t="n">
        <v>2</v>
      </c>
      <c r="S102" s="111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4</v>
      </c>
      <c r="R103" s="111" t="n">
        <v>2</v>
      </c>
      <c r="S103" s="111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4</v>
      </c>
      <c r="R104" s="111" t="n">
        <v>2</v>
      </c>
      <c r="S104" s="111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3</v>
      </c>
      <c r="S106" s="111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36500</v>
      </c>
      <c r="J108" s="127" t="inlineStr">
        <is>
          <t>고</t>
        </is>
      </c>
      <c r="K108" s="127" t="n">
        <v>32000</v>
      </c>
      <c r="L108" s="127" t="inlineStr">
        <is>
          <t>11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46000</v>
      </c>
      <c r="J109" s="127" t="inlineStr">
        <is>
          <t>15</t>
        </is>
      </c>
      <c r="K109" s="127" t="n">
        <v>32000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71000</v>
      </c>
      <c r="J110" s="127" t="inlineStr">
        <is>
          <t>10</t>
        </is>
      </c>
      <c r="K110" s="127" t="n">
        <v>35000</v>
      </c>
      <c r="L110" s="127" t="inlineStr">
        <is>
          <t>고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4</v>
      </c>
      <c r="R114" s="111" t="n">
        <v>2</v>
      </c>
      <c r="S114" s="111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n"/>
      <c r="B120" s="111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8" t="n"/>
      <c r="U120" s="9" t="n"/>
      <c r="W120" s="69">
        <f>$A$4&amp;" "&amp;A121&amp;"("&amp;B121&amp;","&amp;C121&amp;"^)"</f>
        <v/>
      </c>
      <c r="X120" s="70" t="n"/>
      <c r="Y120" s="70" t="n"/>
      <c r="Z120" s="70" t="n"/>
      <c r="AA120" s="70" t="n"/>
      <c r="AB120" s="70" t="n"/>
      <c r="AC120" s="70" t="n"/>
      <c r="AD120" s="70" t="n"/>
      <c r="AE120" s="70" t="n"/>
      <c r="AF120" s="71" t="n"/>
      <c r="AH120" s="20">
        <f>IF(A120="","",A120)</f>
        <v/>
      </c>
      <c r="AI120" s="144">
        <f>IF(E120="","",E120)</f>
        <v/>
      </c>
      <c r="AJ120" s="111" t="n"/>
      <c r="AK120" s="111" t="n"/>
      <c r="AL120" s="111" t="n"/>
      <c r="AM120" s="111" t="n"/>
      <c r="AN120" s="111" t="n"/>
      <c r="AO120" s="111" t="n"/>
      <c r="AP120" s="111" t="n"/>
      <c r="AQ120" s="111" t="n"/>
      <c r="AR120" s="111" t="n"/>
      <c r="AS120" s="111" t="n"/>
      <c r="AT120" s="111" t="n"/>
      <c r="AU120" s="111" t="n"/>
      <c r="AV120" s="111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53000</v>
      </c>
      <c r="J121" s="127" t="inlineStr">
        <is>
          <t>5</t>
        </is>
      </c>
      <c r="K121" s="127" t="n">
        <v>31000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50000</v>
      </c>
      <c r="J122" s="127" t="inlineStr">
        <is>
          <t>5</t>
        </is>
      </c>
      <c r="K122" s="127" t="n">
        <v>31000</v>
      </c>
      <c r="L122" s="127" t="inlineStr">
        <is>
          <t>20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70000</v>
      </c>
      <c r="J123" s="127" t="inlineStr">
        <is>
          <t>10</t>
        </is>
      </c>
      <c r="K123" s="127" t="n">
        <v>45000</v>
      </c>
      <c r="L123" s="127" t="inlineStr">
        <is>
          <t>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87000</v>
      </c>
      <c r="J124" s="127" t="inlineStr">
        <is>
          <t>13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4</v>
      </c>
      <c r="R124" s="111" t="n">
        <v>2</v>
      </c>
      <c r="S124" s="111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10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4</v>
      </c>
      <c r="R125" s="111" t="n">
        <v>2</v>
      </c>
      <c r="S125" s="111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4</v>
      </c>
      <c r="R126" s="111" t="n">
        <v>2</v>
      </c>
      <c r="S126" s="111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n"/>
      <c r="B127" s="111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8" t="n"/>
      <c r="U127" s="9" t="n"/>
      <c r="W127" s="69">
        <f>$A$4&amp;" "&amp;A128&amp;"("&amp;B128&amp;","&amp;C128&amp;"^)"</f>
        <v/>
      </c>
      <c r="X127" s="70" t="n"/>
      <c r="Y127" s="70" t="n"/>
      <c r="Z127" s="70" t="n"/>
      <c r="AA127" s="70" t="n"/>
      <c r="AB127" s="70" t="n"/>
      <c r="AC127" s="70" t="n"/>
      <c r="AD127" s="70" t="n"/>
      <c r="AE127" s="70" t="n"/>
      <c r="AF127" s="71" t="n"/>
      <c r="AH127" s="20">
        <f>IF(A127="","",A127)</f>
        <v/>
      </c>
      <c r="AI127" s="144">
        <f>IF(E127="","",E127)</f>
        <v/>
      </c>
      <c r="AJ127" s="111" t="n"/>
      <c r="AK127" s="111" t="n"/>
      <c r="AL127" s="111" t="n"/>
      <c r="AM127" s="111" t="n"/>
      <c r="AN127" s="111" t="n"/>
      <c r="AO127" s="111" t="n"/>
      <c r="AP127" s="111" t="n"/>
      <c r="AQ127" s="111" t="n"/>
      <c r="AR127" s="111" t="n"/>
      <c r="AS127" s="111" t="n"/>
      <c r="AT127" s="111" t="n"/>
      <c r="AU127" s="111" t="n"/>
      <c r="AV127" s="111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41500</v>
      </c>
      <c r="J128" s="127" t="inlineStr">
        <is>
          <t>10</t>
        </is>
      </c>
      <c r="K128" s="127" t="n">
        <v>30000</v>
      </c>
      <c r="L128" s="127" t="inlineStr">
        <is>
          <t>20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42000</v>
      </c>
      <c r="J129" s="127" t="inlineStr">
        <is>
          <t>19</t>
        </is>
      </c>
      <c r="K129" s="127" t="n">
        <v>26000</v>
      </c>
      <c r="L129" s="127" t="inlineStr">
        <is>
          <t>21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51000</v>
      </c>
      <c r="J130" s="127" t="inlineStr">
        <is>
          <t>7</t>
        </is>
      </c>
      <c r="K130" s="127" t="n">
        <v>32000</v>
      </c>
      <c r="L130" s="127" t="inlineStr">
        <is>
          <t>15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65000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70000</v>
      </c>
      <c r="J132" s="127" t="inlineStr">
        <is>
          <t>12</t>
        </is>
      </c>
      <c r="K132" s="127" t="n">
        <v>38000</v>
      </c>
      <c r="L132" s="127" t="inlineStr">
        <is>
          <t>27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65000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n"/>
      <c r="B134" s="111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8" t="n"/>
      <c r="U134" s="9" t="n"/>
      <c r="W134" s="69">
        <f>$A$4&amp;" "&amp;A135&amp;"("&amp;B135&amp;","&amp;C135&amp;"^)"</f>
        <v/>
      </c>
      <c r="X134" s="70" t="n"/>
      <c r="Y134" s="70" t="n"/>
      <c r="Z134" s="70" t="n"/>
      <c r="AA134" s="70" t="n"/>
      <c r="AB134" s="70" t="n"/>
      <c r="AC134" s="70" t="n"/>
      <c r="AD134" s="70" t="n"/>
      <c r="AE134" s="70" t="n"/>
      <c r="AF134" s="71" t="n"/>
      <c r="AH134" s="20">
        <f>IF(A134="","",A134)</f>
        <v/>
      </c>
      <c r="AI134" s="144">
        <f>IF(E134="","",E134)</f>
        <v/>
      </c>
      <c r="AJ134" s="111" t="n"/>
      <c r="AK134" s="111" t="n"/>
      <c r="AL134" s="111" t="n"/>
      <c r="AM134" s="111" t="n"/>
      <c r="AN134" s="111" t="n"/>
      <c r="AO134" s="111" t="n"/>
      <c r="AP134" s="111" t="n"/>
      <c r="AQ134" s="111" t="n"/>
      <c r="AR134" s="111" t="n"/>
      <c r="AS134" s="111" t="n"/>
      <c r="AT134" s="111" t="n"/>
      <c r="AU134" s="111" t="n"/>
      <c r="AV134" s="111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89000</v>
      </c>
      <c r="J135" s="127" t="inlineStr">
        <is>
          <t>6</t>
        </is>
      </c>
      <c r="K135" s="127" t="n">
        <v>56000</v>
      </c>
      <c r="L135" s="127" t="inlineStr">
        <is>
          <t>27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88000</v>
      </c>
      <c r="J136" s="127" t="inlineStr">
        <is>
          <t>중</t>
        </is>
      </c>
      <c r="K136" s="127" t="n">
        <v>47000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97000</v>
      </c>
      <c r="J137" s="127" t="inlineStr">
        <is>
          <t>5</t>
        </is>
      </c>
      <c r="K137" s="127" t="n">
        <v>62000</v>
      </c>
      <c r="L137" s="127" t="inlineStr">
        <is>
          <t>20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109000</v>
      </c>
      <c r="J138" s="127" t="inlineStr">
        <is>
          <t>고</t>
        </is>
      </c>
      <c r="K138" s="127" t="n">
        <v>60000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155000</v>
      </c>
      <c r="J139" s="127" t="inlineStr">
        <is>
          <t>18</t>
        </is>
      </c>
      <c r="K139" s="127" t="n">
        <v>100000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n"/>
      <c r="B140" s="111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8" t="n"/>
      <c r="U140" s="9" t="n"/>
      <c r="W140" s="69">
        <f>$A$4&amp;" "&amp;A141&amp;"("&amp;B141&amp;","&amp;C141&amp;"^)"</f>
        <v/>
      </c>
      <c r="X140" s="70" t="n"/>
      <c r="Y140" s="70" t="n"/>
      <c r="Z140" s="70" t="n"/>
      <c r="AA140" s="70" t="n"/>
      <c r="AB140" s="70" t="n"/>
      <c r="AC140" s="70" t="n"/>
      <c r="AD140" s="70" t="n"/>
      <c r="AE140" s="70" t="n"/>
      <c r="AF140" s="71" t="n"/>
      <c r="AH140" s="20">
        <f>IF(A140="","",A140)</f>
        <v/>
      </c>
      <c r="AI140" s="144">
        <f>IF(E140="","",E140)</f>
        <v/>
      </c>
      <c r="AJ140" s="111" t="n"/>
      <c r="AK140" s="111" t="n"/>
      <c r="AL140" s="111" t="n"/>
      <c r="AM140" s="111" t="n"/>
      <c r="AN140" s="111" t="n"/>
      <c r="AO140" s="111" t="n"/>
      <c r="AP140" s="111" t="n"/>
      <c r="AQ140" s="111" t="n"/>
      <c r="AR140" s="111" t="n"/>
      <c r="AS140" s="111" t="n"/>
      <c r="AT140" s="111" t="n"/>
      <c r="AU140" s="111" t="n"/>
      <c r="AV140" s="111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71000</v>
      </c>
      <c r="J141" s="127" t="inlineStr">
        <is>
          <t>24</t>
        </is>
      </c>
      <c r="K141" s="127" t="n">
        <v>45000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4</v>
      </c>
      <c r="R141" s="111" t="n">
        <v>2</v>
      </c>
      <c r="S141" s="111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70000</v>
      </c>
      <c r="J142" s="127" t="inlineStr">
        <is>
          <t>10</t>
        </is>
      </c>
      <c r="K142" s="127" t="n">
        <v>45000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4</v>
      </c>
      <c r="R142" s="111" t="n">
        <v>2</v>
      </c>
      <c r="S142" s="111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70000</v>
      </c>
      <c r="J143" s="127" t="inlineStr">
        <is>
          <t>23</t>
        </is>
      </c>
      <c r="K143" s="127" t="n">
        <v>40000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4</v>
      </c>
      <c r="R143" s="111" t="n">
        <v>2</v>
      </c>
      <c r="S143" s="111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83000</v>
      </c>
      <c r="J144" s="127" t="inlineStr">
        <is>
          <t>중</t>
        </is>
      </c>
      <c r="K144" s="127" t="n">
        <v>53000</v>
      </c>
      <c r="L144" s="127" t="inlineStr">
        <is>
          <t>13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4</v>
      </c>
      <c r="R144" s="111" t="n">
        <v>2</v>
      </c>
      <c r="S144" s="111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83000</v>
      </c>
      <c r="J145" s="127" t="inlineStr">
        <is>
          <t>14</t>
        </is>
      </c>
      <c r="K145" s="127" t="n">
        <v>60000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86000</v>
      </c>
      <c r="J146" s="127" t="inlineStr">
        <is>
          <t>11</t>
        </is>
      </c>
      <c r="K146" s="127" t="n">
        <v>53000</v>
      </c>
      <c r="L146" s="127" t="inlineStr">
        <is>
          <t>중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4</v>
      </c>
      <c r="R146" s="111" t="n">
        <v>2</v>
      </c>
      <c r="S146" s="111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3100</v>
      </c>
      <c r="J6" s="127" t="inlineStr">
        <is>
          <t>5</t>
        </is>
      </c>
      <c r="K6" s="127" t="n">
        <v>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22500</v>
      </c>
      <c r="J8" s="127" t="inlineStr">
        <is>
          <t>9</t>
        </is>
      </c>
      <c r="K8" s="127" t="n">
        <v>18000</v>
      </c>
      <c r="L8" s="127" t="inlineStr">
        <is>
          <t>중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22500</v>
      </c>
      <c r="J9" s="127" t="inlineStr">
        <is>
          <t>9</t>
        </is>
      </c>
      <c r="K9" s="127" t="n">
        <v>18000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5500</v>
      </c>
      <c r="J11" s="127" t="inlineStr">
        <is>
          <t>6</t>
        </is>
      </c>
      <c r="K11" s="127" t="n">
        <v>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7500</v>
      </c>
      <c r="J13" s="127" t="inlineStr">
        <is>
          <t>7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7000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n"/>
      <c r="B24" s="111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44">
        <f>IF(E24="","",E24)</f>
        <v/>
      </c>
      <c r="AJ24" s="111" t="n"/>
      <c r="AK24" s="111" t="n"/>
      <c r="AL24" s="111" t="n"/>
      <c r="AM24" s="111" t="n"/>
      <c r="AN24" s="111" t="n"/>
      <c r="AO24" s="111" t="n"/>
      <c r="AP24" s="111" t="n"/>
      <c r="AQ24" s="111" t="n"/>
      <c r="AR24" s="111" t="n"/>
      <c r="AS24" s="111" t="n"/>
      <c r="AT24" s="111" t="n"/>
      <c r="AU24" s="111" t="n"/>
      <c r="AV24" s="111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14500</v>
      </c>
      <c r="J25" s="127" t="inlineStr">
        <is>
          <t>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16400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18500</v>
      </c>
      <c r="J27" s="127" t="inlineStr">
        <is>
          <t>13</t>
        </is>
      </c>
      <c r="K27" s="127" t="n">
        <v>15000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17500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5100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1</v>
      </c>
      <c r="R30" s="111" t="n">
        <v>1</v>
      </c>
      <c r="S30" s="111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7300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25000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32000</v>
      </c>
      <c r="J39" s="127" t="inlineStr">
        <is>
          <t>18</t>
        </is>
      </c>
      <c r="K39" s="127" t="n">
        <v>20000</v>
      </c>
      <c r="L39" s="127" t="inlineStr">
        <is>
          <t>17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9500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성성동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46000</v>
      </c>
      <c r="J6" s="127" t="inlineStr">
        <is>
          <t>33</t>
        </is>
      </c>
      <c r="K6" s="127" t="n">
        <v>30000</v>
      </c>
      <c r="L6" s="127" t="inlineStr">
        <is>
          <t>34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46000</v>
      </c>
      <c r="J7" s="127" t="inlineStr">
        <is>
          <t>9</t>
        </is>
      </c>
      <c r="K7" s="127" t="n">
        <v>30000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46000</v>
      </c>
      <c r="J8" s="127" t="inlineStr">
        <is>
          <t>24</t>
        </is>
      </c>
      <c r="K8" s="127" t="n">
        <v>31000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46000</v>
      </c>
      <c r="J9" s="127" t="inlineStr">
        <is>
          <t>29</t>
        </is>
      </c>
      <c r="K9" s="127" t="n">
        <v>31000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59000</v>
      </c>
      <c r="J10" s="127" t="inlineStr">
        <is>
          <t>31</t>
        </is>
      </c>
      <c r="K10" s="127" t="n">
        <v>35000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63000</v>
      </c>
      <c r="J11" s="127" t="inlineStr">
        <is>
          <t>17</t>
        </is>
      </c>
      <c r="K11" s="127" t="n">
        <v>36000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70000</v>
      </c>
      <c r="J12" s="127" t="inlineStr">
        <is>
          <t>25</t>
        </is>
      </c>
      <c r="K12" s="127" t="n">
        <v>38000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46000</v>
      </c>
      <c r="J14" s="127" t="inlineStr">
        <is>
          <t>6</t>
        </is>
      </c>
      <c r="K14" s="127" t="n">
        <v>31000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41000</v>
      </c>
      <c r="J15" s="127" t="inlineStr">
        <is>
          <t>27</t>
        </is>
      </c>
      <c r="K15" s="127" t="n">
        <v>33000</v>
      </c>
      <c r="L15" s="127" t="inlineStr">
        <is>
          <t>23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48000</v>
      </c>
      <c r="J16" s="127" t="inlineStr">
        <is>
          <t>고</t>
        </is>
      </c>
      <c r="K16" s="127" t="n">
        <v>30000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52000</v>
      </c>
      <c r="J17" s="127" t="inlineStr">
        <is>
          <t>23</t>
        </is>
      </c>
      <c r="K17" s="127" t="n">
        <v>35000</v>
      </c>
      <c r="L17" s="127" t="inlineStr">
        <is>
          <t>35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51000</v>
      </c>
      <c r="J18" s="127" t="inlineStr">
        <is>
          <t>10</t>
        </is>
      </c>
      <c r="K18" s="127" t="n">
        <v>35000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70000</v>
      </c>
      <c r="J19" s="127" t="inlineStr">
        <is>
          <t>28</t>
        </is>
      </c>
      <c r="K19" s="127" t="n">
        <v>33000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64000</v>
      </c>
      <c r="J20" s="127" t="inlineStr">
        <is>
          <t>21</t>
        </is>
      </c>
      <c r="K20" s="127" t="n">
        <v>43000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70000</v>
      </c>
      <c r="J21" s="127" t="inlineStr">
        <is>
          <t>28</t>
        </is>
      </c>
      <c r="K21" s="127" t="n">
        <v>33000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n"/>
      <c r="B22" s="111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44">
        <f>IF(E22="","",E22)</f>
        <v/>
      </c>
      <c r="AJ22" s="111" t="n"/>
      <c r="AK22" s="111" t="n"/>
      <c r="AL22" s="111" t="n"/>
      <c r="AM22" s="111" t="n"/>
      <c r="AN22" s="111" t="n"/>
      <c r="AO22" s="111" t="n"/>
      <c r="AP22" s="111" t="n"/>
      <c r="AQ22" s="111" t="n"/>
      <c r="AR22" s="111" t="n"/>
      <c r="AS22" s="111" t="n"/>
      <c r="AT22" s="111" t="n"/>
      <c r="AU22" s="111" t="n"/>
      <c r="AV22" s="111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48000</v>
      </c>
      <c r="J23" s="127" t="inlineStr">
        <is>
          <t>23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48000</v>
      </c>
      <c r="J25" s="127" t="inlineStr">
        <is>
          <t>23</t>
        </is>
      </c>
      <c r="K25" s="127" t="n">
        <v>33000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50000</v>
      </c>
      <c r="J26" s="127" t="inlineStr">
        <is>
          <t>22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65000</v>
      </c>
      <c r="J27" s="127" t="inlineStr">
        <is>
          <t>21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59000</v>
      </c>
      <c r="J28" s="127" t="inlineStr">
        <is>
          <t>21</t>
        </is>
      </c>
      <c r="K28" s="127" t="n">
        <v>37000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59500</v>
      </c>
      <c r="J29" s="127" t="inlineStr">
        <is>
          <t>17</t>
        </is>
      </c>
      <c r="K29" s="127" t="n">
        <v>35000</v>
      </c>
      <c r="L29" s="127" t="inlineStr">
        <is>
          <t>34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59500</v>
      </c>
      <c r="J30" s="127" t="inlineStr">
        <is>
          <t>17</t>
        </is>
      </c>
      <c r="K30" s="127" t="n">
        <v>35000</v>
      </c>
      <c r="L30" s="127" t="inlineStr">
        <is>
          <t>34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56000</v>
      </c>
      <c r="J31" s="127" t="inlineStr">
        <is>
          <t>9</t>
        </is>
      </c>
      <c r="K31" s="127" t="n">
        <v>35000</v>
      </c>
      <c r="L31" s="127" t="inlineStr">
        <is>
          <t>37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46000</v>
      </c>
      <c r="J33" s="127" t="inlineStr">
        <is>
          <t>6</t>
        </is>
      </c>
      <c r="K33" s="127" t="n">
        <v>30000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45000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53000</v>
      </c>
      <c r="J35" s="127" t="inlineStr">
        <is>
          <t>27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58000</v>
      </c>
      <c r="J36" s="127" t="inlineStr">
        <is>
          <t>23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61000</v>
      </c>
      <c r="J37" s="127" t="inlineStr">
        <is>
          <t>5</t>
        </is>
      </c>
      <c r="K37" s="127" t="n">
        <v>35000</v>
      </c>
      <c r="L37" s="127" t="inlineStr">
        <is>
          <t>29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60000</v>
      </c>
      <c r="J38" s="127" t="inlineStr">
        <is>
          <t>10</t>
        </is>
      </c>
      <c r="K38" s="127" t="n">
        <v>39000</v>
      </c>
      <c r="L38" s="127" t="inlineStr">
        <is>
          <t>39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64000</v>
      </c>
      <c r="J39" s="127" t="inlineStr">
        <is>
          <t>22</t>
        </is>
      </c>
      <c r="K39" s="127" t="n">
        <v>42000</v>
      </c>
      <c r="L39" s="127" t="inlineStr">
        <is>
          <t>16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63000</v>
      </c>
      <c r="J40" s="127" t="inlineStr">
        <is>
          <t>33</t>
        </is>
      </c>
      <c r="K40" s="127" t="n">
        <v>38000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79000</v>
      </c>
      <c r="J41" s="127" t="inlineStr">
        <is>
          <t>22</t>
        </is>
      </c>
      <c r="K41" s="127" t="n">
        <v>45000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1</v>
      </c>
      <c r="R6" s="111" t="n">
        <v>1</v>
      </c>
      <c r="S6" s="111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13500</v>
      </c>
      <c r="J13" s="127" t="inlineStr">
        <is>
          <t>14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25000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16000</v>
      </c>
      <c r="J27" s="127" t="inlineStr">
        <is>
          <t>6</t>
        </is>
      </c>
      <c r="K27" s="127" t="n">
        <v>10000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17000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18000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18000</v>
      </c>
      <c r="J33" s="127" t="inlineStr">
        <is>
          <t>5</t>
        </is>
      </c>
      <c r="K33" s="127" t="n">
        <v>6300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17000</v>
      </c>
      <c r="J34" s="127" t="inlineStr">
        <is>
          <t>중</t>
        </is>
      </c>
      <c r="K34" s="127" t="n">
        <v>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21000</v>
      </c>
      <c r="J35" s="127" t="inlineStr">
        <is>
          <t>고</t>
        </is>
      </c>
      <c r="K35" s="127" t="n">
        <v>12000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2</v>
      </c>
      <c r="R35" s="111" t="n">
        <v>1</v>
      </c>
      <c r="S35" s="111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2</v>
      </c>
      <c r="R36" s="111" t="n">
        <v>1</v>
      </c>
      <c r="S36" s="111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23000</v>
      </c>
      <c r="J37" s="127" t="inlineStr">
        <is>
          <t>고</t>
        </is>
      </c>
      <c r="K37" s="127" t="n">
        <v>12000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2</v>
      </c>
      <c r="R37" s="111" t="n">
        <v>1</v>
      </c>
      <c r="S37" s="111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27000</v>
      </c>
      <c r="J38" s="127" t="inlineStr">
        <is>
          <t>고</t>
        </is>
      </c>
      <c r="K38" s="127" t="n">
        <v>12500</v>
      </c>
      <c r="L38" s="127" t="inlineStr">
        <is>
          <t>고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1</v>
      </c>
      <c r="R40" s="111" t="n">
        <v>1</v>
      </c>
      <c r="S40" s="111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1</v>
      </c>
      <c r="R41" s="111" t="n">
        <v>1</v>
      </c>
      <c r="S41" s="111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1</v>
      </c>
      <c r="R42" s="111" t="n">
        <v>1</v>
      </c>
      <c r="S42" s="111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15000</v>
      </c>
      <c r="J47" s="127" t="inlineStr">
        <is>
          <t>5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1</v>
      </c>
      <c r="S48" s="111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16500</v>
      </c>
      <c r="J49" s="127" t="inlineStr">
        <is>
          <t>5</t>
        </is>
      </c>
      <c r="K49" s="127" t="n">
        <v>10000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성환읍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29000</v>
      </c>
      <c r="J6" s="127" t="inlineStr">
        <is>
          <t>18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28500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16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n"/>
      <c r="B17" s="111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44">
        <f>IF(E17="","",E17)</f>
        <v/>
      </c>
      <c r="AJ17" s="111" t="n"/>
      <c r="AK17" s="111" t="n"/>
      <c r="AL17" s="111" t="n"/>
      <c r="AM17" s="111" t="n"/>
      <c r="AN17" s="111" t="n"/>
      <c r="AO17" s="111" t="n"/>
      <c r="AP17" s="111" t="n"/>
      <c r="AQ17" s="111" t="n"/>
      <c r="AR17" s="111" t="n"/>
      <c r="AS17" s="111" t="n"/>
      <c r="AT17" s="111" t="n"/>
      <c r="AU17" s="111" t="n"/>
      <c r="AV17" s="111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9000</v>
      </c>
      <c r="J24" s="127" t="inlineStr">
        <is>
          <t>5</t>
        </is>
      </c>
      <c r="K24" s="127" t="n">
        <v>7000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12000</v>
      </c>
      <c r="J25" s="127" t="inlineStr">
        <is>
          <t>10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11500</v>
      </c>
      <c r="J28" s="127" t="inlineStr">
        <is>
          <t>고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1</v>
      </c>
      <c r="S28" s="111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11500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19000</v>
      </c>
      <c r="J30" s="127" t="inlineStr">
        <is>
          <t>16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n"/>
      <c r="B31" s="111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44">
        <f>IF(E31="","",E31)</f>
        <v/>
      </c>
      <c r="AJ31" s="111" t="n"/>
      <c r="AK31" s="111" t="n"/>
      <c r="AL31" s="111" t="n"/>
      <c r="AM31" s="111" t="n"/>
      <c r="AN31" s="111" t="n"/>
      <c r="AO31" s="111" t="n"/>
      <c r="AP31" s="111" t="n"/>
      <c r="AQ31" s="111" t="n"/>
      <c r="AR31" s="111" t="n"/>
      <c r="AS31" s="111" t="n"/>
      <c r="AT31" s="111" t="n"/>
      <c r="AU31" s="111" t="n"/>
      <c r="AV31" s="111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4800</v>
      </c>
      <c r="J32" s="127" t="inlineStr">
        <is>
          <t>7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1</v>
      </c>
      <c r="R32" s="111" t="n">
        <v>1</v>
      </c>
      <c r="S32" s="111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9200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8500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2</v>
      </c>
      <c r="R34" s="111" t="n">
        <v>1</v>
      </c>
      <c r="S34" s="111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14000</v>
      </c>
      <c r="J36" s="127" t="inlineStr">
        <is>
          <t>5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19000</v>
      </c>
      <c r="J37" s="127" t="inlineStr">
        <is>
          <t>14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신당동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28000</v>
      </c>
      <c r="J7" s="127" t="inlineStr">
        <is>
          <t>5</t>
        </is>
      </c>
      <c r="K7" s="127" t="n">
        <v>26000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28000</v>
      </c>
      <c r="J8" s="127" t="inlineStr">
        <is>
          <t>고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33000</v>
      </c>
      <c r="J9" s="127" t="inlineStr">
        <is>
          <t>8</t>
        </is>
      </c>
      <c r="K9" s="127" t="n">
        <v>27000</v>
      </c>
      <c r="L9" s="127" t="inlineStr">
        <is>
          <t>11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32000</v>
      </c>
      <c r="J10" s="127" t="inlineStr">
        <is>
          <t>11</t>
        </is>
      </c>
      <c r="K10" s="127" t="n">
        <v>25000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쌍용동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17000</v>
      </c>
      <c r="J6" s="127" t="inlineStr">
        <is>
          <t>11</t>
        </is>
      </c>
      <c r="K6" s="127" t="n">
        <v>16500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19200</v>
      </c>
      <c r="J7" s="127" t="inlineStr">
        <is>
          <t>6</t>
        </is>
      </c>
      <c r="K7" s="127" t="n">
        <v>23000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28000</v>
      </c>
      <c r="J8" s="127" t="inlineStr">
        <is>
          <t>15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4</v>
      </c>
      <c r="R8" s="111" t="n">
        <v>2</v>
      </c>
      <c r="S8" s="111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17500</v>
      </c>
      <c r="J10" s="127" t="inlineStr">
        <is>
          <t>12</t>
        </is>
      </c>
      <c r="K10" s="127" t="n">
        <v>16500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19500</v>
      </c>
      <c r="J11" s="127" t="inlineStr">
        <is>
          <t>중</t>
        </is>
      </c>
      <c r="K11" s="127" t="n">
        <v>20000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23000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21000</v>
      </c>
      <c r="J14" s="127" t="inlineStr">
        <is>
          <t>16</t>
        </is>
      </c>
      <c r="K14" s="127" t="n">
        <v>21000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51000</v>
      </c>
      <c r="J16" s="127" t="inlineStr">
        <is>
          <t>중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52000</v>
      </c>
      <c r="J17" s="127" t="inlineStr">
        <is>
          <t>13</t>
        </is>
      </c>
      <c r="K17" s="127" t="n">
        <v>39000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80000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99000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4</v>
      </c>
      <c r="R22" s="111" t="n">
        <v>3</v>
      </c>
      <c r="S22" s="111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99000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4</v>
      </c>
      <c r="R23" s="111" t="n">
        <v>3</v>
      </c>
      <c r="S23" s="111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3</v>
      </c>
      <c r="S24" s="111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3</v>
      </c>
      <c r="S25" s="111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10500</v>
      </c>
      <c r="J27" s="127" t="inlineStr">
        <is>
          <t>15</t>
        </is>
      </c>
      <c r="K27" s="127" t="n">
        <v>8000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2</v>
      </c>
      <c r="R27" s="111" t="n">
        <v>1</v>
      </c>
      <c r="S27" s="111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15000</v>
      </c>
      <c r="J28" s="127" t="inlineStr">
        <is>
          <t>13</t>
        </is>
      </c>
      <c r="K28" s="127" t="n">
        <v>12500</v>
      </c>
      <c r="L28" s="127" t="inlineStr">
        <is>
          <t>12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18000</v>
      </c>
      <c r="J29" s="127" t="inlineStr">
        <is>
          <t>고</t>
        </is>
      </c>
      <c r="K29" s="127" t="n">
        <v>14000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1</v>
      </c>
      <c r="S29" s="111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25500</v>
      </c>
      <c r="J35" s="127" t="inlineStr">
        <is>
          <t>12</t>
        </is>
      </c>
      <c r="K35" s="127" t="n">
        <v>21000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33000</v>
      </c>
      <c r="J36" s="127" t="inlineStr">
        <is>
          <t>13</t>
        </is>
      </c>
      <c r="K36" s="127" t="n">
        <v>27000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38500</v>
      </c>
      <c r="J37" s="127" t="inlineStr">
        <is>
          <t>7</t>
        </is>
      </c>
      <c r="K37" s="127" t="n">
        <v>34000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45000</v>
      </c>
      <c r="J38" s="127" t="inlineStr">
        <is>
          <t>10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28500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28000</v>
      </c>
      <c r="J41" s="127" t="inlineStr">
        <is>
          <t>고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17000</v>
      </c>
      <c r="J43" s="127" t="inlineStr">
        <is>
          <t>16</t>
        </is>
      </c>
      <c r="K43" s="127" t="n">
        <v>15500</v>
      </c>
      <c r="L43" s="127" t="inlineStr">
        <is>
          <t>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21000</v>
      </c>
      <c r="J44" s="127" t="inlineStr">
        <is>
          <t>17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n"/>
      <c r="B45" s="111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44">
        <f>IF(E45="","",E45)</f>
        <v/>
      </c>
      <c r="AJ45" s="111" t="n"/>
      <c r="AK45" s="111" t="n"/>
      <c r="AL45" s="111" t="n"/>
      <c r="AM45" s="111" t="n"/>
      <c r="AN45" s="111" t="n"/>
      <c r="AO45" s="111" t="n"/>
      <c r="AP45" s="111" t="n"/>
      <c r="AQ45" s="111" t="n"/>
      <c r="AR45" s="111" t="n"/>
      <c r="AS45" s="111" t="n"/>
      <c r="AT45" s="111" t="n"/>
      <c r="AU45" s="111" t="n"/>
      <c r="AV45" s="111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14000</v>
      </c>
      <c r="J46" s="127" t="inlineStr">
        <is>
          <t>14</t>
        </is>
      </c>
      <c r="K46" s="127" t="n">
        <v>11500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2</v>
      </c>
      <c r="R48" s="111" t="n">
        <v>2</v>
      </c>
      <c r="S48" s="111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5</v>
      </c>
      <c r="R52" s="111" t="n">
        <v>2</v>
      </c>
      <c r="S52" s="111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n"/>
      <c r="B53" s="111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8" t="n"/>
      <c r="U53" s="9" t="n"/>
      <c r="W53" s="69">
        <f>$A$4&amp;" "&amp;A54&amp;"("&amp;B54&amp;","&amp;C54&amp;"^)"</f>
        <v/>
      </c>
      <c r="X53" s="70" t="n"/>
      <c r="Y53" s="70" t="n"/>
      <c r="Z53" s="70" t="n"/>
      <c r="AA53" s="70" t="n"/>
      <c r="AB53" s="70" t="n"/>
      <c r="AC53" s="70" t="n"/>
      <c r="AD53" s="70" t="n"/>
      <c r="AE53" s="70" t="n"/>
      <c r="AF53" s="71" t="n"/>
      <c r="AH53" s="20">
        <f>IF(A53="","",A53)</f>
        <v/>
      </c>
      <c r="AI53" s="144">
        <f>IF(E53="","",E53)</f>
        <v/>
      </c>
      <c r="AJ53" s="111" t="n"/>
      <c r="AK53" s="111" t="n"/>
      <c r="AL53" s="111" t="n"/>
      <c r="AM53" s="111" t="n"/>
      <c r="AN53" s="111" t="n"/>
      <c r="AO53" s="111" t="n"/>
      <c r="AP53" s="111" t="n"/>
      <c r="AQ53" s="111" t="n"/>
      <c r="AR53" s="111" t="n"/>
      <c r="AS53" s="111" t="n"/>
      <c r="AT53" s="111" t="n"/>
      <c r="AU53" s="111" t="n"/>
      <c r="AV53" s="111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32500</v>
      </c>
      <c r="J54" s="127" t="inlineStr">
        <is>
          <t>6</t>
        </is>
      </c>
      <c r="K54" s="127" t="n">
        <v>29000</v>
      </c>
      <c r="L54" s="127" t="inlineStr">
        <is>
          <t>19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39000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48000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4</v>
      </c>
      <c r="R56" s="111" t="n">
        <v>2</v>
      </c>
      <c r="S56" s="111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3</v>
      </c>
      <c r="S57" s="111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3</v>
      </c>
      <c r="S58" s="111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3</v>
      </c>
      <c r="S59" s="111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18300</v>
      </c>
      <c r="J61" s="127" t="inlineStr">
        <is>
          <t>8</t>
        </is>
      </c>
      <c r="K61" s="127" t="n">
        <v>17000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1</v>
      </c>
      <c r="S61" s="111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17700</v>
      </c>
      <c r="J62" s="127" t="inlineStr">
        <is>
          <t>6</t>
        </is>
      </c>
      <c r="K62" s="127" t="n">
        <v>17000</v>
      </c>
      <c r="L62" s="127" t="inlineStr">
        <is>
          <t>9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27000</v>
      </c>
      <c r="J63" s="127" t="inlineStr">
        <is>
          <t>10</t>
        </is>
      </c>
      <c r="K63" s="127" t="n">
        <v>25000</v>
      </c>
      <c r="L63" s="127" t="inlineStr">
        <is>
          <t>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27000</v>
      </c>
      <c r="J64" s="127" t="inlineStr">
        <is>
          <t>10</t>
        </is>
      </c>
      <c r="K64" s="127" t="n">
        <v>25000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10500</v>
      </c>
      <c r="J66" s="127" t="inlineStr">
        <is>
          <t>11</t>
        </is>
      </c>
      <c r="K66" s="127" t="n">
        <v>10000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14800</v>
      </c>
      <c r="J67" s="127" t="inlineStr">
        <is>
          <t>5</t>
        </is>
      </c>
      <c r="K67" s="127" t="n">
        <v>10000</v>
      </c>
      <c r="L67" s="127" t="inlineStr">
        <is>
          <t>14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15000</v>
      </c>
      <c r="J68" s="127" t="inlineStr">
        <is>
          <t>14</t>
        </is>
      </c>
      <c r="K68" s="127" t="n">
        <v>13500</v>
      </c>
      <c r="L68" s="127" t="inlineStr">
        <is>
          <t>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1</v>
      </c>
      <c r="S68" s="111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18000</v>
      </c>
      <c r="J70" s="127" t="inlineStr">
        <is>
          <t>15</t>
        </is>
      </c>
      <c r="K70" s="127" t="n">
        <v>15000</v>
      </c>
      <c r="L70" s="127" t="inlineStr">
        <is>
          <t>22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21500</v>
      </c>
      <c r="J71" s="127" t="inlineStr">
        <is>
          <t>14</t>
        </is>
      </c>
      <c r="K71" s="127" t="n">
        <v>18000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18000</v>
      </c>
      <c r="J73" s="127" t="inlineStr">
        <is>
          <t>17</t>
        </is>
      </c>
      <c r="K73" s="127" t="n">
        <v>14000</v>
      </c>
      <c r="L73" s="127" t="inlineStr">
        <is>
          <t>15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14000</v>
      </c>
      <c r="L74" s="127" t="inlineStr">
        <is>
          <t>16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22000</v>
      </c>
      <c r="J75" s="127" t="inlineStr">
        <is>
          <t>9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29000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4</v>
      </c>
      <c r="R77" s="111" t="n">
        <v>2</v>
      </c>
      <c r="S77" s="111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10000</v>
      </c>
      <c r="L79" s="127" t="inlineStr">
        <is>
          <t>15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12500</v>
      </c>
      <c r="J80" s="127" t="inlineStr">
        <is>
          <t>13</t>
        </is>
      </c>
      <c r="K80" s="127" t="n">
        <v>12500</v>
      </c>
      <c r="L80" s="127" t="inlineStr">
        <is>
          <t>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1</v>
      </c>
      <c r="S81" s="111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10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11000</v>
      </c>
      <c r="J84" s="127" t="inlineStr">
        <is>
          <t>12</t>
        </is>
      </c>
      <c r="K84" s="127" t="n">
        <v>11500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13</t>
        </is>
      </c>
      <c r="K85" s="127" t="n">
        <v>12000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n"/>
      <c r="B91" s="111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44">
        <f>IF(E91="","",E91)</f>
        <v/>
      </c>
      <c r="AJ91" s="111" t="n"/>
      <c r="AK91" s="111" t="n"/>
      <c r="AL91" s="111" t="n"/>
      <c r="AM91" s="111" t="n"/>
      <c r="AN91" s="111" t="n"/>
      <c r="AO91" s="111" t="n"/>
      <c r="AP91" s="111" t="n"/>
      <c r="AQ91" s="111" t="n"/>
      <c r="AR91" s="111" t="n"/>
      <c r="AS91" s="111" t="n"/>
      <c r="AT91" s="111" t="n"/>
      <c r="AU91" s="111" t="n"/>
      <c r="AV91" s="111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14000</v>
      </c>
      <c r="J92" s="127" t="inlineStr">
        <is>
          <t>8</t>
        </is>
      </c>
      <c r="K92" s="127" t="n">
        <v>10000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1</v>
      </c>
      <c r="S92" s="111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16500</v>
      </c>
      <c r="J94" s="127" t="inlineStr">
        <is>
          <t>10</t>
        </is>
      </c>
      <c r="K94" s="127" t="n">
        <v>15000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1</v>
      </c>
      <c r="S94" s="111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33000</v>
      </c>
      <c r="J96" s="127" t="inlineStr">
        <is>
          <t>중</t>
        </is>
      </c>
      <c r="K96" s="127" t="n">
        <v>32000</v>
      </c>
      <c r="L96" s="127" t="inlineStr">
        <is>
          <t>10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39500</v>
      </c>
      <c r="J97" s="127" t="inlineStr">
        <is>
          <t>7</t>
        </is>
      </c>
      <c r="K97" s="127" t="n">
        <v>34000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45000</v>
      </c>
      <c r="J98" s="127" t="inlineStr">
        <is>
          <t>중</t>
        </is>
      </c>
      <c r="K98" s="127" t="n">
        <v>38000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4</v>
      </c>
      <c r="R98" s="111" t="n">
        <v>2</v>
      </c>
      <c r="S98" s="111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n"/>
      <c r="B99" s="111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8" t="n"/>
      <c r="U99" s="9" t="n"/>
      <c r="W99" s="69">
        <f>$A$4&amp;" "&amp;A100&amp;"("&amp;B100&amp;","&amp;C100&amp;"^)"</f>
        <v/>
      </c>
      <c r="X99" s="70" t="n"/>
      <c r="Y99" s="70" t="n"/>
      <c r="Z99" s="70" t="n"/>
      <c r="AA99" s="70" t="n"/>
      <c r="AB99" s="70" t="n"/>
      <c r="AC99" s="70" t="n"/>
      <c r="AD99" s="70" t="n"/>
      <c r="AE99" s="70" t="n"/>
      <c r="AF99" s="71" t="n"/>
      <c r="AH99" s="20">
        <f>IF(A99="","",A99)</f>
        <v/>
      </c>
      <c r="AI99" s="144">
        <f>IF(E99="","",E99)</f>
        <v/>
      </c>
      <c r="AJ99" s="111" t="n"/>
      <c r="AK99" s="111" t="n"/>
      <c r="AL99" s="111" t="n"/>
      <c r="AM99" s="111" t="n"/>
      <c r="AN99" s="111" t="n"/>
      <c r="AO99" s="111" t="n"/>
      <c r="AP99" s="111" t="n"/>
      <c r="AQ99" s="111" t="n"/>
      <c r="AR99" s="111" t="n"/>
      <c r="AS99" s="111" t="n"/>
      <c r="AT99" s="111" t="n"/>
      <c r="AU99" s="111" t="n"/>
      <c r="AV99" s="111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20000</v>
      </c>
      <c r="J103" s="127" t="inlineStr">
        <is>
          <t>6</t>
        </is>
      </c>
      <c r="K103" s="127" t="n">
        <v>17500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26800</v>
      </c>
      <c r="J104" s="127" t="inlineStr">
        <is>
          <t>14</t>
        </is>
      </c>
      <c r="K104" s="127" t="n">
        <v>23000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36000</v>
      </c>
      <c r="J105" s="127" t="inlineStr">
        <is>
          <t>11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4</v>
      </c>
      <c r="R105" s="111" t="n">
        <v>2</v>
      </c>
      <c r="S105" s="111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41000</v>
      </c>
      <c r="J106" s="127" t="inlineStr">
        <is>
          <t>9</t>
        </is>
      </c>
      <c r="K106" s="127" t="n">
        <v>32000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4</v>
      </c>
      <c r="R106" s="111" t="n">
        <v>2</v>
      </c>
      <c r="S106" s="111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n"/>
      <c r="B107" s="111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8" t="n"/>
      <c r="U107" s="9" t="n"/>
      <c r="W107" s="69">
        <f>$A$4&amp;" "&amp;A108&amp;"("&amp;B108&amp;","&amp;C108&amp;"^)"</f>
        <v/>
      </c>
      <c r="X107" s="70" t="n"/>
      <c r="Y107" s="70" t="n"/>
      <c r="Z107" s="70" t="n"/>
      <c r="AA107" s="70" t="n"/>
      <c r="AB107" s="70" t="n"/>
      <c r="AC107" s="70" t="n"/>
      <c r="AD107" s="70" t="n"/>
      <c r="AE107" s="70" t="n"/>
      <c r="AF107" s="71" t="n"/>
      <c r="AH107" s="20">
        <f>IF(A107="","",A107)</f>
        <v/>
      </c>
      <c r="AI107" s="144">
        <f>IF(E107="","",E107)</f>
        <v/>
      </c>
      <c r="AJ107" s="111" t="n"/>
      <c r="AK107" s="111" t="n"/>
      <c r="AL107" s="111" t="n"/>
      <c r="AM107" s="111" t="n"/>
      <c r="AN107" s="111" t="n"/>
      <c r="AO107" s="111" t="n"/>
      <c r="AP107" s="111" t="n"/>
      <c r="AQ107" s="111" t="n"/>
      <c r="AR107" s="111" t="n"/>
      <c r="AS107" s="111" t="n"/>
      <c r="AT107" s="111" t="n"/>
      <c r="AU107" s="111" t="n"/>
      <c r="AV107" s="111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23000</v>
      </c>
      <c r="J108" s="127" t="inlineStr">
        <is>
          <t>15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22000</v>
      </c>
      <c r="J109" s="127" t="inlineStr">
        <is>
          <t>11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4</v>
      </c>
      <c r="R109" s="111" t="n">
        <v>2</v>
      </c>
      <c r="S109" s="111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5</v>
      </c>
      <c r="R111" s="111" t="n">
        <v>2</v>
      </c>
      <c r="S111" s="111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n"/>
      <c r="B112" s="111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44">
        <f>IF(E112="","",E112)</f>
        <v/>
      </c>
      <c r="AJ112" s="111" t="n"/>
      <c r="AK112" s="111" t="n"/>
      <c r="AL112" s="111" t="n"/>
      <c r="AM112" s="111" t="n"/>
      <c r="AN112" s="111" t="n"/>
      <c r="AO112" s="111" t="n"/>
      <c r="AP112" s="111" t="n"/>
      <c r="AQ112" s="111" t="n"/>
      <c r="AR112" s="111" t="n"/>
      <c r="AS112" s="111" t="n"/>
      <c r="AT112" s="111" t="n"/>
      <c r="AU112" s="111" t="n"/>
      <c r="AV112" s="111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33000</v>
      </c>
      <c r="J113" s="127" t="inlineStr">
        <is>
          <t>12</t>
        </is>
      </c>
      <c r="K113" s="127" t="n">
        <v>27000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39500</v>
      </c>
      <c r="J115" s="127" t="inlineStr">
        <is>
          <t>5</t>
        </is>
      </c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2</v>
      </c>
      <c r="S116" s="111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5</v>
      </c>
      <c r="R119" s="111" t="n">
        <v>3</v>
      </c>
      <c r="S119" s="111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5</v>
      </c>
      <c r="R120" s="111" t="n">
        <v>2</v>
      </c>
      <c r="S120" s="111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23000</v>
      </c>
      <c r="J122" s="127" t="inlineStr">
        <is>
          <t>14</t>
        </is>
      </c>
      <c r="K122" s="127" t="n">
        <v>23000</v>
      </c>
      <c r="L122" s="127" t="inlineStr">
        <is>
          <t>7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23000</v>
      </c>
      <c r="J123" s="127" t="inlineStr">
        <is>
          <t>14</t>
        </is>
      </c>
      <c r="K123" s="127" t="n">
        <v>23000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2</v>
      </c>
      <c r="S125" s="111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n"/>
      <c r="B126" s="111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8" t="n"/>
      <c r="U126" s="9" t="n"/>
      <c r="W126" s="69">
        <f>$A$4&amp;" "&amp;A127&amp;"("&amp;B127&amp;","&amp;C127&amp;"^)"</f>
        <v/>
      </c>
      <c r="X126" s="70" t="n"/>
      <c r="Y126" s="70" t="n"/>
      <c r="Z126" s="70" t="n"/>
      <c r="AA126" s="70" t="n"/>
      <c r="AB126" s="70" t="n"/>
      <c r="AC126" s="70" t="n"/>
      <c r="AD126" s="70" t="n"/>
      <c r="AE126" s="70" t="n"/>
      <c r="AF126" s="71" t="n"/>
      <c r="AH126" s="20">
        <f>IF(A126="","",A126)</f>
        <v/>
      </c>
      <c r="AI126" s="144">
        <f>IF(E126="","",E126)</f>
        <v/>
      </c>
      <c r="AJ126" s="111" t="n"/>
      <c r="AK126" s="111" t="n"/>
      <c r="AL126" s="111" t="n"/>
      <c r="AM126" s="111" t="n"/>
      <c r="AN126" s="111" t="n"/>
      <c r="AO126" s="111" t="n"/>
      <c r="AP126" s="111" t="n"/>
      <c r="AQ126" s="111" t="n"/>
      <c r="AR126" s="111" t="n"/>
      <c r="AS126" s="111" t="n"/>
      <c r="AT126" s="111" t="n"/>
      <c r="AU126" s="111" t="n"/>
      <c r="AV126" s="111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19000</v>
      </c>
      <c r="J127" s="127" t="inlineStr">
        <is>
          <t>5</t>
        </is>
      </c>
      <c r="K127" s="127" t="n">
        <v>18000</v>
      </c>
      <c r="L127" s="127" t="inlineStr">
        <is>
          <t>11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18500</v>
      </c>
      <c r="J129" s="127" t="inlineStr">
        <is>
          <t>14</t>
        </is>
      </c>
      <c r="K129" s="127" t="n">
        <v>17000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1</v>
      </c>
      <c r="S130" s="111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21800</v>
      </c>
      <c r="J131" s="127" t="inlineStr">
        <is>
          <t>18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>
      <c r="A132" s="9" t="n"/>
      <c r="B132" s="111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8" t="n"/>
      <c r="U132" s="9" t="n"/>
      <c r="W132" s="69">
        <f>$A$4&amp;" "&amp;A133&amp;"("&amp;B133&amp;","&amp;C133&amp;"^)"</f>
        <v/>
      </c>
      <c r="X132" s="70" t="n"/>
      <c r="Y132" s="70" t="n"/>
      <c r="Z132" s="70" t="n"/>
      <c r="AA132" s="70" t="n"/>
      <c r="AB132" s="70" t="n"/>
      <c r="AC132" s="70" t="n"/>
      <c r="AD132" s="70" t="n"/>
      <c r="AE132" s="70" t="n"/>
      <c r="AF132" s="71" t="n"/>
      <c r="AH132" s="20">
        <f>IF(A132="","",A132)</f>
        <v/>
      </c>
      <c r="AI132" s="144">
        <f>IF(E132="","",E132)</f>
        <v/>
      </c>
      <c r="AJ132" s="111" t="n"/>
      <c r="AK132" s="111" t="n"/>
      <c r="AL132" s="111" t="n"/>
      <c r="AM132" s="111" t="n"/>
      <c r="AN132" s="111" t="n"/>
      <c r="AO132" s="111" t="n"/>
      <c r="AP132" s="111" t="n"/>
      <c r="AQ132" s="111" t="n"/>
      <c r="AR132" s="111" t="n"/>
      <c r="AS132" s="111" t="n"/>
      <c r="AT132" s="111" t="n"/>
      <c r="AU132" s="111" t="n"/>
      <c r="AV132" s="111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17500</v>
      </c>
      <c r="J133" s="127" t="inlineStr">
        <is>
          <t>15</t>
        </is>
      </c>
      <c r="K133" s="127" t="n">
        <v>15000</v>
      </c>
      <c r="L133" s="127" t="inlineStr">
        <is>
          <t>12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1</v>
      </c>
      <c r="S133" s="111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19500</v>
      </c>
      <c r="J134" s="127" t="inlineStr">
        <is>
          <t>6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n"/>
      <c r="B137" s="111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8" t="n"/>
      <c r="U137" s="9" t="n"/>
      <c r="W137" s="69">
        <f>$A$4&amp;" "&amp;A138&amp;"("&amp;B138&amp;","&amp;C138&amp;"^)"</f>
        <v/>
      </c>
      <c r="X137" s="70" t="n"/>
      <c r="Y137" s="70" t="n"/>
      <c r="Z137" s="70" t="n"/>
      <c r="AA137" s="70" t="n"/>
      <c r="AB137" s="70" t="n"/>
      <c r="AC137" s="70" t="n"/>
      <c r="AD137" s="70" t="n"/>
      <c r="AE137" s="70" t="n"/>
      <c r="AF137" s="71" t="n"/>
      <c r="AH137" s="20">
        <f>IF(A137="","",A137)</f>
        <v/>
      </c>
      <c r="AI137" s="144">
        <f>IF(E137="","",E137)</f>
        <v/>
      </c>
      <c r="AJ137" s="111" t="n"/>
      <c r="AK137" s="111" t="n"/>
      <c r="AL137" s="111" t="n"/>
      <c r="AM137" s="111" t="n"/>
      <c r="AN137" s="111" t="n"/>
      <c r="AO137" s="111" t="n"/>
      <c r="AP137" s="111" t="n"/>
      <c r="AQ137" s="111" t="n"/>
      <c r="AR137" s="111" t="n"/>
      <c r="AS137" s="111" t="n"/>
      <c r="AT137" s="111" t="n"/>
      <c r="AU137" s="111" t="n"/>
      <c r="AV137" s="111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37000</v>
      </c>
      <c r="J140" s="127" t="inlineStr">
        <is>
          <t>8</t>
        </is>
      </c>
      <c r="K140" s="127" t="n">
        <v>35000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4</v>
      </c>
      <c r="R140" s="111" t="n">
        <v>2</v>
      </c>
      <c r="S140" s="111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47000</v>
      </c>
      <c r="J141" s="127" t="inlineStr">
        <is>
          <t>11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5</v>
      </c>
      <c r="R141" s="111" t="n">
        <v>2</v>
      </c>
      <c r="S141" s="111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n"/>
      <c r="B142" s="111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8" t="n"/>
      <c r="U142" s="9" t="n"/>
      <c r="W142" s="69">
        <f>$A$4&amp;" "&amp;A143&amp;"("&amp;B143&amp;","&amp;C143&amp;"^)"</f>
        <v/>
      </c>
      <c r="X142" s="70" t="n"/>
      <c r="Y142" s="70" t="n"/>
      <c r="Z142" s="70" t="n"/>
      <c r="AA142" s="70" t="n"/>
      <c r="AB142" s="70" t="n"/>
      <c r="AC142" s="70" t="n"/>
      <c r="AD142" s="70" t="n"/>
      <c r="AE142" s="70" t="n"/>
      <c r="AF142" s="71" t="n"/>
      <c r="AH142" s="20">
        <f>IF(A142="","",A142)</f>
        <v/>
      </c>
      <c r="AI142" s="144">
        <f>IF(E142="","",E142)</f>
        <v/>
      </c>
      <c r="AJ142" s="111" t="n"/>
      <c r="AK142" s="111" t="n"/>
      <c r="AL142" s="111" t="n"/>
      <c r="AM142" s="111" t="n"/>
      <c r="AN142" s="111" t="n"/>
      <c r="AO142" s="111" t="n"/>
      <c r="AP142" s="111" t="n"/>
      <c r="AQ142" s="111" t="n"/>
      <c r="AR142" s="111" t="n"/>
      <c r="AS142" s="111" t="n"/>
      <c r="AT142" s="111" t="n"/>
      <c r="AU142" s="111" t="n"/>
      <c r="AV142" s="111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2</v>
      </c>
      <c r="R143" s="111" t="n">
        <v>1</v>
      </c>
      <c r="S143" s="111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n"/>
      <c r="B144" s="111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8" t="n"/>
      <c r="U144" s="9" t="n"/>
      <c r="W144" s="69">
        <f>$A$4&amp;" "&amp;A145&amp;"("&amp;B145&amp;","&amp;C145&amp;"^)"</f>
        <v/>
      </c>
      <c r="X144" s="70" t="n"/>
      <c r="Y144" s="70" t="n"/>
      <c r="Z144" s="70" t="n"/>
      <c r="AA144" s="70" t="n"/>
      <c r="AB144" s="70" t="n"/>
      <c r="AC144" s="70" t="n"/>
      <c r="AD144" s="70" t="n"/>
      <c r="AE144" s="70" t="n"/>
      <c r="AF144" s="71" t="n"/>
      <c r="AH144" s="20">
        <f>IF(A144="","",A144)</f>
        <v/>
      </c>
      <c r="AI144" s="144">
        <f>IF(E144="","",E144)</f>
        <v/>
      </c>
      <c r="AJ144" s="111" t="n"/>
      <c r="AK144" s="111" t="n"/>
      <c r="AL144" s="111" t="n"/>
      <c r="AM144" s="111" t="n"/>
      <c r="AN144" s="111" t="n"/>
      <c r="AO144" s="111" t="n"/>
      <c r="AP144" s="111" t="n"/>
      <c r="AQ144" s="111" t="n"/>
      <c r="AR144" s="111" t="n"/>
      <c r="AS144" s="111" t="n"/>
      <c r="AT144" s="111" t="n"/>
      <c r="AU144" s="111" t="n"/>
      <c r="AV144" s="111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n"/>
      <c r="B149" s="111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8" t="n"/>
      <c r="U149" s="9" t="n"/>
      <c r="W149" s="69">
        <f>$A$4&amp;" "&amp;A150&amp;"("&amp;B150&amp;","&amp;C150&amp;"^)"</f>
        <v/>
      </c>
      <c r="X149" s="70" t="n"/>
      <c r="Y149" s="70" t="n"/>
      <c r="Z149" s="70" t="n"/>
      <c r="AA149" s="70" t="n"/>
      <c r="AB149" s="70" t="n"/>
      <c r="AC149" s="70" t="n"/>
      <c r="AD149" s="70" t="n"/>
      <c r="AE149" s="70" t="n"/>
      <c r="AF149" s="71" t="n"/>
      <c r="AH149" s="20">
        <f>IF(A149="","",A149)</f>
        <v/>
      </c>
      <c r="AI149" s="144">
        <f>IF(E149="","",E149)</f>
        <v/>
      </c>
      <c r="AJ149" s="111" t="n"/>
      <c r="AK149" s="111" t="n"/>
      <c r="AL149" s="111" t="n"/>
      <c r="AM149" s="111" t="n"/>
      <c r="AN149" s="111" t="n"/>
      <c r="AO149" s="111" t="n"/>
      <c r="AP149" s="111" t="n"/>
      <c r="AQ149" s="111" t="n"/>
      <c r="AR149" s="111" t="n"/>
      <c r="AS149" s="111" t="n"/>
      <c r="AT149" s="111" t="n"/>
      <c r="AU149" s="111" t="n"/>
      <c r="AV149" s="111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15700</v>
      </c>
      <c r="J150" s="127" t="inlineStr">
        <is>
          <t>6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2</v>
      </c>
      <c r="R150" s="111" t="n">
        <v>1</v>
      </c>
      <c r="S150" s="111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9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4</v>
      </c>
      <c r="R152" s="111" t="n">
        <v>2</v>
      </c>
      <c r="S152" s="111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4</v>
      </c>
      <c r="R153" s="111" t="n">
        <v>2</v>
      </c>
      <c r="S153" s="111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와촌동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29000</v>
      </c>
      <c r="J6" s="127" t="inlineStr">
        <is>
          <t>고</t>
        </is>
      </c>
      <c r="K6" s="127" t="n">
        <v>20000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40000</v>
      </c>
      <c r="J7" s="127" t="inlineStr">
        <is>
          <t>6</t>
        </is>
      </c>
      <c r="K7" s="127" t="n">
        <v>30000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/>
      <c r="J9" s="127" t="n"/>
      <c r="K9" s="127" t="n">
        <v>27000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43900</v>
      </c>
      <c r="J10" s="127" t="inlineStr">
        <is>
          <t>30</t>
        </is>
      </c>
      <c r="K10" s="127" t="n">
        <v>26000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53000</v>
      </c>
      <c r="J11" s="127" t="inlineStr">
        <is>
          <t>중</t>
        </is>
      </c>
      <c r="K11" s="127" t="n">
        <v>31000</v>
      </c>
      <c r="L11" s="127" t="inlineStr">
        <is>
          <t>30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52000</v>
      </c>
      <c r="J12" s="127" t="inlineStr">
        <is>
          <t>14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/>
      <c r="J13" s="127" t="n"/>
      <c r="K13" s="127" t="n">
        <v>32000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입장면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6000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8000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2</v>
      </c>
      <c r="R18" s="111" t="n">
        <v>1</v>
      </c>
      <c r="S18" s="111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직산읍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n"/>
      <c r="B9" s="111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44">
        <f>IF(E9="","",E9)</f>
        <v/>
      </c>
      <c r="AJ9" s="111" t="n"/>
      <c r="AK9" s="111" t="n"/>
      <c r="AL9" s="111" t="n"/>
      <c r="AM9" s="111" t="n"/>
      <c r="AN9" s="111" t="n"/>
      <c r="AO9" s="111" t="n"/>
      <c r="AP9" s="111" t="n"/>
      <c r="AQ9" s="111" t="n"/>
      <c r="AR9" s="111" t="n"/>
      <c r="AS9" s="111" t="n"/>
      <c r="AT9" s="111" t="n"/>
      <c r="AU9" s="111" t="n"/>
      <c r="AV9" s="111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3500</v>
      </c>
      <c r="J16" s="127" t="inlineStr">
        <is>
          <t>5</t>
        </is>
      </c>
      <c r="K16" s="127" t="n">
        <v>1700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3500</v>
      </c>
      <c r="J17" s="127" t="inlineStr">
        <is>
          <t>5</t>
        </is>
      </c>
      <c r="K17" s="127" t="n">
        <v>1700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n"/>
      <c r="B18" s="111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44">
        <f>IF(E18="","",E18)</f>
        <v/>
      </c>
      <c r="AJ18" s="111" t="n"/>
      <c r="AK18" s="111" t="n"/>
      <c r="AL18" s="111" t="n"/>
      <c r="AM18" s="111" t="n"/>
      <c r="AN18" s="111" t="n"/>
      <c r="AO18" s="111" t="n"/>
      <c r="AP18" s="111" t="n"/>
      <c r="AQ18" s="111" t="n"/>
      <c r="AR18" s="111" t="n"/>
      <c r="AS18" s="111" t="n"/>
      <c r="AT18" s="111" t="n"/>
      <c r="AU18" s="111" t="n"/>
      <c r="AV18" s="111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2</v>
      </c>
      <c r="R19" s="111" t="n">
        <v>1</v>
      </c>
      <c r="S19" s="111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11000</v>
      </c>
      <c r="J20" s="127" t="inlineStr">
        <is>
          <t>12</t>
        </is>
      </c>
      <c r="K20" s="127" t="n">
        <v>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2000</v>
      </c>
      <c r="J29" s="127" t="inlineStr">
        <is>
          <t>5</t>
        </is>
      </c>
      <c r="K29" s="127" t="n">
        <v>1500</v>
      </c>
      <c r="L29" s="127" t="inlineStr">
        <is>
          <t>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27000</v>
      </c>
      <c r="J31" s="127" t="inlineStr">
        <is>
          <t>19</t>
        </is>
      </c>
      <c r="K31" s="127" t="n">
        <v>23000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29000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31000</v>
      </c>
      <c r="J33" s="127" t="inlineStr">
        <is>
          <t>7</t>
        </is>
      </c>
      <c r="K33" s="127" t="n">
        <v>25000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25000</v>
      </c>
      <c r="J35" s="127" t="inlineStr">
        <is>
          <t>11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25000</v>
      </c>
      <c r="J36" s="127" t="inlineStr">
        <is>
          <t>11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25000</v>
      </c>
      <c r="J37" s="127" t="inlineStr">
        <is>
          <t>10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9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25000</v>
      </c>
      <c r="J39" s="127" t="inlineStr">
        <is>
          <t>12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6500</v>
      </c>
      <c r="J41" s="127" t="inlineStr">
        <is>
          <t>14</t>
        </is>
      </c>
      <c r="K41" s="127" t="n">
        <v>5800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30000</v>
      </c>
      <c r="J45" s="127" t="inlineStr">
        <is>
          <t>고</t>
        </is>
      </c>
      <c r="K45" s="127" t="n">
        <v>22000</v>
      </c>
      <c r="L45" s="127" t="inlineStr">
        <is>
          <t>16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n"/>
      <c r="B46" s="111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44">
        <f>IF(E46="","",E46)</f>
        <v/>
      </c>
      <c r="AJ46" s="111" t="n"/>
      <c r="AK46" s="111" t="n"/>
      <c r="AL46" s="111" t="n"/>
      <c r="AM46" s="111" t="n"/>
      <c r="AN46" s="111" t="n"/>
      <c r="AO46" s="111" t="n"/>
      <c r="AP46" s="111" t="n"/>
      <c r="AQ46" s="111" t="n"/>
      <c r="AR46" s="111" t="n"/>
      <c r="AS46" s="111" t="n"/>
      <c r="AT46" s="111" t="n"/>
      <c r="AU46" s="111" t="n"/>
      <c r="AV46" s="111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4500</v>
      </c>
      <c r="J47" s="127" t="inlineStr">
        <is>
          <t>중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5500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4900</v>
      </c>
      <c r="J62" s="127" t="inlineStr">
        <is>
          <t>10</t>
        </is>
      </c>
      <c r="K62" s="127" t="n">
        <v>4500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2</v>
      </c>
      <c r="R62" s="111" t="n">
        <v>1</v>
      </c>
      <c r="S62" s="111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n"/>
      <c r="B63" s="111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8" t="n"/>
      <c r="U63" s="9" t="n"/>
      <c r="W63" s="69">
        <f>$A$4&amp;" "&amp;A64&amp;"("&amp;B64&amp;","&amp;C64&amp;"^)"</f>
        <v/>
      </c>
      <c r="X63" s="70" t="n"/>
      <c r="Y63" s="70" t="n"/>
      <c r="Z63" s="70" t="n"/>
      <c r="AA63" s="70" t="n"/>
      <c r="AB63" s="70" t="n"/>
      <c r="AC63" s="70" t="n"/>
      <c r="AD63" s="70" t="n"/>
      <c r="AE63" s="70" t="n"/>
      <c r="AF63" s="71" t="n"/>
      <c r="AH63" s="20">
        <f>IF(A63="","",A63)</f>
        <v/>
      </c>
      <c r="AI63" s="144">
        <f>IF(E63="","",E63)</f>
        <v/>
      </c>
      <c r="AJ63" s="111" t="n"/>
      <c r="AK63" s="111" t="n"/>
      <c r="AL63" s="111" t="n"/>
      <c r="AM63" s="111" t="n"/>
      <c r="AN63" s="111" t="n"/>
      <c r="AO63" s="111" t="n"/>
      <c r="AP63" s="111" t="n"/>
      <c r="AQ63" s="111" t="n"/>
      <c r="AR63" s="111" t="n"/>
      <c r="AS63" s="111" t="n"/>
      <c r="AT63" s="111" t="n"/>
      <c r="AU63" s="111" t="n"/>
      <c r="AV63" s="111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n"/>
      <c r="B70" s="111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44">
        <f>IF(E70="","",E70)</f>
        <v/>
      </c>
      <c r="AJ70" s="111" t="n"/>
      <c r="AK70" s="111" t="n"/>
      <c r="AL70" s="111" t="n"/>
      <c r="AM70" s="111" t="n"/>
      <c r="AN70" s="111" t="n"/>
      <c r="AO70" s="111" t="n"/>
      <c r="AP70" s="111" t="n"/>
      <c r="AQ70" s="111" t="n"/>
      <c r="AR70" s="111" t="n"/>
      <c r="AS70" s="111" t="n"/>
      <c r="AT70" s="111" t="n"/>
      <c r="AU70" s="111" t="n"/>
      <c r="AV70" s="111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1</v>
      </c>
      <c r="S72" s="111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차암동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23000</v>
      </c>
      <c r="J6" s="127" t="inlineStr">
        <is>
          <t>6</t>
        </is>
      </c>
      <c r="K6" s="127" t="n">
        <v>22000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27300</v>
      </c>
      <c r="J7" s="127" t="inlineStr">
        <is>
          <t>9</t>
        </is>
      </c>
      <c r="K7" s="127" t="n">
        <v>24000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34000</v>
      </c>
      <c r="J8" s="127" t="inlineStr">
        <is>
          <t>5</t>
        </is>
      </c>
      <c r="K8" s="127" t="n">
        <v>27000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41000</v>
      </c>
      <c r="J9" s="127" t="inlineStr">
        <is>
          <t>17</t>
        </is>
      </c>
      <c r="K9" s="127" t="n">
        <v>36000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25000</v>
      </c>
      <c r="J11" s="127" t="inlineStr">
        <is>
          <t>10</t>
        </is>
      </c>
      <c r="K11" s="127" t="n">
        <v>22000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28000</v>
      </c>
      <c r="J12" s="127" t="inlineStr">
        <is>
          <t>13</t>
        </is>
      </c>
      <c r="K12" s="127" t="n">
        <v>25000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31000</v>
      </c>
      <c r="J13" s="127" t="inlineStr">
        <is>
          <t>14</t>
        </is>
      </c>
      <c r="K13" s="127" t="n">
        <v>27000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25000</v>
      </c>
      <c r="J15" s="127" t="inlineStr">
        <is>
          <t>6</t>
        </is>
      </c>
      <c r="K15" s="127" t="n">
        <v>22000</v>
      </c>
      <c r="L15" s="127" t="inlineStr">
        <is>
          <t>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28000</v>
      </c>
      <c r="J16" s="127" t="inlineStr">
        <is>
          <t>11</t>
        </is>
      </c>
      <c r="K16" s="127" t="n">
        <v>24000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33000</v>
      </c>
      <c r="J17" s="127" t="inlineStr">
        <is>
          <t>18</t>
        </is>
      </c>
      <c r="K17" s="127" t="n">
        <v>25000</v>
      </c>
      <c r="L17" s="127" t="inlineStr">
        <is>
          <t>25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41000</v>
      </c>
      <c r="J18" s="127" t="inlineStr">
        <is>
          <t>21</t>
        </is>
      </c>
      <c r="K18" s="127" t="n">
        <v>30000</v>
      </c>
      <c r="L18" s="127" t="inlineStr">
        <is>
          <t>21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23500</v>
      </c>
      <c r="J20" s="127" t="inlineStr">
        <is>
          <t>14</t>
        </is>
      </c>
      <c r="K20" s="127" t="n">
        <v>19500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28000</v>
      </c>
      <c r="J21" s="127" t="inlineStr">
        <is>
          <t>10</t>
        </is>
      </c>
      <c r="K21" s="127" t="n">
        <v>25000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32500</v>
      </c>
      <c r="J22" s="127" t="inlineStr">
        <is>
          <t>고</t>
        </is>
      </c>
      <c r="K22" s="127" t="n">
        <v>26000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30500</v>
      </c>
      <c r="J23" s="127" t="inlineStr">
        <is>
          <t>9</t>
        </is>
      </c>
      <c r="K23" s="127" t="n">
        <v>26000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36000</v>
      </c>
      <c r="J24" s="127" t="inlineStr">
        <is>
          <t>9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40000</v>
      </c>
      <c r="J25" s="127" t="inlineStr">
        <is>
          <t>12</t>
        </is>
      </c>
      <c r="K25" s="127" t="n">
        <v>30000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2022-04-04T09:54:44Z</dcterms:modified>
  <cp:lastModifiedBy>MinsuKwon</cp:lastModifiedBy>
  <cp:lastPrinted>2018-04-28T10:52:41Z</cp:lastPrinted>
</cp:coreProperties>
</file>